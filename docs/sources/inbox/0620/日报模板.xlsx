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uyun\Desktop\"/>
    </mc:Choice>
  </mc:AlternateContent>
  <xr:revisionPtr revIDLastSave="0" documentId="13_ncr:1_{1BCE2628-EA1B-4CAC-81E5-EC39679AAEE6}" xr6:coauthVersionLast="47" xr6:coauthVersionMax="47" xr10:uidLastSave="{00000000-0000-0000-0000-000000000000}"/>
  <bookViews>
    <workbookView xWindow="-120" yWindow="-120" windowWidth="29040" windowHeight="15720" firstSheet="1" activeTab="1" xr2:uid="{752BAC88-3D22-6345-9E5D-6A586CA68B77}"/>
  </bookViews>
  <sheets>
    <sheet name="运营数据（旧）" sheetId="2" state="hidden" r:id="rId1"/>
    <sheet name="大盘" sheetId="4" r:id="rId2"/>
    <sheet name="大盘ROI" sheetId="6" r:id="rId3"/>
    <sheet name="巨量" sheetId="5" r:id="rId4"/>
    <sheet name="巨量ROI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9" i="7" l="1"/>
  <c r="D119" i="7"/>
  <c r="E119" i="7" s="1"/>
  <c r="C119" i="7"/>
  <c r="F119" i="7" s="1"/>
  <c r="B119" i="7"/>
  <c r="H118" i="7"/>
  <c r="R118" i="7" s="1"/>
  <c r="G118" i="7"/>
  <c r="D118" i="7"/>
  <c r="C118" i="7"/>
  <c r="F118" i="7" s="1"/>
  <c r="B118" i="7"/>
  <c r="E118" i="7" s="1"/>
  <c r="I117" i="7"/>
  <c r="H117" i="7"/>
  <c r="R117" i="7" s="1"/>
  <c r="G117" i="7"/>
  <c r="F117" i="7"/>
  <c r="D117" i="7"/>
  <c r="E117" i="7" s="1"/>
  <c r="C117" i="7"/>
  <c r="B117" i="7"/>
  <c r="R116" i="7"/>
  <c r="J116" i="7"/>
  <c r="I116" i="7"/>
  <c r="H116" i="7"/>
  <c r="G116" i="7"/>
  <c r="F116" i="7"/>
  <c r="D116" i="7"/>
  <c r="C116" i="7"/>
  <c r="B116" i="7"/>
  <c r="E116" i="7" s="1"/>
  <c r="R115" i="7"/>
  <c r="K115" i="7"/>
  <c r="J115" i="7"/>
  <c r="I115" i="7"/>
  <c r="H115" i="7"/>
  <c r="G115" i="7"/>
  <c r="F115" i="7"/>
  <c r="D115" i="7"/>
  <c r="C115" i="7"/>
  <c r="B115" i="7"/>
  <c r="E115" i="7" s="1"/>
  <c r="L114" i="7"/>
  <c r="K114" i="7"/>
  <c r="D114" i="7"/>
  <c r="C114" i="7"/>
  <c r="B114" i="7"/>
  <c r="H113" i="7"/>
  <c r="G113" i="7"/>
  <c r="D113" i="7"/>
  <c r="E113" i="7" s="1"/>
  <c r="C113" i="7"/>
  <c r="L113" i="7" s="1"/>
  <c r="B113" i="7"/>
  <c r="S112" i="7"/>
  <c r="L112" i="7"/>
  <c r="K112" i="7"/>
  <c r="J112" i="7"/>
  <c r="I112" i="7"/>
  <c r="H112" i="7"/>
  <c r="G112" i="7"/>
  <c r="F112" i="7"/>
  <c r="D112" i="7"/>
  <c r="E112" i="7" s="1"/>
  <c r="C112" i="7"/>
  <c r="B112" i="7"/>
  <c r="R111" i="7"/>
  <c r="L111" i="7"/>
  <c r="S111" i="7" s="1"/>
  <c r="K111" i="7"/>
  <c r="H111" i="7"/>
  <c r="G111" i="7"/>
  <c r="D111" i="7"/>
  <c r="E111" i="7" s="1"/>
  <c r="C111" i="7"/>
  <c r="F111" i="7" s="1"/>
  <c r="B111" i="7"/>
  <c r="F110" i="7"/>
  <c r="D110" i="7"/>
  <c r="C110" i="7"/>
  <c r="B110" i="7"/>
  <c r="E110" i="7" s="1"/>
  <c r="I109" i="7"/>
  <c r="H109" i="7"/>
  <c r="G109" i="7"/>
  <c r="D109" i="7"/>
  <c r="E109" i="7" s="1"/>
  <c r="C109" i="7"/>
  <c r="L109" i="7" s="1"/>
  <c r="B109" i="7"/>
  <c r="D108" i="7"/>
  <c r="C108" i="7"/>
  <c r="B108" i="7"/>
  <c r="M107" i="7"/>
  <c r="T107" i="7" s="1"/>
  <c r="L107" i="7"/>
  <c r="H107" i="7"/>
  <c r="F107" i="7"/>
  <c r="E107" i="7"/>
  <c r="D107" i="7"/>
  <c r="C107" i="7"/>
  <c r="B107" i="7"/>
  <c r="L106" i="7"/>
  <c r="J106" i="7"/>
  <c r="I106" i="7"/>
  <c r="H106" i="7"/>
  <c r="R106" i="7" s="1"/>
  <c r="G106" i="7"/>
  <c r="D106" i="7"/>
  <c r="C106" i="7"/>
  <c r="F106" i="7" s="1"/>
  <c r="B106" i="7"/>
  <c r="E106" i="7" s="1"/>
  <c r="S105" i="7"/>
  <c r="M105" i="7"/>
  <c r="T105" i="7" s="1"/>
  <c r="L105" i="7"/>
  <c r="F105" i="7"/>
  <c r="D105" i="7"/>
  <c r="E105" i="7" s="1"/>
  <c r="C105" i="7"/>
  <c r="B105" i="7"/>
  <c r="M104" i="7"/>
  <c r="T104" i="7" s="1"/>
  <c r="L104" i="7"/>
  <c r="S104" i="7" s="1"/>
  <c r="H104" i="7"/>
  <c r="G104" i="7"/>
  <c r="F104" i="7"/>
  <c r="D104" i="7"/>
  <c r="C104" i="7"/>
  <c r="I104" i="7" s="1"/>
  <c r="B104" i="7"/>
  <c r="E103" i="7"/>
  <c r="D103" i="7"/>
  <c r="C103" i="7"/>
  <c r="B103" i="7"/>
  <c r="L102" i="7"/>
  <c r="S102" i="7" s="1"/>
  <c r="K102" i="7"/>
  <c r="J102" i="7"/>
  <c r="I102" i="7"/>
  <c r="G102" i="7"/>
  <c r="D102" i="7"/>
  <c r="C102" i="7"/>
  <c r="F102" i="7" s="1"/>
  <c r="B102" i="7"/>
  <c r="E102" i="7" s="1"/>
  <c r="M101" i="7"/>
  <c r="K101" i="7"/>
  <c r="I101" i="7"/>
  <c r="G101" i="7"/>
  <c r="F101" i="7"/>
  <c r="D101" i="7"/>
  <c r="E101" i="7" s="1"/>
  <c r="C101" i="7"/>
  <c r="L101" i="7" s="1"/>
  <c r="S101" i="7" s="1"/>
  <c r="B101" i="7"/>
  <c r="L100" i="7"/>
  <c r="S100" i="7" s="1"/>
  <c r="K100" i="7"/>
  <c r="F100" i="7"/>
  <c r="D100" i="7"/>
  <c r="E100" i="7" s="1"/>
  <c r="C100" i="7"/>
  <c r="B100" i="7"/>
  <c r="K99" i="7"/>
  <c r="J99" i="7"/>
  <c r="I99" i="7"/>
  <c r="G99" i="7"/>
  <c r="E99" i="7"/>
  <c r="D99" i="7"/>
  <c r="C99" i="7"/>
  <c r="B99" i="7"/>
  <c r="T98" i="7"/>
  <c r="M98" i="7"/>
  <c r="L98" i="7"/>
  <c r="S98" i="7" s="1"/>
  <c r="I98" i="7"/>
  <c r="H98" i="7"/>
  <c r="R98" i="7" s="1"/>
  <c r="G98" i="7"/>
  <c r="F98" i="7"/>
  <c r="D98" i="7"/>
  <c r="E98" i="7" s="1"/>
  <c r="C98" i="7"/>
  <c r="B98" i="7"/>
  <c r="E97" i="7"/>
  <c r="D97" i="7"/>
  <c r="C97" i="7"/>
  <c r="B97" i="7"/>
  <c r="M96" i="7"/>
  <c r="L96" i="7"/>
  <c r="K96" i="7"/>
  <c r="J96" i="7"/>
  <c r="H96" i="7"/>
  <c r="G96" i="7"/>
  <c r="D96" i="7"/>
  <c r="C96" i="7"/>
  <c r="N96" i="7" s="1"/>
  <c r="B96" i="7"/>
  <c r="S95" i="7"/>
  <c r="N95" i="7"/>
  <c r="U95" i="7" s="1"/>
  <c r="M95" i="7"/>
  <c r="T95" i="7" s="1"/>
  <c r="K95" i="7"/>
  <c r="J95" i="7"/>
  <c r="G95" i="7"/>
  <c r="F95" i="7"/>
  <c r="D95" i="7"/>
  <c r="E95" i="7" s="1"/>
  <c r="C95" i="7"/>
  <c r="L95" i="7" s="1"/>
  <c r="B95" i="7"/>
  <c r="N94" i="7"/>
  <c r="L94" i="7"/>
  <c r="S94" i="7" s="1"/>
  <c r="K94" i="7"/>
  <c r="J94" i="7"/>
  <c r="H94" i="7"/>
  <c r="R94" i="7" s="1"/>
  <c r="G94" i="7"/>
  <c r="F94" i="7"/>
  <c r="E94" i="7"/>
  <c r="D94" i="7"/>
  <c r="C94" i="7"/>
  <c r="B94" i="7"/>
  <c r="N93" i="7"/>
  <c r="M93" i="7"/>
  <c r="K93" i="7"/>
  <c r="J93" i="7"/>
  <c r="D93" i="7"/>
  <c r="E93" i="7" s="1"/>
  <c r="C93" i="7"/>
  <c r="B93" i="7"/>
  <c r="N92" i="7"/>
  <c r="K92" i="7"/>
  <c r="J92" i="7"/>
  <c r="I92" i="7"/>
  <c r="H92" i="7"/>
  <c r="G92" i="7"/>
  <c r="F92" i="7"/>
  <c r="T92" i="7" s="1"/>
  <c r="D92" i="7"/>
  <c r="E92" i="7" s="1"/>
  <c r="C92" i="7"/>
  <c r="M92" i="7" s="1"/>
  <c r="B92" i="7"/>
  <c r="D91" i="7"/>
  <c r="E91" i="7" s="1"/>
  <c r="C91" i="7"/>
  <c r="B91" i="7"/>
  <c r="U90" i="7"/>
  <c r="O90" i="7"/>
  <c r="V90" i="7" s="1"/>
  <c r="N90" i="7"/>
  <c r="M90" i="7"/>
  <c r="L90" i="7"/>
  <c r="I90" i="7"/>
  <c r="H90" i="7"/>
  <c r="R90" i="7" s="1"/>
  <c r="G90" i="7"/>
  <c r="F90" i="7"/>
  <c r="T90" i="7" s="1"/>
  <c r="D90" i="7"/>
  <c r="E90" i="7" s="1"/>
  <c r="C90" i="7"/>
  <c r="B90" i="7"/>
  <c r="S89" i="7"/>
  <c r="N89" i="7"/>
  <c r="U89" i="7" s="1"/>
  <c r="L89" i="7"/>
  <c r="F89" i="7"/>
  <c r="D89" i="7"/>
  <c r="E89" i="7" s="1"/>
  <c r="C89" i="7"/>
  <c r="B89" i="7"/>
  <c r="N88" i="7"/>
  <c r="M88" i="7"/>
  <c r="L88" i="7"/>
  <c r="K88" i="7"/>
  <c r="F88" i="7"/>
  <c r="T88" i="7" s="1"/>
  <c r="E88" i="7"/>
  <c r="D88" i="7"/>
  <c r="C88" i="7"/>
  <c r="B88" i="7"/>
  <c r="O87" i="7"/>
  <c r="V87" i="7" s="1"/>
  <c r="N87" i="7"/>
  <c r="U87" i="7" s="1"/>
  <c r="M87" i="7"/>
  <c r="T87" i="7" s="1"/>
  <c r="L87" i="7"/>
  <c r="S87" i="7" s="1"/>
  <c r="K87" i="7"/>
  <c r="J87" i="7"/>
  <c r="I87" i="7"/>
  <c r="F87" i="7"/>
  <c r="D87" i="7"/>
  <c r="C87" i="7"/>
  <c r="B87" i="7"/>
  <c r="E87" i="7" s="1"/>
  <c r="M86" i="7"/>
  <c r="K86" i="7"/>
  <c r="J86" i="7"/>
  <c r="I86" i="7"/>
  <c r="H86" i="7"/>
  <c r="D86" i="7"/>
  <c r="E86" i="7" s="1"/>
  <c r="C86" i="7"/>
  <c r="O86" i="7" s="1"/>
  <c r="B86" i="7"/>
  <c r="O85" i="7"/>
  <c r="V85" i="7" s="1"/>
  <c r="H85" i="7"/>
  <c r="R85" i="7" s="1"/>
  <c r="D85" i="7"/>
  <c r="C85" i="7"/>
  <c r="F85" i="7" s="1"/>
  <c r="B85" i="7"/>
  <c r="N84" i="7"/>
  <c r="L84" i="7"/>
  <c r="J84" i="7"/>
  <c r="I84" i="7"/>
  <c r="D84" i="7"/>
  <c r="C84" i="7"/>
  <c r="B84" i="7"/>
  <c r="V83" i="7"/>
  <c r="U83" i="7"/>
  <c r="T83" i="7"/>
  <c r="S83" i="7"/>
  <c r="O83" i="7"/>
  <c r="N83" i="7"/>
  <c r="M83" i="7"/>
  <c r="L83" i="7"/>
  <c r="K83" i="7"/>
  <c r="J83" i="7"/>
  <c r="I83" i="7"/>
  <c r="H83" i="7"/>
  <c r="R83" i="7" s="1"/>
  <c r="G83" i="7"/>
  <c r="F83" i="7"/>
  <c r="D83" i="7"/>
  <c r="C83" i="7"/>
  <c r="B83" i="7"/>
  <c r="E83" i="7" s="1"/>
  <c r="T82" i="7"/>
  <c r="S82" i="7"/>
  <c r="R82" i="7"/>
  <c r="O82" i="7"/>
  <c r="V82" i="7" s="1"/>
  <c r="N82" i="7"/>
  <c r="M82" i="7"/>
  <c r="L82" i="7"/>
  <c r="K82" i="7"/>
  <c r="J82" i="7"/>
  <c r="I82" i="7"/>
  <c r="H82" i="7"/>
  <c r="G82" i="7"/>
  <c r="F82" i="7"/>
  <c r="U82" i="7" s="1"/>
  <c r="D82" i="7"/>
  <c r="E82" i="7" s="1"/>
  <c r="C82" i="7"/>
  <c r="B82" i="7"/>
  <c r="O81" i="7"/>
  <c r="N81" i="7"/>
  <c r="U81" i="7" s="1"/>
  <c r="J81" i="7"/>
  <c r="I81" i="7"/>
  <c r="G81" i="7"/>
  <c r="F81" i="7"/>
  <c r="D81" i="7"/>
  <c r="E81" i="7" s="1"/>
  <c r="C81" i="7"/>
  <c r="B81" i="7"/>
  <c r="M80" i="7"/>
  <c r="D80" i="7"/>
  <c r="C80" i="7"/>
  <c r="B80" i="7"/>
  <c r="S79" i="7"/>
  <c r="O79" i="7"/>
  <c r="N79" i="7"/>
  <c r="M79" i="7"/>
  <c r="T79" i="7" s="1"/>
  <c r="L79" i="7"/>
  <c r="K79" i="7"/>
  <c r="I79" i="7"/>
  <c r="H79" i="7"/>
  <c r="G79" i="7"/>
  <c r="F79" i="7"/>
  <c r="R79" i="7" s="1"/>
  <c r="D79" i="7"/>
  <c r="E79" i="7" s="1"/>
  <c r="C79" i="7"/>
  <c r="J79" i="7" s="1"/>
  <c r="B79" i="7"/>
  <c r="O78" i="7"/>
  <c r="V78" i="7" s="1"/>
  <c r="N78" i="7"/>
  <c r="U78" i="7" s="1"/>
  <c r="L78" i="7"/>
  <c r="S78" i="7" s="1"/>
  <c r="K78" i="7"/>
  <c r="F78" i="7"/>
  <c r="D78" i="7"/>
  <c r="C78" i="7"/>
  <c r="I78" i="7" s="1"/>
  <c r="B78" i="7"/>
  <c r="L77" i="7"/>
  <c r="K77" i="7"/>
  <c r="J77" i="7"/>
  <c r="I77" i="7"/>
  <c r="F77" i="7"/>
  <c r="E77" i="7"/>
  <c r="D77" i="7"/>
  <c r="C77" i="7"/>
  <c r="B77" i="7"/>
  <c r="P76" i="7"/>
  <c r="N76" i="7"/>
  <c r="E76" i="7"/>
  <c r="D76" i="7"/>
  <c r="C76" i="7"/>
  <c r="B76" i="7"/>
  <c r="M75" i="7"/>
  <c r="K75" i="7"/>
  <c r="D75" i="7"/>
  <c r="C75" i="7"/>
  <c r="B75" i="7"/>
  <c r="T74" i="7"/>
  <c r="P74" i="7"/>
  <c r="W74" i="7" s="1"/>
  <c r="O74" i="7"/>
  <c r="N74" i="7"/>
  <c r="M74" i="7"/>
  <c r="L74" i="7"/>
  <c r="S74" i="7" s="1"/>
  <c r="J74" i="7"/>
  <c r="I74" i="7"/>
  <c r="H74" i="7"/>
  <c r="F74" i="7"/>
  <c r="E74" i="7"/>
  <c r="D74" i="7"/>
  <c r="C74" i="7"/>
  <c r="B74" i="7"/>
  <c r="D73" i="7"/>
  <c r="E73" i="7" s="1"/>
  <c r="C73" i="7"/>
  <c r="B73" i="7"/>
  <c r="T72" i="7"/>
  <c r="S72" i="7"/>
  <c r="R72" i="7"/>
  <c r="P72" i="7"/>
  <c r="W72" i="7" s="1"/>
  <c r="O72" i="7"/>
  <c r="V72" i="7" s="1"/>
  <c r="N72" i="7"/>
  <c r="U72" i="7" s="1"/>
  <c r="M72" i="7"/>
  <c r="L72" i="7"/>
  <c r="K72" i="7"/>
  <c r="J72" i="7"/>
  <c r="I72" i="7"/>
  <c r="H72" i="7"/>
  <c r="G72" i="7"/>
  <c r="F72" i="7"/>
  <c r="D72" i="7"/>
  <c r="E72" i="7" s="1"/>
  <c r="C72" i="7"/>
  <c r="B72" i="7"/>
  <c r="U71" i="7"/>
  <c r="T71" i="7"/>
  <c r="S71" i="7"/>
  <c r="R71" i="7"/>
  <c r="P71" i="7"/>
  <c r="W71" i="7" s="1"/>
  <c r="O71" i="7"/>
  <c r="V71" i="7" s="1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D70" i="7"/>
  <c r="C70" i="7"/>
  <c r="B70" i="7"/>
  <c r="E70" i="7" s="1"/>
  <c r="O69" i="7"/>
  <c r="N69" i="7"/>
  <c r="M69" i="7"/>
  <c r="L69" i="7"/>
  <c r="K69" i="7"/>
  <c r="J69" i="7"/>
  <c r="I69" i="7"/>
  <c r="H69" i="7"/>
  <c r="G69" i="7"/>
  <c r="D69" i="7"/>
  <c r="E69" i="7" s="1"/>
  <c r="C69" i="7"/>
  <c r="B69" i="7"/>
  <c r="O68" i="7"/>
  <c r="N68" i="7"/>
  <c r="M68" i="7"/>
  <c r="L68" i="7"/>
  <c r="J68" i="7"/>
  <c r="D68" i="7"/>
  <c r="E68" i="7" s="1"/>
  <c r="C68" i="7"/>
  <c r="B68" i="7"/>
  <c r="P67" i="7"/>
  <c r="O67" i="7"/>
  <c r="L67" i="7"/>
  <c r="K67" i="7"/>
  <c r="J67" i="7"/>
  <c r="I67" i="7"/>
  <c r="E67" i="7"/>
  <c r="D67" i="7"/>
  <c r="C67" i="7"/>
  <c r="B67" i="7"/>
  <c r="P66" i="7"/>
  <c r="W66" i="7" s="1"/>
  <c r="O66" i="7"/>
  <c r="V66" i="7" s="1"/>
  <c r="N66" i="7"/>
  <c r="M66" i="7"/>
  <c r="T66" i="7" s="1"/>
  <c r="L66" i="7"/>
  <c r="S66" i="7" s="1"/>
  <c r="G66" i="7"/>
  <c r="F66" i="7"/>
  <c r="E66" i="7"/>
  <c r="D66" i="7"/>
  <c r="C66" i="7"/>
  <c r="B66" i="7"/>
  <c r="N65" i="7"/>
  <c r="L65" i="7"/>
  <c r="H65" i="7"/>
  <c r="G65" i="7"/>
  <c r="D65" i="7"/>
  <c r="E65" i="7" s="1"/>
  <c r="C65" i="7"/>
  <c r="P65" i="7" s="1"/>
  <c r="B65" i="7"/>
  <c r="W64" i="7"/>
  <c r="T64" i="7"/>
  <c r="P64" i="7"/>
  <c r="N64" i="7"/>
  <c r="U64" i="7" s="1"/>
  <c r="M64" i="7"/>
  <c r="L64" i="7"/>
  <c r="S64" i="7" s="1"/>
  <c r="I64" i="7"/>
  <c r="H64" i="7"/>
  <c r="R64" i="7" s="1"/>
  <c r="G64" i="7"/>
  <c r="F64" i="7"/>
  <c r="D64" i="7"/>
  <c r="E64" i="7" s="1"/>
  <c r="C64" i="7"/>
  <c r="B64" i="7"/>
  <c r="P63" i="7"/>
  <c r="F63" i="7"/>
  <c r="D63" i="7"/>
  <c r="C63" i="7"/>
  <c r="B63" i="7"/>
  <c r="W62" i="7"/>
  <c r="R62" i="7"/>
  <c r="P62" i="7"/>
  <c r="O62" i="7"/>
  <c r="V62" i="7" s="1"/>
  <c r="N62" i="7"/>
  <c r="U62" i="7" s="1"/>
  <c r="K62" i="7"/>
  <c r="J62" i="7"/>
  <c r="I62" i="7"/>
  <c r="H62" i="7"/>
  <c r="G62" i="7"/>
  <c r="F62" i="7"/>
  <c r="E62" i="7"/>
  <c r="D62" i="7"/>
  <c r="C62" i="7"/>
  <c r="M62" i="7" s="1"/>
  <c r="T62" i="7" s="1"/>
  <c r="B62" i="7"/>
  <c r="X61" i="7"/>
  <c r="Q61" i="7"/>
  <c r="M61" i="7"/>
  <c r="L61" i="7"/>
  <c r="G61" i="7"/>
  <c r="D61" i="7"/>
  <c r="C61" i="7"/>
  <c r="B61" i="7"/>
  <c r="O60" i="7"/>
  <c r="N60" i="7"/>
  <c r="E60" i="7"/>
  <c r="D60" i="7"/>
  <c r="C60" i="7"/>
  <c r="B60" i="7"/>
  <c r="P59" i="7"/>
  <c r="O59" i="7"/>
  <c r="N59" i="7"/>
  <c r="M59" i="7"/>
  <c r="I59" i="7"/>
  <c r="H59" i="7"/>
  <c r="D59" i="7"/>
  <c r="E59" i="7" s="1"/>
  <c r="C59" i="7"/>
  <c r="B59" i="7"/>
  <c r="N58" i="7"/>
  <c r="M58" i="7"/>
  <c r="L58" i="7"/>
  <c r="I58" i="7"/>
  <c r="D58" i="7"/>
  <c r="C58" i="7"/>
  <c r="B58" i="7"/>
  <c r="V57" i="7"/>
  <c r="O57" i="7"/>
  <c r="N57" i="7"/>
  <c r="U57" i="7" s="1"/>
  <c r="M57" i="7"/>
  <c r="T57" i="7" s="1"/>
  <c r="K57" i="7"/>
  <c r="I57" i="7"/>
  <c r="F57" i="7"/>
  <c r="D57" i="7"/>
  <c r="E57" i="7" s="1"/>
  <c r="C57" i="7"/>
  <c r="B57" i="7"/>
  <c r="Q56" i="7"/>
  <c r="X56" i="7" s="1"/>
  <c r="N56" i="7"/>
  <c r="M56" i="7"/>
  <c r="I56" i="7"/>
  <c r="H56" i="7"/>
  <c r="R56" i="7" s="1"/>
  <c r="F56" i="7"/>
  <c r="T56" i="7" s="1"/>
  <c r="E56" i="7"/>
  <c r="D56" i="7"/>
  <c r="C56" i="7"/>
  <c r="B56" i="7"/>
  <c r="Q55" i="7"/>
  <c r="X55" i="7" s="1"/>
  <c r="P55" i="7"/>
  <c r="W55" i="7" s="1"/>
  <c r="K55" i="7"/>
  <c r="I55" i="7"/>
  <c r="H55" i="7"/>
  <c r="R55" i="7" s="1"/>
  <c r="G55" i="7"/>
  <c r="F55" i="7"/>
  <c r="E55" i="7"/>
  <c r="D55" i="7"/>
  <c r="C55" i="7"/>
  <c r="B55" i="7"/>
  <c r="U54" i="7"/>
  <c r="O54" i="7"/>
  <c r="N54" i="7"/>
  <c r="J54" i="7"/>
  <c r="I54" i="7"/>
  <c r="H54" i="7"/>
  <c r="F54" i="7"/>
  <c r="D54" i="7"/>
  <c r="E54" i="7" s="1"/>
  <c r="C54" i="7"/>
  <c r="B54" i="7"/>
  <c r="P53" i="7"/>
  <c r="N53" i="7"/>
  <c r="E53" i="7"/>
  <c r="D53" i="7"/>
  <c r="C53" i="7"/>
  <c r="B53" i="7"/>
  <c r="Q52" i="7"/>
  <c r="X52" i="7" s="1"/>
  <c r="P52" i="7"/>
  <c r="O52" i="7"/>
  <c r="N52" i="7"/>
  <c r="M52" i="7"/>
  <c r="L52" i="7"/>
  <c r="K52" i="7"/>
  <c r="J52" i="7"/>
  <c r="I52" i="7"/>
  <c r="H52" i="7"/>
  <c r="G52" i="7"/>
  <c r="F52" i="7"/>
  <c r="T52" i="7" s="1"/>
  <c r="D52" i="7"/>
  <c r="E52" i="7" s="1"/>
  <c r="C52" i="7"/>
  <c r="B52" i="7"/>
  <c r="N51" i="7"/>
  <c r="H51" i="7"/>
  <c r="G51" i="7"/>
  <c r="D51" i="7"/>
  <c r="C51" i="7"/>
  <c r="B51" i="7"/>
  <c r="Q50" i="7"/>
  <c r="X50" i="7" s="1"/>
  <c r="P50" i="7"/>
  <c r="W50" i="7" s="1"/>
  <c r="O50" i="7"/>
  <c r="V50" i="7" s="1"/>
  <c r="N50" i="7"/>
  <c r="U50" i="7" s="1"/>
  <c r="L50" i="7"/>
  <c r="S50" i="7" s="1"/>
  <c r="G50" i="7"/>
  <c r="F50" i="7"/>
  <c r="E50" i="7"/>
  <c r="D50" i="7"/>
  <c r="C50" i="7"/>
  <c r="B50" i="7"/>
  <c r="D49" i="7"/>
  <c r="E49" i="7" s="1"/>
  <c r="C49" i="7"/>
  <c r="J49" i="7" s="1"/>
  <c r="B49" i="7"/>
  <c r="M48" i="7"/>
  <c r="D48" i="7"/>
  <c r="C48" i="7"/>
  <c r="B48" i="7"/>
  <c r="N47" i="7"/>
  <c r="K47" i="7"/>
  <c r="I47" i="7"/>
  <c r="G47" i="7"/>
  <c r="D47" i="7"/>
  <c r="C47" i="7"/>
  <c r="P47" i="7" s="1"/>
  <c r="B47" i="7"/>
  <c r="M46" i="7"/>
  <c r="T46" i="7" s="1"/>
  <c r="I46" i="7"/>
  <c r="H46" i="7"/>
  <c r="G46" i="7"/>
  <c r="F46" i="7"/>
  <c r="D46" i="7"/>
  <c r="E46" i="7" s="1"/>
  <c r="C46" i="7"/>
  <c r="Q46" i="7" s="1"/>
  <c r="X46" i="7" s="1"/>
  <c r="B46" i="7"/>
  <c r="V45" i="7"/>
  <c r="U45" i="7"/>
  <c r="S45" i="7"/>
  <c r="Q45" i="7"/>
  <c r="X45" i="7" s="1"/>
  <c r="P45" i="7"/>
  <c r="W45" i="7" s="1"/>
  <c r="O45" i="7"/>
  <c r="N45" i="7"/>
  <c r="M45" i="7"/>
  <c r="T45" i="7" s="1"/>
  <c r="L45" i="7"/>
  <c r="K45" i="7"/>
  <c r="J45" i="7"/>
  <c r="I45" i="7"/>
  <c r="H45" i="7"/>
  <c r="R45" i="7" s="1"/>
  <c r="G45" i="7"/>
  <c r="F45" i="7"/>
  <c r="D45" i="7"/>
  <c r="C45" i="7"/>
  <c r="B45" i="7"/>
  <c r="E45" i="7" s="1"/>
  <c r="M44" i="7"/>
  <c r="K44" i="7"/>
  <c r="J44" i="7"/>
  <c r="I44" i="7"/>
  <c r="H44" i="7"/>
  <c r="D44" i="7"/>
  <c r="E44" i="7" s="1"/>
  <c r="C44" i="7"/>
  <c r="P44" i="7" s="1"/>
  <c r="B44" i="7"/>
  <c r="X43" i="7"/>
  <c r="Q43" i="7"/>
  <c r="P43" i="7"/>
  <c r="O43" i="7"/>
  <c r="M43" i="7"/>
  <c r="L43" i="7"/>
  <c r="K43" i="7"/>
  <c r="H43" i="7"/>
  <c r="G43" i="7"/>
  <c r="F43" i="7"/>
  <c r="W43" i="7" s="1"/>
  <c r="E43" i="7"/>
  <c r="D43" i="7"/>
  <c r="C43" i="7"/>
  <c r="B43" i="7"/>
  <c r="X42" i="7"/>
  <c r="Q42" i="7"/>
  <c r="P42" i="7"/>
  <c r="N42" i="7"/>
  <c r="K42" i="7"/>
  <c r="J42" i="7"/>
  <c r="I42" i="7"/>
  <c r="H42" i="7"/>
  <c r="G42" i="7"/>
  <c r="F42" i="7"/>
  <c r="W42" i="7" s="1"/>
  <c r="E42" i="7"/>
  <c r="D42" i="7"/>
  <c r="C42" i="7"/>
  <c r="B42" i="7"/>
  <c r="X41" i="7"/>
  <c r="T41" i="7"/>
  <c r="Q41" i="7"/>
  <c r="M41" i="7"/>
  <c r="L41" i="7"/>
  <c r="K41" i="7"/>
  <c r="J41" i="7"/>
  <c r="I41" i="7"/>
  <c r="H41" i="7"/>
  <c r="R41" i="7" s="1"/>
  <c r="G41" i="7"/>
  <c r="F41" i="7"/>
  <c r="E41" i="7"/>
  <c r="D41" i="7"/>
  <c r="C41" i="7"/>
  <c r="B41" i="7"/>
  <c r="X40" i="7"/>
  <c r="Q40" i="7"/>
  <c r="P40" i="7"/>
  <c r="N40" i="7"/>
  <c r="M40" i="7"/>
  <c r="L40" i="7"/>
  <c r="K40" i="7"/>
  <c r="J40" i="7"/>
  <c r="I40" i="7"/>
  <c r="H40" i="7"/>
  <c r="G40" i="7"/>
  <c r="F40" i="7"/>
  <c r="W40" i="7" s="1"/>
  <c r="E40" i="7"/>
  <c r="D40" i="7"/>
  <c r="C40" i="7"/>
  <c r="O40" i="7" s="1"/>
  <c r="B40" i="7"/>
  <c r="X39" i="7"/>
  <c r="T39" i="7"/>
  <c r="Q39" i="7"/>
  <c r="O39" i="7"/>
  <c r="N39" i="7"/>
  <c r="M39" i="7"/>
  <c r="L39" i="7"/>
  <c r="K39" i="7"/>
  <c r="J39" i="7"/>
  <c r="I39" i="7"/>
  <c r="H39" i="7"/>
  <c r="G39" i="7"/>
  <c r="F39" i="7"/>
  <c r="W39" i="7" s="1"/>
  <c r="E39" i="7"/>
  <c r="D39" i="7"/>
  <c r="C39" i="7"/>
  <c r="P39" i="7" s="1"/>
  <c r="B39" i="7"/>
  <c r="V38" i="7"/>
  <c r="U38" i="7"/>
  <c r="S38" i="7"/>
  <c r="Q38" i="7"/>
  <c r="X38" i="7" s="1"/>
  <c r="P38" i="7"/>
  <c r="O38" i="7"/>
  <c r="N38" i="7"/>
  <c r="M38" i="7"/>
  <c r="T38" i="7" s="1"/>
  <c r="L38" i="7"/>
  <c r="K38" i="7"/>
  <c r="J38" i="7"/>
  <c r="I38" i="7"/>
  <c r="H38" i="7"/>
  <c r="G38" i="7"/>
  <c r="F38" i="7"/>
  <c r="W38" i="7" s="1"/>
  <c r="D38" i="7"/>
  <c r="C38" i="7"/>
  <c r="B38" i="7"/>
  <c r="X37" i="7"/>
  <c r="W37" i="7"/>
  <c r="V37" i="7"/>
  <c r="Q37" i="7"/>
  <c r="P37" i="7"/>
  <c r="O37" i="7"/>
  <c r="N37" i="7"/>
  <c r="U37" i="7" s="1"/>
  <c r="M37" i="7"/>
  <c r="L37" i="7"/>
  <c r="S37" i="7" s="1"/>
  <c r="K37" i="7"/>
  <c r="J37" i="7"/>
  <c r="I37" i="7"/>
  <c r="F37" i="7"/>
  <c r="E37" i="7"/>
  <c r="D37" i="7"/>
  <c r="C37" i="7"/>
  <c r="B37" i="7"/>
  <c r="X36" i="7"/>
  <c r="W36" i="7"/>
  <c r="V36" i="7"/>
  <c r="Q36" i="7"/>
  <c r="P36" i="7"/>
  <c r="O36" i="7"/>
  <c r="N36" i="7"/>
  <c r="M36" i="7"/>
  <c r="T36" i="7" s="1"/>
  <c r="L36" i="7"/>
  <c r="S36" i="7" s="1"/>
  <c r="I36" i="7"/>
  <c r="H36" i="7"/>
  <c r="R36" i="7" s="1"/>
  <c r="G36" i="7"/>
  <c r="F36" i="7"/>
  <c r="E36" i="7"/>
  <c r="D36" i="7"/>
  <c r="C36" i="7"/>
  <c r="B36" i="7"/>
  <c r="X35" i="7"/>
  <c r="Q35" i="7"/>
  <c r="P35" i="7"/>
  <c r="O35" i="7"/>
  <c r="L35" i="7"/>
  <c r="K35" i="7"/>
  <c r="J35" i="7"/>
  <c r="I35" i="7"/>
  <c r="H35" i="7"/>
  <c r="G35" i="7"/>
  <c r="F35" i="7"/>
  <c r="W35" i="7" s="1"/>
  <c r="E35" i="7"/>
  <c r="D35" i="7"/>
  <c r="C35" i="7"/>
  <c r="B35" i="7"/>
  <c r="O34" i="7"/>
  <c r="N34" i="7"/>
  <c r="M34" i="7"/>
  <c r="L34" i="7"/>
  <c r="K34" i="7"/>
  <c r="J34" i="7"/>
  <c r="I34" i="7"/>
  <c r="H34" i="7"/>
  <c r="G34" i="7"/>
  <c r="F34" i="7"/>
  <c r="V34" i="7" s="1"/>
  <c r="E34" i="7"/>
  <c r="D34" i="7"/>
  <c r="C34" i="7"/>
  <c r="B34" i="7"/>
  <c r="Q33" i="7"/>
  <c r="X33" i="7" s="1"/>
  <c r="P33" i="7"/>
  <c r="O33" i="7"/>
  <c r="N33" i="7"/>
  <c r="M33" i="7"/>
  <c r="L33" i="7"/>
  <c r="K33" i="7"/>
  <c r="J33" i="7"/>
  <c r="I33" i="7"/>
  <c r="H33" i="7"/>
  <c r="R33" i="7" s="1"/>
  <c r="G33" i="7"/>
  <c r="F33" i="7"/>
  <c r="W33" i="7" s="1"/>
  <c r="E33" i="7"/>
  <c r="D33" i="7"/>
  <c r="C33" i="7"/>
  <c r="B33" i="7"/>
  <c r="U32" i="7"/>
  <c r="T32" i="7"/>
  <c r="Q32" i="7"/>
  <c r="P32" i="7"/>
  <c r="O32" i="7"/>
  <c r="N32" i="7"/>
  <c r="M32" i="7"/>
  <c r="L32" i="7"/>
  <c r="S32" i="7" s="1"/>
  <c r="K32" i="7"/>
  <c r="J32" i="7"/>
  <c r="I32" i="7"/>
  <c r="H32" i="7"/>
  <c r="G32" i="7"/>
  <c r="X32" i="7" s="1"/>
  <c r="F32" i="7"/>
  <c r="R32" i="7" s="1"/>
  <c r="D32" i="7"/>
  <c r="E32" i="7" s="1"/>
  <c r="C32" i="7"/>
  <c r="B32" i="7"/>
  <c r="U31" i="7"/>
  <c r="N31" i="7"/>
  <c r="L31" i="7"/>
  <c r="S31" i="7" s="1"/>
  <c r="J31" i="7"/>
  <c r="I31" i="7"/>
  <c r="D31" i="7"/>
  <c r="C31" i="7"/>
  <c r="F31" i="7" s="1"/>
  <c r="B31" i="7"/>
  <c r="O30" i="7"/>
  <c r="M30" i="7"/>
  <c r="K30" i="7"/>
  <c r="J30" i="7"/>
  <c r="D30" i="7"/>
  <c r="C30" i="7"/>
  <c r="Q30" i="7" s="1"/>
  <c r="B30" i="7"/>
  <c r="O29" i="7"/>
  <c r="M29" i="7"/>
  <c r="I29" i="7"/>
  <c r="H29" i="7"/>
  <c r="D29" i="7"/>
  <c r="C29" i="7"/>
  <c r="Q29" i="7" s="1"/>
  <c r="B29" i="7"/>
  <c r="M28" i="7"/>
  <c r="K28" i="7"/>
  <c r="I28" i="7"/>
  <c r="H28" i="7"/>
  <c r="D28" i="7"/>
  <c r="C28" i="7"/>
  <c r="Q28" i="7" s="1"/>
  <c r="B28" i="7"/>
  <c r="M27" i="7"/>
  <c r="K27" i="7"/>
  <c r="I27" i="7"/>
  <c r="G27" i="7"/>
  <c r="D27" i="7"/>
  <c r="E27" i="7" s="1"/>
  <c r="C27" i="7"/>
  <c r="P27" i="7" s="1"/>
  <c r="B27" i="7"/>
  <c r="M26" i="7"/>
  <c r="K26" i="7"/>
  <c r="H26" i="7"/>
  <c r="G26" i="7"/>
  <c r="D26" i="7"/>
  <c r="C26" i="7"/>
  <c r="I26" i="7" s="1"/>
  <c r="B26" i="7"/>
  <c r="V25" i="7"/>
  <c r="S25" i="7"/>
  <c r="Q25" i="7"/>
  <c r="X25" i="7" s="1"/>
  <c r="P25" i="7"/>
  <c r="W25" i="7" s="1"/>
  <c r="O25" i="7"/>
  <c r="N25" i="7"/>
  <c r="U25" i="7" s="1"/>
  <c r="M25" i="7"/>
  <c r="T25" i="7" s="1"/>
  <c r="L25" i="7"/>
  <c r="K25" i="7"/>
  <c r="J25" i="7"/>
  <c r="I25" i="7"/>
  <c r="H25" i="7"/>
  <c r="R25" i="7" s="1"/>
  <c r="G25" i="7"/>
  <c r="F25" i="7"/>
  <c r="D25" i="7"/>
  <c r="C25" i="7"/>
  <c r="B25" i="7"/>
  <c r="E25" i="7" s="1"/>
  <c r="N24" i="7"/>
  <c r="D24" i="7"/>
  <c r="C24" i="7"/>
  <c r="B24" i="7"/>
  <c r="P23" i="7"/>
  <c r="M23" i="7"/>
  <c r="D23" i="7"/>
  <c r="C23" i="7"/>
  <c r="B23" i="7"/>
  <c r="P22" i="7"/>
  <c r="K22" i="7"/>
  <c r="D22" i="7"/>
  <c r="C22" i="7"/>
  <c r="B22" i="7"/>
  <c r="M21" i="7"/>
  <c r="K21" i="7"/>
  <c r="I21" i="7"/>
  <c r="H21" i="7"/>
  <c r="D21" i="7"/>
  <c r="E21" i="7" s="1"/>
  <c r="C21" i="7"/>
  <c r="B21" i="7"/>
  <c r="D20" i="7"/>
  <c r="E20" i="7" s="1"/>
  <c r="C20" i="7"/>
  <c r="I20" i="7" s="1"/>
  <c r="B20" i="7"/>
  <c r="K19" i="7"/>
  <c r="D19" i="7"/>
  <c r="E19" i="7" s="1"/>
  <c r="C19" i="7"/>
  <c r="B19" i="7"/>
  <c r="N18" i="7"/>
  <c r="L18" i="7"/>
  <c r="D18" i="7"/>
  <c r="C18" i="7"/>
  <c r="B18" i="7"/>
  <c r="W17" i="7"/>
  <c r="Q17" i="7"/>
  <c r="X17" i="7" s="1"/>
  <c r="P17" i="7"/>
  <c r="O17" i="7"/>
  <c r="V17" i="7" s="1"/>
  <c r="N17" i="7"/>
  <c r="U17" i="7" s="1"/>
  <c r="M17" i="7"/>
  <c r="T17" i="7" s="1"/>
  <c r="L17" i="7"/>
  <c r="S17" i="7" s="1"/>
  <c r="K17" i="7"/>
  <c r="J17" i="7"/>
  <c r="G17" i="7"/>
  <c r="F17" i="7"/>
  <c r="D17" i="7"/>
  <c r="E17" i="7" s="1"/>
  <c r="C17" i="7"/>
  <c r="I17" i="7" s="1"/>
  <c r="B17" i="7"/>
  <c r="Q16" i="7"/>
  <c r="P16" i="7"/>
  <c r="O16" i="7"/>
  <c r="N16" i="7"/>
  <c r="M16" i="7"/>
  <c r="L16" i="7"/>
  <c r="K16" i="7"/>
  <c r="J16" i="7"/>
  <c r="I16" i="7"/>
  <c r="H16" i="7"/>
  <c r="G16" i="7"/>
  <c r="F16" i="7"/>
  <c r="D16" i="7"/>
  <c r="E16" i="7" s="1"/>
  <c r="C16" i="7"/>
  <c r="B16" i="7"/>
  <c r="Q15" i="7"/>
  <c r="X15" i="7" s="1"/>
  <c r="P15" i="7"/>
  <c r="W15" i="7" s="1"/>
  <c r="O15" i="7"/>
  <c r="V15" i="7" s="1"/>
  <c r="L15" i="7"/>
  <c r="S15" i="7" s="1"/>
  <c r="K15" i="7"/>
  <c r="J15" i="7"/>
  <c r="I15" i="7"/>
  <c r="G15" i="7"/>
  <c r="E15" i="7"/>
  <c r="D15" i="7"/>
  <c r="C15" i="7"/>
  <c r="F15" i="7" s="1"/>
  <c r="B15" i="7"/>
  <c r="Q14" i="7"/>
  <c r="M14" i="7"/>
  <c r="L14" i="7"/>
  <c r="K14" i="7"/>
  <c r="H14" i="7"/>
  <c r="D14" i="7"/>
  <c r="E14" i="7" s="1"/>
  <c r="C14" i="7"/>
  <c r="I14" i="7" s="1"/>
  <c r="B14" i="7"/>
  <c r="N13" i="7"/>
  <c r="M13" i="7"/>
  <c r="J13" i="7"/>
  <c r="E13" i="7"/>
  <c r="D13" i="7"/>
  <c r="C13" i="7"/>
  <c r="B13" i="7"/>
  <c r="P12" i="7"/>
  <c r="N12" i="7"/>
  <c r="L12" i="7"/>
  <c r="E12" i="7"/>
  <c r="D12" i="7"/>
  <c r="C12" i="7"/>
  <c r="B12" i="7"/>
  <c r="Q11" i="7"/>
  <c r="X11" i="7" s="1"/>
  <c r="P11" i="7"/>
  <c r="N11" i="7"/>
  <c r="G11" i="7"/>
  <c r="E11" i="7"/>
  <c r="D11" i="7"/>
  <c r="C11" i="7"/>
  <c r="B11" i="7"/>
  <c r="T10" i="7"/>
  <c r="S10" i="7"/>
  <c r="R10" i="7"/>
  <c r="Q10" i="7"/>
  <c r="X10" i="7" s="1"/>
  <c r="P10" i="7"/>
  <c r="W10" i="7" s="1"/>
  <c r="O10" i="7"/>
  <c r="N10" i="7"/>
  <c r="M10" i="7"/>
  <c r="L10" i="7"/>
  <c r="K10" i="7"/>
  <c r="J10" i="7"/>
  <c r="I10" i="7"/>
  <c r="H10" i="7"/>
  <c r="G10" i="7"/>
  <c r="F10" i="7"/>
  <c r="V10" i="7" s="1"/>
  <c r="D10" i="7"/>
  <c r="E10" i="7" s="1"/>
  <c r="C10" i="7"/>
  <c r="B10" i="7"/>
  <c r="T9" i="7"/>
  <c r="M9" i="7"/>
  <c r="L9" i="7"/>
  <c r="S9" i="7" s="1"/>
  <c r="K9" i="7"/>
  <c r="I9" i="7"/>
  <c r="H9" i="7"/>
  <c r="G9" i="7"/>
  <c r="F9" i="7"/>
  <c r="R9" i="7" s="1"/>
  <c r="D9" i="7"/>
  <c r="E9" i="7" s="1"/>
  <c r="C9" i="7"/>
  <c r="Q9" i="7" s="1"/>
  <c r="B9" i="7"/>
  <c r="N8" i="7"/>
  <c r="L8" i="7"/>
  <c r="D8" i="7"/>
  <c r="E8" i="7" s="1"/>
  <c r="C8" i="7"/>
  <c r="B8" i="7"/>
  <c r="Q7" i="7"/>
  <c r="X7" i="7" s="1"/>
  <c r="O7" i="7"/>
  <c r="V7" i="7" s="1"/>
  <c r="N7" i="7"/>
  <c r="U7" i="7" s="1"/>
  <c r="M7" i="7"/>
  <c r="T7" i="7" s="1"/>
  <c r="L7" i="7"/>
  <c r="S7" i="7" s="1"/>
  <c r="I7" i="7"/>
  <c r="H7" i="7"/>
  <c r="G7" i="7"/>
  <c r="F7" i="7"/>
  <c r="D7" i="7"/>
  <c r="E7" i="7" s="1"/>
  <c r="C7" i="7"/>
  <c r="K7" i="7" s="1"/>
  <c r="B7" i="7"/>
  <c r="Q6" i="7"/>
  <c r="P6" i="7"/>
  <c r="W6" i="7" s="1"/>
  <c r="O6" i="7"/>
  <c r="V6" i="7" s="1"/>
  <c r="L6" i="7"/>
  <c r="S6" i="7" s="1"/>
  <c r="K6" i="7"/>
  <c r="J6" i="7"/>
  <c r="I6" i="7"/>
  <c r="G6" i="7"/>
  <c r="F6" i="7"/>
  <c r="D6" i="7"/>
  <c r="E6" i="7" s="1"/>
  <c r="C6" i="7"/>
  <c r="N6" i="7" s="1"/>
  <c r="U6" i="7" s="1"/>
  <c r="B6" i="7"/>
  <c r="M5" i="7"/>
  <c r="L5" i="7"/>
  <c r="J5" i="7"/>
  <c r="E5" i="7"/>
  <c r="D5" i="7"/>
  <c r="C5" i="7"/>
  <c r="B5" i="7"/>
  <c r="Q4" i="7"/>
  <c r="P4" i="7"/>
  <c r="O4" i="7"/>
  <c r="V4" i="7" s="1"/>
  <c r="M4" i="7"/>
  <c r="F4" i="7"/>
  <c r="D4" i="7"/>
  <c r="E4" i="7" s="1"/>
  <c r="C4" i="7"/>
  <c r="B4" i="7"/>
  <c r="T3" i="7"/>
  <c r="S3" i="7"/>
  <c r="R3" i="7"/>
  <c r="Q3" i="7"/>
  <c r="P3" i="7"/>
  <c r="W3" i="7" s="1"/>
  <c r="O3" i="7"/>
  <c r="V3" i="7" s="1"/>
  <c r="N3" i="7"/>
  <c r="M3" i="7"/>
  <c r="L3" i="7"/>
  <c r="K3" i="7"/>
  <c r="J3" i="7"/>
  <c r="I3" i="7"/>
  <c r="H3" i="7"/>
  <c r="G3" i="7"/>
  <c r="X3" i="7" s="1"/>
  <c r="F3" i="7"/>
  <c r="U3" i="7" s="1"/>
  <c r="E3" i="7"/>
  <c r="D3" i="7"/>
  <c r="C3" i="7"/>
  <c r="B3" i="7"/>
  <c r="S2" i="7"/>
  <c r="L2" i="7"/>
  <c r="J2" i="7"/>
  <c r="H2" i="7"/>
  <c r="R2" i="7" s="1"/>
  <c r="G2" i="7"/>
  <c r="D2" i="7"/>
  <c r="C2" i="7"/>
  <c r="F2" i="7" s="1"/>
  <c r="B2" i="7"/>
  <c r="D121" i="6"/>
  <c r="E121" i="6" s="1"/>
  <c r="C121" i="6"/>
  <c r="B121" i="6"/>
  <c r="D119" i="6"/>
  <c r="C119" i="6"/>
  <c r="F119" i="6" s="1"/>
  <c r="B119" i="6"/>
  <c r="H118" i="6"/>
  <c r="G118" i="6"/>
  <c r="F118" i="6"/>
  <c r="R118" i="6" s="1"/>
  <c r="E118" i="6"/>
  <c r="D118" i="6"/>
  <c r="C118" i="6"/>
  <c r="B118" i="6"/>
  <c r="I117" i="6"/>
  <c r="H117" i="6"/>
  <c r="R117" i="6" s="1"/>
  <c r="G117" i="6"/>
  <c r="F117" i="6"/>
  <c r="D117" i="6"/>
  <c r="E117" i="6" s="1"/>
  <c r="C117" i="6"/>
  <c r="B117" i="6"/>
  <c r="J116" i="6"/>
  <c r="I116" i="6"/>
  <c r="H116" i="6"/>
  <c r="G116" i="6"/>
  <c r="F116" i="6"/>
  <c r="D116" i="6"/>
  <c r="E116" i="6" s="1"/>
  <c r="C116" i="6"/>
  <c r="B116" i="6"/>
  <c r="K115" i="6"/>
  <c r="J115" i="6"/>
  <c r="I115" i="6"/>
  <c r="H115" i="6"/>
  <c r="G115" i="6"/>
  <c r="F115" i="6"/>
  <c r="R115" i="6" s="1"/>
  <c r="E115" i="6"/>
  <c r="D115" i="6"/>
  <c r="C115" i="6"/>
  <c r="B115" i="6"/>
  <c r="L114" i="6"/>
  <c r="S114" i="6" s="1"/>
  <c r="K114" i="6"/>
  <c r="J114" i="6"/>
  <c r="I114" i="6"/>
  <c r="H114" i="6"/>
  <c r="R114" i="6" s="1"/>
  <c r="F114" i="6"/>
  <c r="E114" i="6"/>
  <c r="D114" i="6"/>
  <c r="C114" i="6"/>
  <c r="G114" i="6" s="1"/>
  <c r="B114" i="6"/>
  <c r="G113" i="6"/>
  <c r="D113" i="6"/>
  <c r="E113" i="6" s="1"/>
  <c r="C113" i="6"/>
  <c r="B113" i="6"/>
  <c r="S112" i="6"/>
  <c r="L112" i="6"/>
  <c r="K112" i="6"/>
  <c r="J112" i="6"/>
  <c r="I112" i="6"/>
  <c r="H112" i="6"/>
  <c r="R112" i="6" s="1"/>
  <c r="G112" i="6"/>
  <c r="F112" i="6"/>
  <c r="E112" i="6"/>
  <c r="D112" i="6"/>
  <c r="C112" i="6"/>
  <c r="B112" i="6"/>
  <c r="L111" i="6"/>
  <c r="S111" i="6" s="1"/>
  <c r="K111" i="6"/>
  <c r="J111" i="6"/>
  <c r="I111" i="6"/>
  <c r="H111" i="6"/>
  <c r="R111" i="6" s="1"/>
  <c r="G111" i="6"/>
  <c r="E111" i="6"/>
  <c r="D111" i="6"/>
  <c r="C111" i="6"/>
  <c r="F111" i="6" s="1"/>
  <c r="B111" i="6"/>
  <c r="K110" i="6"/>
  <c r="J110" i="6"/>
  <c r="F110" i="6"/>
  <c r="E110" i="6"/>
  <c r="D110" i="6"/>
  <c r="C110" i="6"/>
  <c r="B110" i="6"/>
  <c r="J109" i="6"/>
  <c r="I109" i="6"/>
  <c r="F109" i="6"/>
  <c r="D109" i="6"/>
  <c r="E109" i="6" s="1"/>
  <c r="C109" i="6"/>
  <c r="L109" i="6" s="1"/>
  <c r="B109" i="6"/>
  <c r="L108" i="6"/>
  <c r="K108" i="6"/>
  <c r="J108" i="6"/>
  <c r="I108" i="6"/>
  <c r="H108" i="6"/>
  <c r="G108" i="6"/>
  <c r="D108" i="6"/>
  <c r="C108" i="6"/>
  <c r="F108" i="6" s="1"/>
  <c r="B108" i="6"/>
  <c r="K107" i="6"/>
  <c r="D107" i="6"/>
  <c r="E107" i="6" s="1"/>
  <c r="C107" i="6"/>
  <c r="B107" i="6"/>
  <c r="R106" i="6"/>
  <c r="M106" i="6"/>
  <c r="T106" i="6" s="1"/>
  <c r="L106" i="6"/>
  <c r="S106" i="6" s="1"/>
  <c r="K106" i="6"/>
  <c r="J106" i="6"/>
  <c r="I106" i="6"/>
  <c r="H106" i="6"/>
  <c r="G106" i="6"/>
  <c r="F106" i="6"/>
  <c r="D106" i="6"/>
  <c r="C106" i="6"/>
  <c r="B106" i="6"/>
  <c r="E106" i="6" s="1"/>
  <c r="T105" i="6"/>
  <c r="M105" i="6"/>
  <c r="L105" i="6"/>
  <c r="S105" i="6" s="1"/>
  <c r="K105" i="6"/>
  <c r="I105" i="6"/>
  <c r="H105" i="6"/>
  <c r="G105" i="6"/>
  <c r="F105" i="6"/>
  <c r="R105" i="6" s="1"/>
  <c r="D105" i="6"/>
  <c r="E105" i="6" s="1"/>
  <c r="C105" i="6"/>
  <c r="J105" i="6" s="1"/>
  <c r="B105" i="6"/>
  <c r="K104" i="6"/>
  <c r="J104" i="6"/>
  <c r="F104" i="6"/>
  <c r="D104" i="6"/>
  <c r="E104" i="6" s="1"/>
  <c r="C104" i="6"/>
  <c r="B104" i="6"/>
  <c r="S103" i="6"/>
  <c r="L103" i="6"/>
  <c r="K103" i="6"/>
  <c r="G103" i="6"/>
  <c r="F103" i="6"/>
  <c r="D103" i="6"/>
  <c r="E103" i="6" s="1"/>
  <c r="C103" i="6"/>
  <c r="B103" i="6"/>
  <c r="R102" i="6"/>
  <c r="M102" i="6"/>
  <c r="T102" i="6" s="1"/>
  <c r="L102" i="6"/>
  <c r="K102" i="6"/>
  <c r="J102" i="6"/>
  <c r="I102" i="6"/>
  <c r="H102" i="6"/>
  <c r="G102" i="6"/>
  <c r="F102" i="6"/>
  <c r="D102" i="6"/>
  <c r="C102" i="6"/>
  <c r="B102" i="6"/>
  <c r="E102" i="6" s="1"/>
  <c r="M101" i="6"/>
  <c r="L101" i="6"/>
  <c r="K101" i="6"/>
  <c r="I101" i="6"/>
  <c r="H101" i="6"/>
  <c r="R101" i="6" s="1"/>
  <c r="G101" i="6"/>
  <c r="F101" i="6"/>
  <c r="T101" i="6" s="1"/>
  <c r="D101" i="6"/>
  <c r="E101" i="6" s="1"/>
  <c r="C101" i="6"/>
  <c r="J101" i="6" s="1"/>
  <c r="B101" i="6"/>
  <c r="U100" i="6"/>
  <c r="N100" i="6"/>
  <c r="M100" i="6"/>
  <c r="T100" i="6" s="1"/>
  <c r="L100" i="6"/>
  <c r="S100" i="6" s="1"/>
  <c r="K100" i="6"/>
  <c r="J100" i="6"/>
  <c r="I100" i="6"/>
  <c r="H100" i="6"/>
  <c r="F100" i="6"/>
  <c r="D100" i="6"/>
  <c r="E100" i="6" s="1"/>
  <c r="C100" i="6"/>
  <c r="G100" i="6" s="1"/>
  <c r="B100" i="6"/>
  <c r="K99" i="6"/>
  <c r="F99" i="6"/>
  <c r="D99" i="6"/>
  <c r="C99" i="6"/>
  <c r="B99" i="6"/>
  <c r="E99" i="6" s="1"/>
  <c r="D98" i="6"/>
  <c r="E98" i="6" s="1"/>
  <c r="C98" i="6"/>
  <c r="B98" i="6"/>
  <c r="N97" i="6"/>
  <c r="M97" i="6"/>
  <c r="L97" i="6"/>
  <c r="J97" i="6"/>
  <c r="I97" i="6"/>
  <c r="D97" i="6"/>
  <c r="E97" i="6" s="1"/>
  <c r="C97" i="6"/>
  <c r="B97" i="6"/>
  <c r="N96" i="6"/>
  <c r="M96" i="6"/>
  <c r="L96" i="6"/>
  <c r="S96" i="6" s="1"/>
  <c r="K96" i="6"/>
  <c r="J96" i="6"/>
  <c r="I96" i="6"/>
  <c r="H96" i="6"/>
  <c r="G96" i="6"/>
  <c r="F96" i="6"/>
  <c r="D96" i="6"/>
  <c r="C96" i="6"/>
  <c r="B96" i="6"/>
  <c r="E96" i="6" s="1"/>
  <c r="I95" i="6"/>
  <c r="H95" i="6"/>
  <c r="G95" i="6"/>
  <c r="D95" i="6"/>
  <c r="E95" i="6" s="1"/>
  <c r="C95" i="6"/>
  <c r="J95" i="6" s="1"/>
  <c r="B95" i="6"/>
  <c r="N94" i="6"/>
  <c r="M94" i="6"/>
  <c r="L94" i="6"/>
  <c r="D94" i="6"/>
  <c r="C94" i="6"/>
  <c r="B94" i="6"/>
  <c r="D93" i="6"/>
  <c r="E93" i="6" s="1"/>
  <c r="C93" i="6"/>
  <c r="M93" i="6" s="1"/>
  <c r="B93" i="6"/>
  <c r="R92" i="6"/>
  <c r="N92" i="6"/>
  <c r="U92" i="6" s="1"/>
  <c r="M92" i="6"/>
  <c r="K92" i="6"/>
  <c r="J92" i="6"/>
  <c r="I92" i="6"/>
  <c r="H92" i="6"/>
  <c r="G92" i="6"/>
  <c r="F92" i="6"/>
  <c r="T92" i="6" s="1"/>
  <c r="D92" i="6"/>
  <c r="E92" i="6" s="1"/>
  <c r="C92" i="6"/>
  <c r="L92" i="6" s="1"/>
  <c r="S92" i="6" s="1"/>
  <c r="B92" i="6"/>
  <c r="M91" i="6"/>
  <c r="T91" i="6" s="1"/>
  <c r="I91" i="6"/>
  <c r="H91" i="6"/>
  <c r="G91" i="6"/>
  <c r="F91" i="6"/>
  <c r="D91" i="6"/>
  <c r="E91" i="6" s="1"/>
  <c r="C91" i="6"/>
  <c r="B91" i="6"/>
  <c r="D90" i="6"/>
  <c r="E90" i="6" s="1"/>
  <c r="C90" i="6"/>
  <c r="O90" i="6" s="1"/>
  <c r="B90" i="6"/>
  <c r="U89" i="6"/>
  <c r="T89" i="6"/>
  <c r="S89" i="6"/>
  <c r="O89" i="6"/>
  <c r="N89" i="6"/>
  <c r="M89" i="6"/>
  <c r="L89" i="6"/>
  <c r="K89" i="6"/>
  <c r="G89" i="6"/>
  <c r="F89" i="6"/>
  <c r="E89" i="6"/>
  <c r="D89" i="6"/>
  <c r="C89" i="6"/>
  <c r="B89" i="6"/>
  <c r="O88" i="6"/>
  <c r="N88" i="6"/>
  <c r="M88" i="6"/>
  <c r="L88" i="6"/>
  <c r="D88" i="6"/>
  <c r="E88" i="6" s="1"/>
  <c r="C88" i="6"/>
  <c r="B88" i="6"/>
  <c r="D87" i="6"/>
  <c r="E87" i="6" s="1"/>
  <c r="C87" i="6"/>
  <c r="J87" i="6" s="1"/>
  <c r="B87" i="6"/>
  <c r="O86" i="6"/>
  <c r="N86" i="6"/>
  <c r="J86" i="6"/>
  <c r="I86" i="6"/>
  <c r="H86" i="6"/>
  <c r="G86" i="6"/>
  <c r="D86" i="6"/>
  <c r="C86" i="6"/>
  <c r="B86" i="6"/>
  <c r="O85" i="6"/>
  <c r="V85" i="6" s="1"/>
  <c r="N85" i="6"/>
  <c r="U85" i="6" s="1"/>
  <c r="M85" i="6"/>
  <c r="T85" i="6" s="1"/>
  <c r="F85" i="6"/>
  <c r="D85" i="6"/>
  <c r="E85" i="6" s="1"/>
  <c r="C85" i="6"/>
  <c r="B85" i="6"/>
  <c r="V84" i="6"/>
  <c r="U84" i="6"/>
  <c r="T84" i="6"/>
  <c r="N84" i="6"/>
  <c r="M84" i="6"/>
  <c r="L84" i="6"/>
  <c r="S84" i="6" s="1"/>
  <c r="K84" i="6"/>
  <c r="J84" i="6"/>
  <c r="I84" i="6"/>
  <c r="H84" i="6"/>
  <c r="R84" i="6" s="1"/>
  <c r="G84" i="6"/>
  <c r="F84" i="6"/>
  <c r="D84" i="6"/>
  <c r="C84" i="6"/>
  <c r="O84" i="6" s="1"/>
  <c r="B84" i="6"/>
  <c r="E84" i="6" s="1"/>
  <c r="O83" i="6"/>
  <c r="N83" i="6"/>
  <c r="M83" i="6"/>
  <c r="L83" i="6"/>
  <c r="K83" i="6"/>
  <c r="J83" i="6"/>
  <c r="I83" i="6"/>
  <c r="H83" i="6"/>
  <c r="R83" i="6" s="1"/>
  <c r="G83" i="6"/>
  <c r="F83" i="6"/>
  <c r="V83" i="6" s="1"/>
  <c r="D83" i="6"/>
  <c r="E83" i="6" s="1"/>
  <c r="C83" i="6"/>
  <c r="B83" i="6"/>
  <c r="O82" i="6"/>
  <c r="V82" i="6" s="1"/>
  <c r="N82" i="6"/>
  <c r="U82" i="6" s="1"/>
  <c r="L82" i="6"/>
  <c r="S82" i="6" s="1"/>
  <c r="K82" i="6"/>
  <c r="J82" i="6"/>
  <c r="I82" i="6"/>
  <c r="H82" i="6"/>
  <c r="R82" i="6" s="1"/>
  <c r="G82" i="6"/>
  <c r="F82" i="6"/>
  <c r="T82" i="6" s="1"/>
  <c r="D82" i="6"/>
  <c r="E82" i="6" s="1"/>
  <c r="C82" i="6"/>
  <c r="M82" i="6" s="1"/>
  <c r="B82" i="6"/>
  <c r="N81" i="6"/>
  <c r="D81" i="6"/>
  <c r="E81" i="6" s="1"/>
  <c r="C81" i="6"/>
  <c r="L81" i="6" s="1"/>
  <c r="B81" i="6"/>
  <c r="N80" i="6"/>
  <c r="U80" i="6" s="1"/>
  <c r="M80" i="6"/>
  <c r="T80" i="6" s="1"/>
  <c r="L80" i="6"/>
  <c r="S80" i="6" s="1"/>
  <c r="F80" i="6"/>
  <c r="D80" i="6"/>
  <c r="E80" i="6" s="1"/>
  <c r="C80" i="6"/>
  <c r="B80" i="6"/>
  <c r="O79" i="6"/>
  <c r="N79" i="6"/>
  <c r="I79" i="6"/>
  <c r="H79" i="6"/>
  <c r="R79" i="6" s="1"/>
  <c r="G79" i="6"/>
  <c r="F79" i="6"/>
  <c r="V79" i="6" s="1"/>
  <c r="D79" i="6"/>
  <c r="E79" i="6" s="1"/>
  <c r="C79" i="6"/>
  <c r="B79" i="6"/>
  <c r="M78" i="6"/>
  <c r="L78" i="6"/>
  <c r="K78" i="6"/>
  <c r="D78" i="6"/>
  <c r="E78" i="6" s="1"/>
  <c r="C78" i="6"/>
  <c r="O78" i="6" s="1"/>
  <c r="B78" i="6"/>
  <c r="T77" i="6"/>
  <c r="O77" i="6"/>
  <c r="V77" i="6" s="1"/>
  <c r="N77" i="6"/>
  <c r="U77" i="6" s="1"/>
  <c r="M77" i="6"/>
  <c r="L77" i="6"/>
  <c r="K77" i="6"/>
  <c r="J77" i="6"/>
  <c r="I77" i="6"/>
  <c r="G77" i="6"/>
  <c r="F77" i="6"/>
  <c r="E77" i="6"/>
  <c r="D77" i="6"/>
  <c r="C77" i="6"/>
  <c r="H77" i="6" s="1"/>
  <c r="B77" i="6"/>
  <c r="P76" i="6"/>
  <c r="W76" i="6" s="1"/>
  <c r="O76" i="6"/>
  <c r="V76" i="6" s="1"/>
  <c r="N76" i="6"/>
  <c r="U76" i="6" s="1"/>
  <c r="M76" i="6"/>
  <c r="T76" i="6" s="1"/>
  <c r="L76" i="6"/>
  <c r="S76" i="6" s="1"/>
  <c r="F76" i="6"/>
  <c r="D76" i="6"/>
  <c r="E76" i="6" s="1"/>
  <c r="C76" i="6"/>
  <c r="I76" i="6" s="1"/>
  <c r="B76" i="6"/>
  <c r="M75" i="6"/>
  <c r="L75" i="6"/>
  <c r="K75" i="6"/>
  <c r="I75" i="6"/>
  <c r="H75" i="6"/>
  <c r="G75" i="6"/>
  <c r="D75" i="6"/>
  <c r="E75" i="6" s="1"/>
  <c r="C75" i="6"/>
  <c r="J75" i="6" s="1"/>
  <c r="B75" i="6"/>
  <c r="D74" i="6"/>
  <c r="E74" i="6" s="1"/>
  <c r="C74" i="6"/>
  <c r="K74" i="6" s="1"/>
  <c r="B74" i="6"/>
  <c r="N73" i="6"/>
  <c r="M73" i="6"/>
  <c r="I73" i="6"/>
  <c r="H73" i="6"/>
  <c r="G73" i="6"/>
  <c r="D73" i="6"/>
  <c r="E73" i="6" s="1"/>
  <c r="C73" i="6"/>
  <c r="K73" i="6" s="1"/>
  <c r="B73" i="6"/>
  <c r="P72" i="6"/>
  <c r="G72" i="6"/>
  <c r="D72" i="6"/>
  <c r="E72" i="6" s="1"/>
  <c r="C72" i="6"/>
  <c r="B72" i="6"/>
  <c r="S71" i="6"/>
  <c r="R71" i="6"/>
  <c r="P71" i="6"/>
  <c r="W71" i="6" s="1"/>
  <c r="O71" i="6"/>
  <c r="V71" i="6" s="1"/>
  <c r="N71" i="6"/>
  <c r="M71" i="6"/>
  <c r="L71" i="6"/>
  <c r="K71" i="6"/>
  <c r="J71" i="6"/>
  <c r="I71" i="6"/>
  <c r="H71" i="6"/>
  <c r="G71" i="6"/>
  <c r="F71" i="6"/>
  <c r="U71" i="6" s="1"/>
  <c r="D71" i="6"/>
  <c r="E71" i="6" s="1"/>
  <c r="C71" i="6"/>
  <c r="B71" i="6"/>
  <c r="T70" i="6"/>
  <c r="S70" i="6"/>
  <c r="R70" i="6"/>
  <c r="P70" i="6"/>
  <c r="W70" i="6" s="1"/>
  <c r="N70" i="6"/>
  <c r="M70" i="6"/>
  <c r="L70" i="6"/>
  <c r="K70" i="6"/>
  <c r="J70" i="6"/>
  <c r="I70" i="6"/>
  <c r="H70" i="6"/>
  <c r="G70" i="6"/>
  <c r="F70" i="6"/>
  <c r="U70" i="6" s="1"/>
  <c r="D70" i="6"/>
  <c r="C70" i="6"/>
  <c r="O70" i="6" s="1"/>
  <c r="V70" i="6" s="1"/>
  <c r="B70" i="6"/>
  <c r="E70" i="6" s="1"/>
  <c r="O69" i="6"/>
  <c r="K69" i="6"/>
  <c r="J69" i="6"/>
  <c r="I69" i="6"/>
  <c r="D69" i="6"/>
  <c r="E69" i="6" s="1"/>
  <c r="C69" i="6"/>
  <c r="G69" i="6" s="1"/>
  <c r="B69" i="6"/>
  <c r="D68" i="6"/>
  <c r="E68" i="6" s="1"/>
  <c r="C68" i="6"/>
  <c r="H68" i="6" s="1"/>
  <c r="B68" i="6"/>
  <c r="D67" i="6"/>
  <c r="E67" i="6" s="1"/>
  <c r="C67" i="6"/>
  <c r="P67" i="6" s="1"/>
  <c r="B67" i="6"/>
  <c r="N66" i="6"/>
  <c r="M66" i="6"/>
  <c r="J66" i="6"/>
  <c r="D66" i="6"/>
  <c r="E66" i="6" s="1"/>
  <c r="C66" i="6"/>
  <c r="B66" i="6"/>
  <c r="P65" i="6"/>
  <c r="W65" i="6" s="1"/>
  <c r="O65" i="6"/>
  <c r="V65" i="6" s="1"/>
  <c r="N65" i="6"/>
  <c r="U65" i="6" s="1"/>
  <c r="M65" i="6"/>
  <c r="T65" i="6" s="1"/>
  <c r="L65" i="6"/>
  <c r="K65" i="6"/>
  <c r="J65" i="6"/>
  <c r="G65" i="6"/>
  <c r="F65" i="6"/>
  <c r="S65" i="6" s="1"/>
  <c r="D65" i="6"/>
  <c r="C65" i="6"/>
  <c r="B65" i="6"/>
  <c r="W64" i="6"/>
  <c r="P64" i="6"/>
  <c r="O64" i="6"/>
  <c r="V64" i="6" s="1"/>
  <c r="N64" i="6"/>
  <c r="U64" i="6" s="1"/>
  <c r="M64" i="6"/>
  <c r="T64" i="6" s="1"/>
  <c r="L64" i="6"/>
  <c r="S64" i="6" s="1"/>
  <c r="K64" i="6"/>
  <c r="H64" i="6"/>
  <c r="R64" i="6" s="1"/>
  <c r="G64" i="6"/>
  <c r="F64" i="6"/>
  <c r="D64" i="6"/>
  <c r="E64" i="6" s="1"/>
  <c r="C64" i="6"/>
  <c r="B64" i="6"/>
  <c r="N63" i="6"/>
  <c r="M63" i="6"/>
  <c r="L63" i="6"/>
  <c r="S63" i="6" s="1"/>
  <c r="I63" i="6"/>
  <c r="H63" i="6"/>
  <c r="R63" i="6" s="1"/>
  <c r="G63" i="6"/>
  <c r="F63" i="6"/>
  <c r="U63" i="6" s="1"/>
  <c r="E63" i="6"/>
  <c r="D63" i="6"/>
  <c r="C63" i="6"/>
  <c r="B63" i="6"/>
  <c r="P62" i="6"/>
  <c r="O62" i="6"/>
  <c r="N62" i="6"/>
  <c r="M62" i="6"/>
  <c r="K62" i="6"/>
  <c r="J62" i="6"/>
  <c r="I62" i="6"/>
  <c r="H62" i="6"/>
  <c r="R62" i="6" s="1"/>
  <c r="G62" i="6"/>
  <c r="F62" i="6"/>
  <c r="T62" i="6" s="1"/>
  <c r="D62" i="6"/>
  <c r="E62" i="6" s="1"/>
  <c r="C62" i="6"/>
  <c r="L62" i="6" s="1"/>
  <c r="S62" i="6" s="1"/>
  <c r="B62" i="6"/>
  <c r="D61" i="6"/>
  <c r="E61" i="6" s="1"/>
  <c r="C61" i="6"/>
  <c r="Q61" i="6" s="1"/>
  <c r="X61" i="6" s="1"/>
  <c r="B61" i="6"/>
  <c r="U60" i="6"/>
  <c r="T60" i="6"/>
  <c r="S60" i="6"/>
  <c r="N60" i="6"/>
  <c r="M60" i="6"/>
  <c r="L60" i="6"/>
  <c r="K60" i="6"/>
  <c r="J60" i="6"/>
  <c r="H60" i="6"/>
  <c r="R60" i="6" s="1"/>
  <c r="G60" i="6"/>
  <c r="F60" i="6"/>
  <c r="D60" i="6"/>
  <c r="C60" i="6"/>
  <c r="P60" i="6" s="1"/>
  <c r="W60" i="6" s="1"/>
  <c r="B60" i="6"/>
  <c r="E60" i="6" s="1"/>
  <c r="Q59" i="6"/>
  <c r="X59" i="6" s="1"/>
  <c r="P59" i="6"/>
  <c r="O59" i="6"/>
  <c r="N59" i="6"/>
  <c r="I59" i="6"/>
  <c r="H59" i="6"/>
  <c r="D59" i="6"/>
  <c r="E59" i="6" s="1"/>
  <c r="C59" i="6"/>
  <c r="L59" i="6" s="1"/>
  <c r="B59" i="6"/>
  <c r="Q58" i="6"/>
  <c r="X58" i="6" s="1"/>
  <c r="P58" i="6"/>
  <c r="W58" i="6" s="1"/>
  <c r="N58" i="6"/>
  <c r="U58" i="6" s="1"/>
  <c r="M58" i="6"/>
  <c r="T58" i="6" s="1"/>
  <c r="L58" i="6"/>
  <c r="S58" i="6" s="1"/>
  <c r="K58" i="6"/>
  <c r="J58" i="6"/>
  <c r="I58" i="6"/>
  <c r="H58" i="6"/>
  <c r="G58" i="6"/>
  <c r="F58" i="6"/>
  <c r="R58" i="6" s="1"/>
  <c r="E58" i="6"/>
  <c r="D58" i="6"/>
  <c r="C58" i="6"/>
  <c r="O58" i="6" s="1"/>
  <c r="B58" i="6"/>
  <c r="N57" i="6"/>
  <c r="M57" i="6"/>
  <c r="L57" i="6"/>
  <c r="K57" i="6"/>
  <c r="J57" i="6"/>
  <c r="I57" i="6"/>
  <c r="D57" i="6"/>
  <c r="E57" i="6" s="1"/>
  <c r="C57" i="6"/>
  <c r="B57" i="6"/>
  <c r="Q56" i="6"/>
  <c r="X56" i="6" s="1"/>
  <c r="P56" i="6"/>
  <c r="M56" i="6"/>
  <c r="L56" i="6"/>
  <c r="S56" i="6" s="1"/>
  <c r="K56" i="6"/>
  <c r="H56" i="6"/>
  <c r="R56" i="6" s="1"/>
  <c r="G56" i="6"/>
  <c r="F56" i="6"/>
  <c r="T56" i="6" s="1"/>
  <c r="D56" i="6"/>
  <c r="E56" i="6" s="1"/>
  <c r="C56" i="6"/>
  <c r="B56" i="6"/>
  <c r="D55" i="6"/>
  <c r="C55" i="6"/>
  <c r="Q55" i="6" s="1"/>
  <c r="X55" i="6" s="1"/>
  <c r="B55" i="6"/>
  <c r="E55" i="6" s="1"/>
  <c r="N54" i="6"/>
  <c r="D54" i="6"/>
  <c r="E54" i="6" s="1"/>
  <c r="C54" i="6"/>
  <c r="F54" i="6" s="1"/>
  <c r="U54" i="6" s="1"/>
  <c r="B54" i="6"/>
  <c r="U53" i="6"/>
  <c r="T53" i="6"/>
  <c r="Q53" i="6"/>
  <c r="X53" i="6" s="1"/>
  <c r="P53" i="6"/>
  <c r="W53" i="6" s="1"/>
  <c r="O53" i="6"/>
  <c r="N53" i="6"/>
  <c r="M53" i="6"/>
  <c r="L53" i="6"/>
  <c r="K53" i="6"/>
  <c r="I53" i="6"/>
  <c r="H53" i="6"/>
  <c r="G53" i="6"/>
  <c r="F53" i="6"/>
  <c r="E53" i="6"/>
  <c r="D53" i="6"/>
  <c r="C53" i="6"/>
  <c r="J53" i="6" s="1"/>
  <c r="B53" i="6"/>
  <c r="Q52" i="6"/>
  <c r="X52" i="6" s="1"/>
  <c r="P52" i="6"/>
  <c r="O52" i="6"/>
  <c r="N52" i="6"/>
  <c r="L52" i="6"/>
  <c r="G52" i="6"/>
  <c r="D52" i="6"/>
  <c r="E52" i="6" s="1"/>
  <c r="C52" i="6"/>
  <c r="M52" i="6" s="1"/>
  <c r="B52" i="6"/>
  <c r="Q51" i="6"/>
  <c r="X51" i="6" s="1"/>
  <c r="O51" i="6"/>
  <c r="V51" i="6" s="1"/>
  <c r="N51" i="6"/>
  <c r="U51" i="6" s="1"/>
  <c r="M51" i="6"/>
  <c r="T51" i="6" s="1"/>
  <c r="L51" i="6"/>
  <c r="S51" i="6" s="1"/>
  <c r="K51" i="6"/>
  <c r="J51" i="6"/>
  <c r="F51" i="6"/>
  <c r="D51" i="6"/>
  <c r="E51" i="6" s="1"/>
  <c r="C51" i="6"/>
  <c r="P51" i="6" s="1"/>
  <c r="B51" i="6"/>
  <c r="N50" i="6"/>
  <c r="M50" i="6"/>
  <c r="T50" i="6" s="1"/>
  <c r="L50" i="6"/>
  <c r="K50" i="6"/>
  <c r="J50" i="6"/>
  <c r="I50" i="6"/>
  <c r="F50" i="6"/>
  <c r="U50" i="6" s="1"/>
  <c r="D50" i="6"/>
  <c r="E50" i="6" s="1"/>
  <c r="C50" i="6"/>
  <c r="B50" i="6"/>
  <c r="D49" i="6"/>
  <c r="E49" i="6" s="1"/>
  <c r="C49" i="6"/>
  <c r="O49" i="6" s="1"/>
  <c r="B49" i="6"/>
  <c r="D48" i="6"/>
  <c r="C48" i="6"/>
  <c r="Q48" i="6" s="1"/>
  <c r="X48" i="6" s="1"/>
  <c r="B48" i="6"/>
  <c r="N47" i="6"/>
  <c r="M47" i="6"/>
  <c r="J47" i="6"/>
  <c r="I47" i="6"/>
  <c r="G47" i="6"/>
  <c r="D47" i="6"/>
  <c r="E47" i="6" s="1"/>
  <c r="C47" i="6"/>
  <c r="O47" i="6" s="1"/>
  <c r="B47" i="6"/>
  <c r="U46" i="6"/>
  <c r="R46" i="6"/>
  <c r="Q46" i="6"/>
  <c r="X46" i="6" s="1"/>
  <c r="P46" i="6"/>
  <c r="W46" i="6" s="1"/>
  <c r="O46" i="6"/>
  <c r="V46" i="6" s="1"/>
  <c r="N46" i="6"/>
  <c r="M46" i="6"/>
  <c r="L46" i="6"/>
  <c r="J46" i="6"/>
  <c r="I46" i="6"/>
  <c r="H46" i="6"/>
  <c r="G46" i="6"/>
  <c r="F46" i="6"/>
  <c r="E46" i="6"/>
  <c r="D46" i="6"/>
  <c r="C46" i="6"/>
  <c r="K46" i="6" s="1"/>
  <c r="B46" i="6"/>
  <c r="Q45" i="6"/>
  <c r="X45" i="6" s="1"/>
  <c r="P45" i="6"/>
  <c r="W45" i="6" s="1"/>
  <c r="O45" i="6"/>
  <c r="V45" i="6" s="1"/>
  <c r="M45" i="6"/>
  <c r="T45" i="6" s="1"/>
  <c r="L45" i="6"/>
  <c r="S45" i="6" s="1"/>
  <c r="K45" i="6"/>
  <c r="J45" i="6"/>
  <c r="I45" i="6"/>
  <c r="H45" i="6"/>
  <c r="G45" i="6"/>
  <c r="F45" i="6"/>
  <c r="R45" i="6" s="1"/>
  <c r="D45" i="6"/>
  <c r="E45" i="6" s="1"/>
  <c r="C45" i="6"/>
  <c r="N45" i="6" s="1"/>
  <c r="B45" i="6"/>
  <c r="N44" i="6"/>
  <c r="M44" i="6"/>
  <c r="L44" i="6"/>
  <c r="K44" i="6"/>
  <c r="J44" i="6"/>
  <c r="D44" i="6"/>
  <c r="E44" i="6" s="1"/>
  <c r="C44" i="6"/>
  <c r="H44" i="6" s="1"/>
  <c r="B44" i="6"/>
  <c r="Q43" i="6"/>
  <c r="X43" i="6" s="1"/>
  <c r="N43" i="6"/>
  <c r="M43" i="6"/>
  <c r="L43" i="6"/>
  <c r="S43" i="6" s="1"/>
  <c r="K43" i="6"/>
  <c r="J43" i="6"/>
  <c r="G43" i="6"/>
  <c r="F43" i="6"/>
  <c r="U43" i="6" s="1"/>
  <c r="E43" i="6"/>
  <c r="D43" i="6"/>
  <c r="C43" i="6"/>
  <c r="B43" i="6"/>
  <c r="Q42" i="6"/>
  <c r="X42" i="6" s="1"/>
  <c r="P42" i="6"/>
  <c r="O42" i="6"/>
  <c r="N42" i="6"/>
  <c r="M42" i="6"/>
  <c r="J42" i="6"/>
  <c r="I42" i="6"/>
  <c r="H42" i="6"/>
  <c r="R42" i="6" s="1"/>
  <c r="G42" i="6"/>
  <c r="F42" i="6"/>
  <c r="T42" i="6" s="1"/>
  <c r="D42" i="6"/>
  <c r="E42" i="6" s="1"/>
  <c r="C42" i="6"/>
  <c r="L42" i="6" s="1"/>
  <c r="S42" i="6" s="1"/>
  <c r="B42" i="6"/>
  <c r="D41" i="6"/>
  <c r="E41" i="6" s="1"/>
  <c r="C41" i="6"/>
  <c r="Q41" i="6" s="1"/>
  <c r="X41" i="6" s="1"/>
  <c r="B41" i="6"/>
  <c r="U40" i="6"/>
  <c r="T40" i="6"/>
  <c r="S40" i="6"/>
  <c r="N40" i="6"/>
  <c r="M40" i="6"/>
  <c r="L40" i="6"/>
  <c r="K40" i="6"/>
  <c r="J40" i="6"/>
  <c r="H40" i="6"/>
  <c r="R40" i="6" s="1"/>
  <c r="G40" i="6"/>
  <c r="F40" i="6"/>
  <c r="D40" i="6"/>
  <c r="C40" i="6"/>
  <c r="P40" i="6" s="1"/>
  <c r="W40" i="6" s="1"/>
  <c r="B40" i="6"/>
  <c r="E40" i="6" s="1"/>
  <c r="Q39" i="6"/>
  <c r="X39" i="6" s="1"/>
  <c r="P39" i="6"/>
  <c r="O39" i="6"/>
  <c r="N39" i="6"/>
  <c r="I39" i="6"/>
  <c r="H39" i="6"/>
  <c r="D39" i="6"/>
  <c r="E39" i="6" s="1"/>
  <c r="C39" i="6"/>
  <c r="L39" i="6" s="1"/>
  <c r="B39" i="6"/>
  <c r="Q38" i="6"/>
  <c r="X38" i="6" s="1"/>
  <c r="P38" i="6"/>
  <c r="W38" i="6" s="1"/>
  <c r="N38" i="6"/>
  <c r="U38" i="6" s="1"/>
  <c r="M38" i="6"/>
  <c r="T38" i="6" s="1"/>
  <c r="L38" i="6"/>
  <c r="S38" i="6" s="1"/>
  <c r="K38" i="6"/>
  <c r="J38" i="6"/>
  <c r="I38" i="6"/>
  <c r="H38" i="6"/>
  <c r="G38" i="6"/>
  <c r="F38" i="6"/>
  <c r="R38" i="6" s="1"/>
  <c r="E38" i="6"/>
  <c r="D38" i="6"/>
  <c r="C38" i="6"/>
  <c r="O38" i="6" s="1"/>
  <c r="B38" i="6"/>
  <c r="N37" i="6"/>
  <c r="M37" i="6"/>
  <c r="L37" i="6"/>
  <c r="K37" i="6"/>
  <c r="J37" i="6"/>
  <c r="I37" i="6"/>
  <c r="D37" i="6"/>
  <c r="E37" i="6" s="1"/>
  <c r="C37" i="6"/>
  <c r="B37" i="6"/>
  <c r="Q36" i="6"/>
  <c r="X36" i="6" s="1"/>
  <c r="P36" i="6"/>
  <c r="M36" i="6"/>
  <c r="L36" i="6"/>
  <c r="S36" i="6" s="1"/>
  <c r="K36" i="6"/>
  <c r="H36" i="6"/>
  <c r="R36" i="6" s="1"/>
  <c r="G36" i="6"/>
  <c r="F36" i="6"/>
  <c r="T36" i="6" s="1"/>
  <c r="D36" i="6"/>
  <c r="D123" i="6" s="1"/>
  <c r="C36" i="6"/>
  <c r="B36" i="6"/>
  <c r="D35" i="6"/>
  <c r="C35" i="6"/>
  <c r="Q35" i="6" s="1"/>
  <c r="X35" i="6" s="1"/>
  <c r="B35" i="6"/>
  <c r="B123" i="6" s="1"/>
  <c r="N34" i="6"/>
  <c r="D34" i="6"/>
  <c r="E34" i="6" s="1"/>
  <c r="C34" i="6"/>
  <c r="Q34" i="6" s="1"/>
  <c r="X34" i="6" s="1"/>
  <c r="B34" i="6"/>
  <c r="U33" i="6"/>
  <c r="T33" i="6"/>
  <c r="Q33" i="6"/>
  <c r="X33" i="6" s="1"/>
  <c r="P33" i="6"/>
  <c r="W33" i="6" s="1"/>
  <c r="O33" i="6"/>
  <c r="N33" i="6"/>
  <c r="M33" i="6"/>
  <c r="L33" i="6"/>
  <c r="K33" i="6"/>
  <c r="I33" i="6"/>
  <c r="H33" i="6"/>
  <c r="G33" i="6"/>
  <c r="F33" i="6"/>
  <c r="E33" i="6"/>
  <c r="D33" i="6"/>
  <c r="C33" i="6"/>
  <c r="J33" i="6" s="1"/>
  <c r="B33" i="6"/>
  <c r="Q32" i="6"/>
  <c r="X32" i="6" s="1"/>
  <c r="P32" i="6"/>
  <c r="O32" i="6"/>
  <c r="N32" i="6"/>
  <c r="L32" i="6"/>
  <c r="G32" i="6"/>
  <c r="D32" i="6"/>
  <c r="E32" i="6" s="1"/>
  <c r="C32" i="6"/>
  <c r="M32" i="6" s="1"/>
  <c r="B32" i="6"/>
  <c r="Q31" i="6"/>
  <c r="O31" i="6"/>
  <c r="V31" i="6" s="1"/>
  <c r="N31" i="6"/>
  <c r="U31" i="6" s="1"/>
  <c r="M31" i="6"/>
  <c r="T31" i="6" s="1"/>
  <c r="L31" i="6"/>
  <c r="S31" i="6" s="1"/>
  <c r="K31" i="6"/>
  <c r="J31" i="6"/>
  <c r="F31" i="6"/>
  <c r="D31" i="6"/>
  <c r="C31" i="6"/>
  <c r="P31" i="6" s="1"/>
  <c r="B31" i="6"/>
  <c r="E31" i="6" s="1"/>
  <c r="N30" i="6"/>
  <c r="M30" i="6"/>
  <c r="T30" i="6" s="1"/>
  <c r="L30" i="6"/>
  <c r="K30" i="6"/>
  <c r="J30" i="6"/>
  <c r="I30" i="6"/>
  <c r="F30" i="6"/>
  <c r="U30" i="6" s="1"/>
  <c r="D30" i="6"/>
  <c r="E30" i="6" s="1"/>
  <c r="C30" i="6"/>
  <c r="B30" i="6"/>
  <c r="D29" i="6"/>
  <c r="E29" i="6" s="1"/>
  <c r="C29" i="6"/>
  <c r="M29" i="6" s="1"/>
  <c r="B29" i="6"/>
  <c r="D28" i="6"/>
  <c r="C28" i="6"/>
  <c r="Q28" i="6" s="1"/>
  <c r="B28" i="6"/>
  <c r="N27" i="6"/>
  <c r="M27" i="6"/>
  <c r="J27" i="6"/>
  <c r="I27" i="6"/>
  <c r="G27" i="6"/>
  <c r="D27" i="6"/>
  <c r="E27" i="6" s="1"/>
  <c r="C27" i="6"/>
  <c r="O27" i="6" s="1"/>
  <c r="B27" i="6"/>
  <c r="U26" i="6"/>
  <c r="R26" i="6"/>
  <c r="Q26" i="6"/>
  <c r="X26" i="6" s="1"/>
  <c r="P26" i="6"/>
  <c r="W26" i="6" s="1"/>
  <c r="O26" i="6"/>
  <c r="V26" i="6" s="1"/>
  <c r="N26" i="6"/>
  <c r="M26" i="6"/>
  <c r="L26" i="6"/>
  <c r="J26" i="6"/>
  <c r="I26" i="6"/>
  <c r="H26" i="6"/>
  <c r="G26" i="6"/>
  <c r="F26" i="6"/>
  <c r="E26" i="6"/>
  <c r="D26" i="6"/>
  <c r="C26" i="6"/>
  <c r="K26" i="6" s="1"/>
  <c r="B26" i="6"/>
  <c r="Q25" i="6"/>
  <c r="X25" i="6" s="1"/>
  <c r="P25" i="6"/>
  <c r="W25" i="6" s="1"/>
  <c r="O25" i="6"/>
  <c r="V25" i="6" s="1"/>
  <c r="M25" i="6"/>
  <c r="T25" i="6" s="1"/>
  <c r="L25" i="6"/>
  <c r="S25" i="6" s="1"/>
  <c r="K25" i="6"/>
  <c r="J25" i="6"/>
  <c r="I25" i="6"/>
  <c r="H25" i="6"/>
  <c r="G25" i="6"/>
  <c r="F25" i="6"/>
  <c r="R25" i="6" s="1"/>
  <c r="D25" i="6"/>
  <c r="E25" i="6" s="1"/>
  <c r="C25" i="6"/>
  <c r="N25" i="6" s="1"/>
  <c r="B25" i="6"/>
  <c r="N24" i="6"/>
  <c r="M24" i="6"/>
  <c r="L24" i="6"/>
  <c r="K24" i="6"/>
  <c r="J24" i="6"/>
  <c r="D24" i="6"/>
  <c r="E24" i="6" s="1"/>
  <c r="C24" i="6"/>
  <c r="H24" i="6" s="1"/>
  <c r="B24" i="6"/>
  <c r="Q23" i="6"/>
  <c r="N23" i="6"/>
  <c r="M23" i="6"/>
  <c r="L23" i="6"/>
  <c r="S23" i="6" s="1"/>
  <c r="K23" i="6"/>
  <c r="J23" i="6"/>
  <c r="G23" i="6"/>
  <c r="F23" i="6"/>
  <c r="U23" i="6" s="1"/>
  <c r="E23" i="6"/>
  <c r="D23" i="6"/>
  <c r="C23" i="6"/>
  <c r="B23" i="6"/>
  <c r="Q22" i="6"/>
  <c r="P22" i="6"/>
  <c r="O22" i="6"/>
  <c r="N22" i="6"/>
  <c r="M22" i="6"/>
  <c r="J22" i="6"/>
  <c r="I22" i="6"/>
  <c r="H22" i="6"/>
  <c r="R22" i="6" s="1"/>
  <c r="G22" i="6"/>
  <c r="F22" i="6"/>
  <c r="T22" i="6" s="1"/>
  <c r="D22" i="6"/>
  <c r="E22" i="6" s="1"/>
  <c r="C22" i="6"/>
  <c r="L22" i="6" s="1"/>
  <c r="S22" i="6" s="1"/>
  <c r="B22" i="6"/>
  <c r="D21" i="6"/>
  <c r="E21" i="6" s="1"/>
  <c r="C21" i="6"/>
  <c r="Q21" i="6" s="1"/>
  <c r="B21" i="6"/>
  <c r="U20" i="6"/>
  <c r="T20" i="6"/>
  <c r="S20" i="6"/>
  <c r="N20" i="6"/>
  <c r="M20" i="6"/>
  <c r="L20" i="6"/>
  <c r="K20" i="6"/>
  <c r="J20" i="6"/>
  <c r="H20" i="6"/>
  <c r="R20" i="6" s="1"/>
  <c r="G20" i="6"/>
  <c r="F20" i="6"/>
  <c r="D20" i="6"/>
  <c r="C20" i="6"/>
  <c r="P20" i="6" s="1"/>
  <c r="W20" i="6" s="1"/>
  <c r="B20" i="6"/>
  <c r="E20" i="6" s="1"/>
  <c r="S19" i="6"/>
  <c r="R19" i="6"/>
  <c r="Q19" i="6"/>
  <c r="X19" i="6" s="1"/>
  <c r="P19" i="6"/>
  <c r="W19" i="6" s="1"/>
  <c r="O19" i="6"/>
  <c r="V19" i="6" s="1"/>
  <c r="N19" i="6"/>
  <c r="U19" i="6" s="1"/>
  <c r="M19" i="6"/>
  <c r="L19" i="6"/>
  <c r="K19" i="6"/>
  <c r="J19" i="6"/>
  <c r="I19" i="6"/>
  <c r="H19" i="6"/>
  <c r="G19" i="6"/>
  <c r="F19" i="6"/>
  <c r="E19" i="6"/>
  <c r="D19" i="6"/>
  <c r="C19" i="6"/>
  <c r="B19" i="6"/>
  <c r="T18" i="6"/>
  <c r="S18" i="6"/>
  <c r="R18" i="6"/>
  <c r="Q18" i="6"/>
  <c r="X18" i="6" s="1"/>
  <c r="P18" i="6"/>
  <c r="W18" i="6" s="1"/>
  <c r="O18" i="6"/>
  <c r="V18" i="6" s="1"/>
  <c r="N18" i="6"/>
  <c r="M18" i="6"/>
  <c r="L18" i="6"/>
  <c r="K18" i="6"/>
  <c r="J18" i="6"/>
  <c r="I18" i="6"/>
  <c r="H18" i="6"/>
  <c r="G18" i="6"/>
  <c r="F18" i="6"/>
  <c r="U18" i="6" s="1"/>
  <c r="D18" i="6"/>
  <c r="E18" i="6" s="1"/>
  <c r="C18" i="6"/>
  <c r="B18" i="6"/>
  <c r="Q17" i="6"/>
  <c r="P17" i="6"/>
  <c r="O17" i="6"/>
  <c r="N17" i="6"/>
  <c r="M17" i="6"/>
  <c r="L17" i="6"/>
  <c r="K17" i="6"/>
  <c r="J17" i="6"/>
  <c r="I17" i="6"/>
  <c r="E17" i="6"/>
  <c r="D17" i="6"/>
  <c r="C17" i="6"/>
  <c r="B17" i="6"/>
  <c r="V16" i="6"/>
  <c r="U16" i="6"/>
  <c r="T16" i="6"/>
  <c r="S16" i="6"/>
  <c r="R16" i="6"/>
  <c r="Q16" i="6"/>
  <c r="X16" i="6" s="1"/>
  <c r="P16" i="6"/>
  <c r="O16" i="6"/>
  <c r="N16" i="6"/>
  <c r="M16" i="6"/>
  <c r="L16" i="6"/>
  <c r="H16" i="6"/>
  <c r="G16" i="6"/>
  <c r="F16" i="6"/>
  <c r="W16" i="6" s="1"/>
  <c r="E16" i="6"/>
  <c r="D16" i="6"/>
  <c r="C16" i="6"/>
  <c r="B16" i="6"/>
  <c r="V15" i="6"/>
  <c r="T15" i="6"/>
  <c r="R15" i="6"/>
  <c r="Q15" i="6"/>
  <c r="X15" i="6" s="1"/>
  <c r="P15" i="6"/>
  <c r="O15" i="6"/>
  <c r="M15" i="6"/>
  <c r="K15" i="6"/>
  <c r="J15" i="6"/>
  <c r="I15" i="6"/>
  <c r="H15" i="6"/>
  <c r="G15" i="6"/>
  <c r="F15" i="6"/>
  <c r="W15" i="6" s="1"/>
  <c r="E15" i="6"/>
  <c r="D15" i="6"/>
  <c r="C15" i="6"/>
  <c r="B15" i="6"/>
  <c r="T14" i="6"/>
  <c r="S14" i="6"/>
  <c r="R14" i="6"/>
  <c r="M14" i="6"/>
  <c r="L14" i="6"/>
  <c r="K14" i="6"/>
  <c r="J14" i="6"/>
  <c r="I14" i="6"/>
  <c r="H14" i="6"/>
  <c r="G14" i="6"/>
  <c r="F14" i="6"/>
  <c r="D14" i="6"/>
  <c r="C14" i="6"/>
  <c r="P14" i="6" s="1"/>
  <c r="W14" i="6" s="1"/>
  <c r="B14" i="6"/>
  <c r="E14" i="6" s="1"/>
  <c r="Q13" i="6"/>
  <c r="X13" i="6" s="1"/>
  <c r="M13" i="6"/>
  <c r="L13" i="6"/>
  <c r="I13" i="6"/>
  <c r="H13" i="6"/>
  <c r="G13" i="6"/>
  <c r="D13" i="6"/>
  <c r="E13" i="6" s="1"/>
  <c r="C13" i="6"/>
  <c r="F13" i="6" s="1"/>
  <c r="S13" i="6" s="1"/>
  <c r="B13" i="6"/>
  <c r="X12" i="6"/>
  <c r="V12" i="6"/>
  <c r="T12" i="6"/>
  <c r="S12" i="6"/>
  <c r="R12" i="6"/>
  <c r="Q12" i="6"/>
  <c r="P12" i="6"/>
  <c r="W12" i="6" s="1"/>
  <c r="O12" i="6"/>
  <c r="N12" i="6"/>
  <c r="U12" i="6" s="1"/>
  <c r="M12" i="6"/>
  <c r="L12" i="6"/>
  <c r="K12" i="6"/>
  <c r="J12" i="6"/>
  <c r="I12" i="6"/>
  <c r="H12" i="6"/>
  <c r="G12" i="6"/>
  <c r="F12" i="6"/>
  <c r="D12" i="6"/>
  <c r="E12" i="6" s="1"/>
  <c r="C12" i="6"/>
  <c r="B12" i="6"/>
  <c r="D11" i="6"/>
  <c r="C11" i="6"/>
  <c r="F11" i="6" s="1"/>
  <c r="B11" i="6"/>
  <c r="E11" i="6" s="1"/>
  <c r="D10" i="6"/>
  <c r="E10" i="6" s="1"/>
  <c r="C10" i="6"/>
  <c r="Q10" i="6" s="1"/>
  <c r="B10" i="6"/>
  <c r="D9" i="6"/>
  <c r="C9" i="6"/>
  <c r="Q9" i="6" s="1"/>
  <c r="B9" i="6"/>
  <c r="E9" i="6" s="1"/>
  <c r="D8" i="6"/>
  <c r="E8" i="6" s="1"/>
  <c r="C8" i="6"/>
  <c r="Q8" i="6" s="1"/>
  <c r="B8" i="6"/>
  <c r="D7" i="6"/>
  <c r="E7" i="6" s="1"/>
  <c r="C7" i="6"/>
  <c r="P7" i="6" s="1"/>
  <c r="B7" i="6"/>
  <c r="Q6" i="6"/>
  <c r="X6" i="6" s="1"/>
  <c r="P6" i="6"/>
  <c r="W6" i="6" s="1"/>
  <c r="O6" i="6"/>
  <c r="V6" i="6" s="1"/>
  <c r="N6" i="6"/>
  <c r="K6" i="6"/>
  <c r="J6" i="6"/>
  <c r="I6" i="6"/>
  <c r="H6" i="6"/>
  <c r="R6" i="6" s="1"/>
  <c r="G6" i="6"/>
  <c r="F6" i="6"/>
  <c r="D6" i="6"/>
  <c r="E6" i="6" s="1"/>
  <c r="C6" i="6"/>
  <c r="M6" i="6" s="1"/>
  <c r="T6" i="6" s="1"/>
  <c r="B6" i="6"/>
  <c r="Q5" i="6"/>
  <c r="P5" i="6"/>
  <c r="W5" i="6" s="1"/>
  <c r="L5" i="6"/>
  <c r="S5" i="6" s="1"/>
  <c r="K5" i="6"/>
  <c r="J5" i="6"/>
  <c r="I5" i="6"/>
  <c r="H5" i="6"/>
  <c r="R5" i="6" s="1"/>
  <c r="G5" i="6"/>
  <c r="F5" i="6"/>
  <c r="D5" i="6"/>
  <c r="E5" i="6" s="1"/>
  <c r="C5" i="6"/>
  <c r="O5" i="6" s="1"/>
  <c r="V5" i="6" s="1"/>
  <c r="B5" i="6"/>
  <c r="O4" i="6"/>
  <c r="N4" i="6"/>
  <c r="M4" i="6"/>
  <c r="L4" i="6"/>
  <c r="K4" i="6"/>
  <c r="J4" i="6"/>
  <c r="I4" i="6"/>
  <c r="D4" i="6"/>
  <c r="D122" i="6" s="1"/>
  <c r="C4" i="6"/>
  <c r="B4" i="6"/>
  <c r="B122" i="6" s="1"/>
  <c r="Q3" i="6"/>
  <c r="X3" i="6" s="1"/>
  <c r="P3" i="6"/>
  <c r="O3" i="6"/>
  <c r="N3" i="6"/>
  <c r="M3" i="6"/>
  <c r="L3" i="6"/>
  <c r="G3" i="6"/>
  <c r="D3" i="6"/>
  <c r="E3" i="6" s="1"/>
  <c r="C3" i="6"/>
  <c r="K3" i="6" s="1"/>
  <c r="B3" i="6"/>
  <c r="T2" i="6"/>
  <c r="S2" i="6"/>
  <c r="R2" i="6"/>
  <c r="Q2" i="6"/>
  <c r="X2" i="6" s="1"/>
  <c r="P2" i="6"/>
  <c r="W2" i="6" s="1"/>
  <c r="O2" i="6"/>
  <c r="V2" i="6" s="1"/>
  <c r="N2" i="6"/>
  <c r="M2" i="6"/>
  <c r="L2" i="6"/>
  <c r="K2" i="6"/>
  <c r="J2" i="6"/>
  <c r="I2" i="6"/>
  <c r="H2" i="6"/>
  <c r="G2" i="6"/>
  <c r="F2" i="6"/>
  <c r="U2" i="6" s="1"/>
  <c r="E2" i="6"/>
  <c r="D2" i="6"/>
  <c r="C2" i="6"/>
  <c r="B2" i="6"/>
  <c r="B120" i="6" s="1"/>
  <c r="I119" i="5"/>
  <c r="K119" i="5" s="1"/>
  <c r="G119" i="5"/>
  <c r="E119" i="5"/>
  <c r="C119" i="5"/>
  <c r="B119" i="5"/>
  <c r="D119" i="5" s="1"/>
  <c r="K118" i="5"/>
  <c r="I118" i="5"/>
  <c r="G118" i="5"/>
  <c r="E118" i="5"/>
  <c r="F118" i="5" s="1"/>
  <c r="D118" i="5"/>
  <c r="C118" i="5"/>
  <c r="B118" i="5"/>
  <c r="J118" i="5" s="1"/>
  <c r="I117" i="5"/>
  <c r="K117" i="5" s="1"/>
  <c r="G117" i="5"/>
  <c r="E117" i="5"/>
  <c r="C117" i="5"/>
  <c r="B117" i="5"/>
  <c r="D117" i="5" s="1"/>
  <c r="K116" i="5"/>
  <c r="I116" i="5"/>
  <c r="G116" i="5"/>
  <c r="E116" i="5"/>
  <c r="F116" i="5" s="1"/>
  <c r="D116" i="5"/>
  <c r="C116" i="5"/>
  <c r="B116" i="5"/>
  <c r="J116" i="5" s="1"/>
  <c r="I115" i="5"/>
  <c r="K115" i="5" s="1"/>
  <c r="G115" i="5"/>
  <c r="E115" i="5"/>
  <c r="C115" i="5"/>
  <c r="B115" i="5"/>
  <c r="D115" i="5" s="1"/>
  <c r="K114" i="5"/>
  <c r="I114" i="5"/>
  <c r="G114" i="5"/>
  <c r="E114" i="5"/>
  <c r="F114" i="5" s="1"/>
  <c r="D114" i="5"/>
  <c r="C114" i="5"/>
  <c r="B114" i="5"/>
  <c r="J114" i="5" s="1"/>
  <c r="I113" i="5"/>
  <c r="K113" i="5" s="1"/>
  <c r="G113" i="5"/>
  <c r="E113" i="5"/>
  <c r="C113" i="5"/>
  <c r="B113" i="5"/>
  <c r="D113" i="5" s="1"/>
  <c r="K112" i="5"/>
  <c r="I112" i="5"/>
  <c r="G112" i="5"/>
  <c r="E112" i="5"/>
  <c r="F112" i="5" s="1"/>
  <c r="D112" i="5"/>
  <c r="C112" i="5"/>
  <c r="B112" i="5"/>
  <c r="J112" i="5" s="1"/>
  <c r="I111" i="5"/>
  <c r="K111" i="5" s="1"/>
  <c r="G111" i="5"/>
  <c r="E111" i="5"/>
  <c r="C111" i="5"/>
  <c r="B111" i="5"/>
  <c r="D111" i="5" s="1"/>
  <c r="K110" i="5"/>
  <c r="I110" i="5"/>
  <c r="G110" i="5"/>
  <c r="E110" i="5"/>
  <c r="F110" i="5" s="1"/>
  <c r="D110" i="5"/>
  <c r="C110" i="5"/>
  <c r="B110" i="5"/>
  <c r="J110" i="5" s="1"/>
  <c r="I109" i="5"/>
  <c r="K109" i="5" s="1"/>
  <c r="G109" i="5"/>
  <c r="E109" i="5"/>
  <c r="C109" i="5"/>
  <c r="B109" i="5"/>
  <c r="D109" i="5" s="1"/>
  <c r="K108" i="5"/>
  <c r="I108" i="5"/>
  <c r="G108" i="5"/>
  <c r="H108" i="5" s="1"/>
  <c r="E108" i="5"/>
  <c r="F108" i="5" s="1"/>
  <c r="D108" i="5"/>
  <c r="C108" i="5"/>
  <c r="B108" i="5"/>
  <c r="J108" i="5" s="1"/>
  <c r="I107" i="5"/>
  <c r="K107" i="5" s="1"/>
  <c r="G107" i="5"/>
  <c r="E107" i="5"/>
  <c r="C107" i="5"/>
  <c r="B107" i="5"/>
  <c r="D107" i="5" s="1"/>
  <c r="K106" i="5"/>
  <c r="I106" i="5"/>
  <c r="G106" i="5"/>
  <c r="H106" i="5" s="1"/>
  <c r="E106" i="5"/>
  <c r="F106" i="5" s="1"/>
  <c r="D106" i="5"/>
  <c r="C106" i="5"/>
  <c r="B106" i="5"/>
  <c r="J106" i="5" s="1"/>
  <c r="I105" i="5"/>
  <c r="K105" i="5" s="1"/>
  <c r="G105" i="5"/>
  <c r="E105" i="5"/>
  <c r="C105" i="5"/>
  <c r="B105" i="5"/>
  <c r="D105" i="5" s="1"/>
  <c r="K104" i="5"/>
  <c r="I104" i="5"/>
  <c r="G104" i="5"/>
  <c r="H104" i="5" s="1"/>
  <c r="E104" i="5"/>
  <c r="F104" i="5" s="1"/>
  <c r="D104" i="5"/>
  <c r="C104" i="5"/>
  <c r="B104" i="5"/>
  <c r="J104" i="5" s="1"/>
  <c r="I103" i="5"/>
  <c r="K103" i="5" s="1"/>
  <c r="G103" i="5"/>
  <c r="E103" i="5"/>
  <c r="C103" i="5"/>
  <c r="B103" i="5"/>
  <c r="D103" i="5" s="1"/>
  <c r="K102" i="5"/>
  <c r="I102" i="5"/>
  <c r="G102" i="5"/>
  <c r="H102" i="5" s="1"/>
  <c r="E102" i="5"/>
  <c r="F102" i="5" s="1"/>
  <c r="D102" i="5"/>
  <c r="C102" i="5"/>
  <c r="B102" i="5"/>
  <c r="J102" i="5" s="1"/>
  <c r="I101" i="5"/>
  <c r="K101" i="5" s="1"/>
  <c r="G101" i="5"/>
  <c r="E101" i="5"/>
  <c r="C101" i="5"/>
  <c r="B101" i="5"/>
  <c r="D101" i="5" s="1"/>
  <c r="K100" i="5"/>
  <c r="I100" i="5"/>
  <c r="G100" i="5"/>
  <c r="H100" i="5" s="1"/>
  <c r="E100" i="5"/>
  <c r="F100" i="5" s="1"/>
  <c r="D100" i="5"/>
  <c r="C100" i="5"/>
  <c r="B100" i="5"/>
  <c r="J100" i="5" s="1"/>
  <c r="I99" i="5"/>
  <c r="K99" i="5" s="1"/>
  <c r="G99" i="5"/>
  <c r="E99" i="5"/>
  <c r="C99" i="5"/>
  <c r="B99" i="5"/>
  <c r="D99" i="5" s="1"/>
  <c r="K98" i="5"/>
  <c r="I98" i="5"/>
  <c r="G98" i="5"/>
  <c r="H98" i="5" s="1"/>
  <c r="E98" i="5"/>
  <c r="F98" i="5" s="1"/>
  <c r="D98" i="5"/>
  <c r="C98" i="5"/>
  <c r="B98" i="5"/>
  <c r="J98" i="5" s="1"/>
  <c r="I97" i="5"/>
  <c r="K97" i="5" s="1"/>
  <c r="G97" i="5"/>
  <c r="E97" i="5"/>
  <c r="C97" i="5"/>
  <c r="B97" i="5"/>
  <c r="D97" i="5" s="1"/>
  <c r="K96" i="5"/>
  <c r="I96" i="5"/>
  <c r="G96" i="5"/>
  <c r="H96" i="5" s="1"/>
  <c r="E96" i="5"/>
  <c r="F96" i="5" s="1"/>
  <c r="D96" i="5"/>
  <c r="C96" i="5"/>
  <c r="B96" i="5"/>
  <c r="J96" i="5" s="1"/>
  <c r="I95" i="5"/>
  <c r="K95" i="5" s="1"/>
  <c r="G95" i="5"/>
  <c r="E95" i="5"/>
  <c r="C95" i="5"/>
  <c r="B95" i="5"/>
  <c r="D95" i="5" s="1"/>
  <c r="K94" i="5"/>
  <c r="I94" i="5"/>
  <c r="G94" i="5"/>
  <c r="H94" i="5" s="1"/>
  <c r="E94" i="5"/>
  <c r="F94" i="5" s="1"/>
  <c r="D94" i="5"/>
  <c r="C94" i="5"/>
  <c r="B94" i="5"/>
  <c r="J94" i="5" s="1"/>
  <c r="I93" i="5"/>
  <c r="K93" i="5" s="1"/>
  <c r="G93" i="5"/>
  <c r="E93" i="5"/>
  <c r="C93" i="5"/>
  <c r="B93" i="5"/>
  <c r="D93" i="5" s="1"/>
  <c r="K92" i="5"/>
  <c r="I92" i="5"/>
  <c r="G92" i="5"/>
  <c r="H92" i="5" s="1"/>
  <c r="E92" i="5"/>
  <c r="F92" i="5" s="1"/>
  <c r="D92" i="5"/>
  <c r="C92" i="5"/>
  <c r="B92" i="5"/>
  <c r="J92" i="5" s="1"/>
  <c r="I91" i="5"/>
  <c r="K91" i="5" s="1"/>
  <c r="G91" i="5"/>
  <c r="E91" i="5"/>
  <c r="C91" i="5"/>
  <c r="B91" i="5"/>
  <c r="D91" i="5" s="1"/>
  <c r="K90" i="5"/>
  <c r="I90" i="5"/>
  <c r="G90" i="5"/>
  <c r="H90" i="5" s="1"/>
  <c r="E90" i="5"/>
  <c r="F90" i="5" s="1"/>
  <c r="D90" i="5"/>
  <c r="C90" i="5"/>
  <c r="B90" i="5"/>
  <c r="J90" i="5" s="1"/>
  <c r="I89" i="5"/>
  <c r="K89" i="5" s="1"/>
  <c r="G89" i="5"/>
  <c r="E89" i="5"/>
  <c r="C89" i="5"/>
  <c r="B89" i="5"/>
  <c r="D89" i="5" s="1"/>
  <c r="K88" i="5"/>
  <c r="I88" i="5"/>
  <c r="G88" i="5"/>
  <c r="H88" i="5" s="1"/>
  <c r="E88" i="5"/>
  <c r="F88" i="5" s="1"/>
  <c r="D88" i="5"/>
  <c r="C88" i="5"/>
  <c r="B88" i="5"/>
  <c r="J88" i="5" s="1"/>
  <c r="I87" i="5"/>
  <c r="K87" i="5" s="1"/>
  <c r="G87" i="5"/>
  <c r="E87" i="5"/>
  <c r="C87" i="5"/>
  <c r="B87" i="5"/>
  <c r="D87" i="5" s="1"/>
  <c r="K86" i="5"/>
  <c r="I86" i="5"/>
  <c r="G86" i="5"/>
  <c r="H86" i="5" s="1"/>
  <c r="E86" i="5"/>
  <c r="F86" i="5" s="1"/>
  <c r="D86" i="5"/>
  <c r="C86" i="5"/>
  <c r="B86" i="5"/>
  <c r="J86" i="5" s="1"/>
  <c r="I85" i="5"/>
  <c r="K85" i="5" s="1"/>
  <c r="G85" i="5"/>
  <c r="E85" i="5"/>
  <c r="C85" i="5"/>
  <c r="B85" i="5"/>
  <c r="D85" i="5" s="1"/>
  <c r="K84" i="5"/>
  <c r="I84" i="5"/>
  <c r="G84" i="5"/>
  <c r="H84" i="5" s="1"/>
  <c r="E84" i="5"/>
  <c r="F84" i="5" s="1"/>
  <c r="D84" i="5"/>
  <c r="C84" i="5"/>
  <c r="B84" i="5"/>
  <c r="J84" i="5" s="1"/>
  <c r="I83" i="5"/>
  <c r="K83" i="5" s="1"/>
  <c r="G83" i="5"/>
  <c r="E83" i="5"/>
  <c r="C83" i="5"/>
  <c r="B83" i="5"/>
  <c r="D83" i="5" s="1"/>
  <c r="K82" i="5"/>
  <c r="I82" i="5"/>
  <c r="G82" i="5"/>
  <c r="H82" i="5" s="1"/>
  <c r="E82" i="5"/>
  <c r="F82" i="5" s="1"/>
  <c r="D82" i="5"/>
  <c r="C82" i="5"/>
  <c r="B82" i="5"/>
  <c r="J82" i="5" s="1"/>
  <c r="I81" i="5"/>
  <c r="K81" i="5" s="1"/>
  <c r="G81" i="5"/>
  <c r="E81" i="5"/>
  <c r="C81" i="5"/>
  <c r="B81" i="5"/>
  <c r="D81" i="5" s="1"/>
  <c r="K80" i="5"/>
  <c r="I80" i="5"/>
  <c r="G80" i="5"/>
  <c r="H80" i="5" s="1"/>
  <c r="E80" i="5"/>
  <c r="F80" i="5" s="1"/>
  <c r="D80" i="5"/>
  <c r="C80" i="5"/>
  <c r="B80" i="5"/>
  <c r="J80" i="5" s="1"/>
  <c r="I79" i="5"/>
  <c r="K79" i="5" s="1"/>
  <c r="G79" i="5"/>
  <c r="E79" i="5"/>
  <c r="C79" i="5"/>
  <c r="B79" i="5"/>
  <c r="D79" i="5" s="1"/>
  <c r="K78" i="5"/>
  <c r="I78" i="5"/>
  <c r="G78" i="5"/>
  <c r="H78" i="5" s="1"/>
  <c r="E78" i="5"/>
  <c r="F78" i="5" s="1"/>
  <c r="D78" i="5"/>
  <c r="C78" i="5"/>
  <c r="B78" i="5"/>
  <c r="J78" i="5" s="1"/>
  <c r="I77" i="5"/>
  <c r="K77" i="5" s="1"/>
  <c r="G77" i="5"/>
  <c r="E77" i="5"/>
  <c r="C77" i="5"/>
  <c r="B77" i="5"/>
  <c r="D77" i="5" s="1"/>
  <c r="K76" i="5"/>
  <c r="I76" i="5"/>
  <c r="G76" i="5"/>
  <c r="H76" i="5" s="1"/>
  <c r="E76" i="5"/>
  <c r="F76" i="5" s="1"/>
  <c r="D76" i="5"/>
  <c r="C76" i="5"/>
  <c r="B76" i="5"/>
  <c r="J76" i="5" s="1"/>
  <c r="I75" i="5"/>
  <c r="K75" i="5" s="1"/>
  <c r="G75" i="5"/>
  <c r="E75" i="5"/>
  <c r="C75" i="5"/>
  <c r="B75" i="5"/>
  <c r="D75" i="5" s="1"/>
  <c r="K74" i="5"/>
  <c r="I74" i="5"/>
  <c r="G74" i="5"/>
  <c r="H74" i="5" s="1"/>
  <c r="E74" i="5"/>
  <c r="F74" i="5" s="1"/>
  <c r="D74" i="5"/>
  <c r="C74" i="5"/>
  <c r="B74" i="5"/>
  <c r="J74" i="5" s="1"/>
  <c r="I73" i="5"/>
  <c r="K73" i="5" s="1"/>
  <c r="G73" i="5"/>
  <c r="E73" i="5"/>
  <c r="C73" i="5"/>
  <c r="B73" i="5"/>
  <c r="D73" i="5" s="1"/>
  <c r="K72" i="5"/>
  <c r="I72" i="5"/>
  <c r="G72" i="5"/>
  <c r="H72" i="5" s="1"/>
  <c r="E72" i="5"/>
  <c r="F72" i="5" s="1"/>
  <c r="D72" i="5"/>
  <c r="C72" i="5"/>
  <c r="B72" i="5"/>
  <c r="J72" i="5" s="1"/>
  <c r="I71" i="5"/>
  <c r="K71" i="5" s="1"/>
  <c r="G71" i="5"/>
  <c r="E71" i="5"/>
  <c r="C71" i="5"/>
  <c r="B71" i="5"/>
  <c r="D71" i="5" s="1"/>
  <c r="K70" i="5"/>
  <c r="I70" i="5"/>
  <c r="G70" i="5"/>
  <c r="H70" i="5" s="1"/>
  <c r="E70" i="5"/>
  <c r="F70" i="5" s="1"/>
  <c r="D70" i="5"/>
  <c r="C70" i="5"/>
  <c r="B70" i="5"/>
  <c r="J70" i="5" s="1"/>
  <c r="I69" i="5"/>
  <c r="K69" i="5" s="1"/>
  <c r="G69" i="5"/>
  <c r="E69" i="5"/>
  <c r="C69" i="5"/>
  <c r="B69" i="5"/>
  <c r="D69" i="5" s="1"/>
  <c r="K68" i="5"/>
  <c r="I68" i="5"/>
  <c r="G68" i="5"/>
  <c r="H68" i="5" s="1"/>
  <c r="E68" i="5"/>
  <c r="F68" i="5" s="1"/>
  <c r="D68" i="5"/>
  <c r="C68" i="5"/>
  <c r="B68" i="5"/>
  <c r="J68" i="5" s="1"/>
  <c r="I67" i="5"/>
  <c r="K67" i="5" s="1"/>
  <c r="G67" i="5"/>
  <c r="E67" i="5"/>
  <c r="C67" i="5"/>
  <c r="B67" i="5"/>
  <c r="D67" i="5" s="1"/>
  <c r="K66" i="5"/>
  <c r="I66" i="5"/>
  <c r="G66" i="5"/>
  <c r="H66" i="5" s="1"/>
  <c r="E66" i="5"/>
  <c r="F66" i="5" s="1"/>
  <c r="D66" i="5"/>
  <c r="C66" i="5"/>
  <c r="B66" i="5"/>
  <c r="J66" i="5" s="1"/>
  <c r="I65" i="5"/>
  <c r="K65" i="5" s="1"/>
  <c r="G65" i="5"/>
  <c r="E65" i="5"/>
  <c r="C65" i="5"/>
  <c r="B65" i="5"/>
  <c r="D65" i="5" s="1"/>
  <c r="K64" i="5"/>
  <c r="I64" i="5"/>
  <c r="G64" i="5"/>
  <c r="H64" i="5" s="1"/>
  <c r="E64" i="5"/>
  <c r="F64" i="5" s="1"/>
  <c r="D64" i="5"/>
  <c r="C64" i="5"/>
  <c r="B64" i="5"/>
  <c r="J64" i="5" s="1"/>
  <c r="I63" i="5"/>
  <c r="I124" i="5" s="1"/>
  <c r="G63" i="5"/>
  <c r="K124" i="5" s="1"/>
  <c r="E63" i="5"/>
  <c r="E124" i="5" s="1"/>
  <c r="C63" i="5"/>
  <c r="C124" i="5" s="1"/>
  <c r="B63" i="5"/>
  <c r="H124" i="5" s="1"/>
  <c r="K62" i="5"/>
  <c r="I62" i="5"/>
  <c r="G62" i="5"/>
  <c r="H62" i="5" s="1"/>
  <c r="E62" i="5"/>
  <c r="F62" i="5" s="1"/>
  <c r="D62" i="5"/>
  <c r="C62" i="5"/>
  <c r="B62" i="5"/>
  <c r="J62" i="5" s="1"/>
  <c r="I61" i="5"/>
  <c r="K61" i="5" s="1"/>
  <c r="G61" i="5"/>
  <c r="E61" i="5"/>
  <c r="C61" i="5"/>
  <c r="B61" i="5"/>
  <c r="D61" i="5" s="1"/>
  <c r="K60" i="5"/>
  <c r="I60" i="5"/>
  <c r="G60" i="5"/>
  <c r="H60" i="5" s="1"/>
  <c r="E60" i="5"/>
  <c r="F60" i="5" s="1"/>
  <c r="D60" i="5"/>
  <c r="C60" i="5"/>
  <c r="B60" i="5"/>
  <c r="J60" i="5" s="1"/>
  <c r="I59" i="5"/>
  <c r="K59" i="5" s="1"/>
  <c r="G59" i="5"/>
  <c r="E59" i="5"/>
  <c r="C59" i="5"/>
  <c r="B59" i="5"/>
  <c r="D59" i="5" s="1"/>
  <c r="K58" i="5"/>
  <c r="I58" i="5"/>
  <c r="G58" i="5"/>
  <c r="H58" i="5" s="1"/>
  <c r="E58" i="5"/>
  <c r="F58" i="5" s="1"/>
  <c r="D58" i="5"/>
  <c r="C58" i="5"/>
  <c r="B58" i="5"/>
  <c r="J58" i="5" s="1"/>
  <c r="I57" i="5"/>
  <c r="K57" i="5" s="1"/>
  <c r="G57" i="5"/>
  <c r="E57" i="5"/>
  <c r="C57" i="5"/>
  <c r="B57" i="5"/>
  <c r="D57" i="5" s="1"/>
  <c r="K56" i="5"/>
  <c r="I56" i="5"/>
  <c r="G56" i="5"/>
  <c r="H56" i="5" s="1"/>
  <c r="E56" i="5"/>
  <c r="F56" i="5" s="1"/>
  <c r="D56" i="5"/>
  <c r="C56" i="5"/>
  <c r="B56" i="5"/>
  <c r="J56" i="5" s="1"/>
  <c r="I55" i="5"/>
  <c r="K55" i="5" s="1"/>
  <c r="G55" i="5"/>
  <c r="E55" i="5"/>
  <c r="C55" i="5"/>
  <c r="B55" i="5"/>
  <c r="D55" i="5" s="1"/>
  <c r="K54" i="5"/>
  <c r="I54" i="5"/>
  <c r="G54" i="5"/>
  <c r="H54" i="5" s="1"/>
  <c r="E54" i="5"/>
  <c r="F54" i="5" s="1"/>
  <c r="D54" i="5"/>
  <c r="C54" i="5"/>
  <c r="B54" i="5"/>
  <c r="J54" i="5" s="1"/>
  <c r="I53" i="5"/>
  <c r="K53" i="5" s="1"/>
  <c r="G53" i="5"/>
  <c r="E53" i="5"/>
  <c r="C53" i="5"/>
  <c r="B53" i="5"/>
  <c r="D53" i="5" s="1"/>
  <c r="K52" i="5"/>
  <c r="I52" i="5"/>
  <c r="G52" i="5"/>
  <c r="H52" i="5" s="1"/>
  <c r="E52" i="5"/>
  <c r="F52" i="5" s="1"/>
  <c r="D52" i="5"/>
  <c r="C52" i="5"/>
  <c r="B52" i="5"/>
  <c r="J52" i="5" s="1"/>
  <c r="I51" i="5"/>
  <c r="K51" i="5" s="1"/>
  <c r="G51" i="5"/>
  <c r="E51" i="5"/>
  <c r="C51" i="5"/>
  <c r="B51" i="5"/>
  <c r="D51" i="5" s="1"/>
  <c r="K50" i="5"/>
  <c r="I50" i="5"/>
  <c r="G50" i="5"/>
  <c r="H50" i="5" s="1"/>
  <c r="E50" i="5"/>
  <c r="F50" i="5" s="1"/>
  <c r="D50" i="5"/>
  <c r="C50" i="5"/>
  <c r="B50" i="5"/>
  <c r="J50" i="5" s="1"/>
  <c r="I49" i="5"/>
  <c r="K49" i="5" s="1"/>
  <c r="G49" i="5"/>
  <c r="E49" i="5"/>
  <c r="C49" i="5"/>
  <c r="B49" i="5"/>
  <c r="D49" i="5" s="1"/>
  <c r="K48" i="5"/>
  <c r="I48" i="5"/>
  <c r="G48" i="5"/>
  <c r="H48" i="5" s="1"/>
  <c r="E48" i="5"/>
  <c r="F48" i="5" s="1"/>
  <c r="D48" i="5"/>
  <c r="C48" i="5"/>
  <c r="B48" i="5"/>
  <c r="J48" i="5" s="1"/>
  <c r="I47" i="5"/>
  <c r="K47" i="5" s="1"/>
  <c r="G47" i="5"/>
  <c r="E47" i="5"/>
  <c r="C47" i="5"/>
  <c r="B47" i="5"/>
  <c r="D47" i="5" s="1"/>
  <c r="K46" i="5"/>
  <c r="I46" i="5"/>
  <c r="G46" i="5"/>
  <c r="H46" i="5" s="1"/>
  <c r="E46" i="5"/>
  <c r="F46" i="5" s="1"/>
  <c r="D46" i="5"/>
  <c r="C46" i="5"/>
  <c r="B46" i="5"/>
  <c r="J46" i="5" s="1"/>
  <c r="I45" i="5"/>
  <c r="K45" i="5" s="1"/>
  <c r="G45" i="5"/>
  <c r="E45" i="5"/>
  <c r="C45" i="5"/>
  <c r="B45" i="5"/>
  <c r="D45" i="5" s="1"/>
  <c r="K44" i="5"/>
  <c r="I44" i="5"/>
  <c r="G44" i="5"/>
  <c r="H44" i="5" s="1"/>
  <c r="E44" i="5"/>
  <c r="F44" i="5" s="1"/>
  <c r="D44" i="5"/>
  <c r="C44" i="5"/>
  <c r="B44" i="5"/>
  <c r="J44" i="5" s="1"/>
  <c r="I43" i="5"/>
  <c r="K43" i="5" s="1"/>
  <c r="G43" i="5"/>
  <c r="E43" i="5"/>
  <c r="C43" i="5"/>
  <c r="B43" i="5"/>
  <c r="D43" i="5" s="1"/>
  <c r="K42" i="5"/>
  <c r="I42" i="5"/>
  <c r="G42" i="5"/>
  <c r="H42" i="5" s="1"/>
  <c r="E42" i="5"/>
  <c r="F42" i="5" s="1"/>
  <c r="D42" i="5"/>
  <c r="C42" i="5"/>
  <c r="B42" i="5"/>
  <c r="J42" i="5" s="1"/>
  <c r="I41" i="5"/>
  <c r="K41" i="5" s="1"/>
  <c r="G41" i="5"/>
  <c r="E41" i="5"/>
  <c r="C41" i="5"/>
  <c r="B41" i="5"/>
  <c r="D41" i="5" s="1"/>
  <c r="K40" i="5"/>
  <c r="I40" i="5"/>
  <c r="G40" i="5"/>
  <c r="H40" i="5" s="1"/>
  <c r="E40" i="5"/>
  <c r="F40" i="5" s="1"/>
  <c r="D40" i="5"/>
  <c r="C40" i="5"/>
  <c r="B40" i="5"/>
  <c r="J40" i="5" s="1"/>
  <c r="I39" i="5"/>
  <c r="K39" i="5" s="1"/>
  <c r="G39" i="5"/>
  <c r="E39" i="5"/>
  <c r="C39" i="5"/>
  <c r="B39" i="5"/>
  <c r="D39" i="5" s="1"/>
  <c r="K38" i="5"/>
  <c r="I38" i="5"/>
  <c r="G38" i="5"/>
  <c r="H38" i="5" s="1"/>
  <c r="E38" i="5"/>
  <c r="F38" i="5" s="1"/>
  <c r="D38" i="5"/>
  <c r="C38" i="5"/>
  <c r="B38" i="5"/>
  <c r="J38" i="5" s="1"/>
  <c r="I37" i="5"/>
  <c r="K37" i="5" s="1"/>
  <c r="G37" i="5"/>
  <c r="E37" i="5"/>
  <c r="C37" i="5"/>
  <c r="B37" i="5"/>
  <c r="D37" i="5" s="1"/>
  <c r="K36" i="5"/>
  <c r="I36" i="5"/>
  <c r="G36" i="5"/>
  <c r="H36" i="5" s="1"/>
  <c r="E36" i="5"/>
  <c r="F36" i="5" s="1"/>
  <c r="D36" i="5"/>
  <c r="C36" i="5"/>
  <c r="B36" i="5"/>
  <c r="J36" i="5" s="1"/>
  <c r="I35" i="5"/>
  <c r="K35" i="5" s="1"/>
  <c r="G35" i="5"/>
  <c r="K123" i="5" s="1"/>
  <c r="E35" i="5"/>
  <c r="E123" i="5" s="1"/>
  <c r="C35" i="5"/>
  <c r="C123" i="5" s="1"/>
  <c r="B35" i="5"/>
  <c r="D35" i="5" s="1"/>
  <c r="K34" i="5"/>
  <c r="I34" i="5"/>
  <c r="G34" i="5"/>
  <c r="H34" i="5" s="1"/>
  <c r="E34" i="5"/>
  <c r="F34" i="5" s="1"/>
  <c r="D34" i="5"/>
  <c r="C34" i="5"/>
  <c r="B34" i="5"/>
  <c r="J34" i="5" s="1"/>
  <c r="I33" i="5"/>
  <c r="K33" i="5" s="1"/>
  <c r="G33" i="5"/>
  <c r="E33" i="5"/>
  <c r="C33" i="5"/>
  <c r="B33" i="5"/>
  <c r="D33" i="5" s="1"/>
  <c r="K32" i="5"/>
  <c r="I32" i="5"/>
  <c r="G32" i="5"/>
  <c r="H32" i="5" s="1"/>
  <c r="E32" i="5"/>
  <c r="F32" i="5" s="1"/>
  <c r="D32" i="5"/>
  <c r="C32" i="5"/>
  <c r="B32" i="5"/>
  <c r="J32" i="5" s="1"/>
  <c r="I31" i="5"/>
  <c r="K31" i="5" s="1"/>
  <c r="G31" i="5"/>
  <c r="E31" i="5"/>
  <c r="C31" i="5"/>
  <c r="B31" i="5"/>
  <c r="D31" i="5" s="1"/>
  <c r="K30" i="5"/>
  <c r="I30" i="5"/>
  <c r="G30" i="5"/>
  <c r="H30" i="5" s="1"/>
  <c r="E30" i="5"/>
  <c r="F30" i="5" s="1"/>
  <c r="D30" i="5"/>
  <c r="C30" i="5"/>
  <c r="B30" i="5"/>
  <c r="J30" i="5" s="1"/>
  <c r="I29" i="5"/>
  <c r="K29" i="5" s="1"/>
  <c r="G29" i="5"/>
  <c r="E29" i="5"/>
  <c r="C29" i="5"/>
  <c r="B29" i="5"/>
  <c r="D29" i="5" s="1"/>
  <c r="K28" i="5"/>
  <c r="I28" i="5"/>
  <c r="G28" i="5"/>
  <c r="H28" i="5" s="1"/>
  <c r="E28" i="5"/>
  <c r="F28" i="5" s="1"/>
  <c r="D28" i="5"/>
  <c r="C28" i="5"/>
  <c r="B28" i="5"/>
  <c r="J28" i="5" s="1"/>
  <c r="I27" i="5"/>
  <c r="K27" i="5" s="1"/>
  <c r="G27" i="5"/>
  <c r="E27" i="5"/>
  <c r="C27" i="5"/>
  <c r="B27" i="5"/>
  <c r="D27" i="5" s="1"/>
  <c r="K26" i="5"/>
  <c r="I26" i="5"/>
  <c r="G26" i="5"/>
  <c r="H26" i="5" s="1"/>
  <c r="E26" i="5"/>
  <c r="F26" i="5" s="1"/>
  <c r="D26" i="5"/>
  <c r="C26" i="5"/>
  <c r="B26" i="5"/>
  <c r="J26" i="5" s="1"/>
  <c r="I25" i="5"/>
  <c r="K25" i="5" s="1"/>
  <c r="G25" i="5"/>
  <c r="E25" i="5"/>
  <c r="C25" i="5"/>
  <c r="B25" i="5"/>
  <c r="D25" i="5" s="1"/>
  <c r="K24" i="5"/>
  <c r="I24" i="5"/>
  <c r="G24" i="5"/>
  <c r="H24" i="5" s="1"/>
  <c r="E24" i="5"/>
  <c r="F24" i="5" s="1"/>
  <c r="D24" i="5"/>
  <c r="C24" i="5"/>
  <c r="B24" i="5"/>
  <c r="J24" i="5" s="1"/>
  <c r="I23" i="5"/>
  <c r="K23" i="5" s="1"/>
  <c r="G23" i="5"/>
  <c r="E23" i="5"/>
  <c r="C23" i="5"/>
  <c r="B23" i="5"/>
  <c r="D23" i="5" s="1"/>
  <c r="K22" i="5"/>
  <c r="I22" i="5"/>
  <c r="G22" i="5"/>
  <c r="H22" i="5" s="1"/>
  <c r="E22" i="5"/>
  <c r="F22" i="5" s="1"/>
  <c r="D22" i="5"/>
  <c r="C22" i="5"/>
  <c r="B22" i="5"/>
  <c r="J22" i="5" s="1"/>
  <c r="I21" i="5"/>
  <c r="K21" i="5" s="1"/>
  <c r="G21" i="5"/>
  <c r="E21" i="5"/>
  <c r="C21" i="5"/>
  <c r="B21" i="5"/>
  <c r="D21" i="5" s="1"/>
  <c r="K20" i="5"/>
  <c r="I20" i="5"/>
  <c r="J20" i="5" s="1"/>
  <c r="G20" i="5"/>
  <c r="H20" i="5" s="1"/>
  <c r="E20" i="5"/>
  <c r="F20" i="5" s="1"/>
  <c r="D20" i="5"/>
  <c r="C20" i="5"/>
  <c r="B20" i="5"/>
  <c r="I19" i="5"/>
  <c r="K19" i="5" s="1"/>
  <c r="G19" i="5"/>
  <c r="E19" i="5"/>
  <c r="C19" i="5"/>
  <c r="B19" i="5"/>
  <c r="D19" i="5" s="1"/>
  <c r="K18" i="5"/>
  <c r="I18" i="5"/>
  <c r="J18" i="5" s="1"/>
  <c r="G18" i="5"/>
  <c r="H18" i="5" s="1"/>
  <c r="E18" i="5"/>
  <c r="F18" i="5" s="1"/>
  <c r="D18" i="5"/>
  <c r="C18" i="5"/>
  <c r="B18" i="5"/>
  <c r="I17" i="5"/>
  <c r="K17" i="5" s="1"/>
  <c r="G17" i="5"/>
  <c r="E17" i="5"/>
  <c r="C17" i="5"/>
  <c r="B17" i="5"/>
  <c r="D17" i="5" s="1"/>
  <c r="K16" i="5"/>
  <c r="I16" i="5"/>
  <c r="J16" i="5" s="1"/>
  <c r="G16" i="5"/>
  <c r="H16" i="5" s="1"/>
  <c r="E16" i="5"/>
  <c r="F16" i="5" s="1"/>
  <c r="D16" i="5"/>
  <c r="C16" i="5"/>
  <c r="B16" i="5"/>
  <c r="I15" i="5"/>
  <c r="K15" i="5" s="1"/>
  <c r="G15" i="5"/>
  <c r="E15" i="5"/>
  <c r="C15" i="5"/>
  <c r="B15" i="5"/>
  <c r="D15" i="5" s="1"/>
  <c r="K14" i="5"/>
  <c r="I14" i="5"/>
  <c r="G14" i="5"/>
  <c r="H14" i="5" s="1"/>
  <c r="E14" i="5"/>
  <c r="F14" i="5" s="1"/>
  <c r="D14" i="5"/>
  <c r="C14" i="5"/>
  <c r="B14" i="5"/>
  <c r="J14" i="5" s="1"/>
  <c r="I13" i="5"/>
  <c r="K13" i="5" s="1"/>
  <c r="G13" i="5"/>
  <c r="E13" i="5"/>
  <c r="C13" i="5"/>
  <c r="B13" i="5"/>
  <c r="D13" i="5" s="1"/>
  <c r="K12" i="5"/>
  <c r="I12" i="5"/>
  <c r="J12" i="5" s="1"/>
  <c r="G12" i="5"/>
  <c r="H12" i="5" s="1"/>
  <c r="E12" i="5"/>
  <c r="F12" i="5" s="1"/>
  <c r="D12" i="5"/>
  <c r="C12" i="5"/>
  <c r="B12" i="5"/>
  <c r="I11" i="5"/>
  <c r="K11" i="5" s="1"/>
  <c r="G11" i="5"/>
  <c r="E11" i="5"/>
  <c r="C11" i="5"/>
  <c r="B11" i="5"/>
  <c r="D11" i="5" s="1"/>
  <c r="K10" i="5"/>
  <c r="I10" i="5"/>
  <c r="J10" i="5" s="1"/>
  <c r="G10" i="5"/>
  <c r="H10" i="5" s="1"/>
  <c r="E10" i="5"/>
  <c r="F10" i="5" s="1"/>
  <c r="D10" i="5"/>
  <c r="C10" i="5"/>
  <c r="B10" i="5"/>
  <c r="I9" i="5"/>
  <c r="K9" i="5" s="1"/>
  <c r="G9" i="5"/>
  <c r="E9" i="5"/>
  <c r="C9" i="5"/>
  <c r="B9" i="5"/>
  <c r="D9" i="5" s="1"/>
  <c r="K8" i="5"/>
  <c r="I8" i="5"/>
  <c r="G8" i="5"/>
  <c r="H8" i="5" s="1"/>
  <c r="E8" i="5"/>
  <c r="F8" i="5" s="1"/>
  <c r="D8" i="5"/>
  <c r="C8" i="5"/>
  <c r="B8" i="5"/>
  <c r="J8" i="5" s="1"/>
  <c r="I7" i="5"/>
  <c r="K7" i="5" s="1"/>
  <c r="G7" i="5"/>
  <c r="E7" i="5"/>
  <c r="C7" i="5"/>
  <c r="B7" i="5"/>
  <c r="D7" i="5" s="1"/>
  <c r="K6" i="5"/>
  <c r="I6" i="5"/>
  <c r="J6" i="5" s="1"/>
  <c r="G6" i="5"/>
  <c r="H6" i="5" s="1"/>
  <c r="E6" i="5"/>
  <c r="F6" i="5" s="1"/>
  <c r="D6" i="5"/>
  <c r="C6" i="5"/>
  <c r="B6" i="5"/>
  <c r="I5" i="5"/>
  <c r="K5" i="5" s="1"/>
  <c r="G5" i="5"/>
  <c r="E5" i="5"/>
  <c r="C5" i="5"/>
  <c r="B5" i="5"/>
  <c r="D122" i="5" s="1"/>
  <c r="K4" i="5"/>
  <c r="I4" i="5"/>
  <c r="I122" i="5" s="1"/>
  <c r="G4" i="5"/>
  <c r="K122" i="5" s="1"/>
  <c r="E4" i="5"/>
  <c r="F4" i="5" s="1"/>
  <c r="D4" i="5"/>
  <c r="C4" i="5"/>
  <c r="C122" i="5" s="1"/>
  <c r="B4" i="5"/>
  <c r="J4" i="5" s="1"/>
  <c r="I3" i="5"/>
  <c r="I121" i="5" s="1"/>
  <c r="J121" i="5" s="1"/>
  <c r="G3" i="5"/>
  <c r="K121" i="5" s="1"/>
  <c r="E3" i="5"/>
  <c r="E121" i="5" s="1"/>
  <c r="C3" i="5"/>
  <c r="C121" i="5" s="1"/>
  <c r="B3" i="5"/>
  <c r="B121" i="5" s="1"/>
  <c r="K2" i="5"/>
  <c r="I2" i="5"/>
  <c r="K120" i="5" s="1"/>
  <c r="G2" i="5"/>
  <c r="H2" i="5" s="1"/>
  <c r="E2" i="5"/>
  <c r="F2" i="5" s="1"/>
  <c r="D2" i="5"/>
  <c r="C2" i="5"/>
  <c r="C120" i="5" s="1"/>
  <c r="B2" i="5"/>
  <c r="J2" i="5" s="1"/>
  <c r="E124" i="4"/>
  <c r="C124" i="4"/>
  <c r="B124" i="4"/>
  <c r="I123" i="4"/>
  <c r="J123" i="4" s="1"/>
  <c r="E123" i="4"/>
  <c r="C123" i="4"/>
  <c r="B123" i="4"/>
  <c r="I122" i="4"/>
  <c r="E122" i="4"/>
  <c r="C122" i="4"/>
  <c r="I121" i="4"/>
  <c r="E121" i="4"/>
  <c r="C121" i="4"/>
  <c r="I120" i="4"/>
  <c r="E120" i="4"/>
  <c r="I119" i="4"/>
  <c r="K119" i="4" s="1"/>
  <c r="G119" i="4"/>
  <c r="E119" i="4"/>
  <c r="C119" i="4"/>
  <c r="B119" i="4"/>
  <c r="H119" i="4" s="1"/>
  <c r="I118" i="4"/>
  <c r="K118" i="4" s="1"/>
  <c r="G118" i="4"/>
  <c r="E118" i="4"/>
  <c r="C118" i="4"/>
  <c r="B118" i="4"/>
  <c r="H118" i="4" s="1"/>
  <c r="I117" i="4"/>
  <c r="K117" i="4" s="1"/>
  <c r="G117" i="4"/>
  <c r="E117" i="4"/>
  <c r="C117" i="4"/>
  <c r="B117" i="4"/>
  <c r="H117" i="4" s="1"/>
  <c r="I116" i="4"/>
  <c r="K116" i="4" s="1"/>
  <c r="G116" i="4"/>
  <c r="E116" i="4"/>
  <c r="C116" i="4"/>
  <c r="B116" i="4"/>
  <c r="H116" i="4" s="1"/>
  <c r="I115" i="4"/>
  <c r="K115" i="4" s="1"/>
  <c r="G115" i="4"/>
  <c r="E115" i="4"/>
  <c r="C115" i="4"/>
  <c r="B115" i="4"/>
  <c r="H115" i="4" s="1"/>
  <c r="I114" i="4"/>
  <c r="K114" i="4" s="1"/>
  <c r="G114" i="4"/>
  <c r="E114" i="4"/>
  <c r="C114" i="4"/>
  <c r="B114" i="4"/>
  <c r="H114" i="4" s="1"/>
  <c r="I113" i="4"/>
  <c r="K113" i="4" s="1"/>
  <c r="G113" i="4"/>
  <c r="E113" i="4"/>
  <c r="C113" i="4"/>
  <c r="B113" i="4"/>
  <c r="H113" i="4" s="1"/>
  <c r="I112" i="4"/>
  <c r="K112" i="4" s="1"/>
  <c r="G112" i="4"/>
  <c r="E112" i="4"/>
  <c r="C112" i="4"/>
  <c r="B112" i="4"/>
  <c r="H112" i="4" s="1"/>
  <c r="I111" i="4"/>
  <c r="K111" i="4" s="1"/>
  <c r="G111" i="4"/>
  <c r="E111" i="4"/>
  <c r="C111" i="4"/>
  <c r="B111" i="4"/>
  <c r="H111" i="4" s="1"/>
  <c r="I110" i="4"/>
  <c r="K110" i="4" s="1"/>
  <c r="G110" i="4"/>
  <c r="E110" i="4"/>
  <c r="C110" i="4"/>
  <c r="B110" i="4"/>
  <c r="H110" i="4" s="1"/>
  <c r="I109" i="4"/>
  <c r="K109" i="4" s="1"/>
  <c r="G109" i="4"/>
  <c r="E109" i="4"/>
  <c r="C109" i="4"/>
  <c r="B109" i="4"/>
  <c r="H109" i="4" s="1"/>
  <c r="I108" i="4"/>
  <c r="K108" i="4" s="1"/>
  <c r="G108" i="4"/>
  <c r="E108" i="4"/>
  <c r="C108" i="4"/>
  <c r="B108" i="4"/>
  <c r="H108" i="4" s="1"/>
  <c r="I107" i="4"/>
  <c r="K107" i="4" s="1"/>
  <c r="G107" i="4"/>
  <c r="E107" i="4"/>
  <c r="C107" i="4"/>
  <c r="B107" i="4"/>
  <c r="H107" i="4" s="1"/>
  <c r="I106" i="4"/>
  <c r="K106" i="4" s="1"/>
  <c r="G106" i="4"/>
  <c r="E106" i="4"/>
  <c r="C106" i="4"/>
  <c r="B106" i="4"/>
  <c r="H106" i="4" s="1"/>
  <c r="I105" i="4"/>
  <c r="K105" i="4" s="1"/>
  <c r="G105" i="4"/>
  <c r="E105" i="4"/>
  <c r="C105" i="4"/>
  <c r="B105" i="4"/>
  <c r="H105" i="4" s="1"/>
  <c r="I104" i="4"/>
  <c r="K104" i="4" s="1"/>
  <c r="G104" i="4"/>
  <c r="E104" i="4"/>
  <c r="C104" i="4"/>
  <c r="B104" i="4"/>
  <c r="H104" i="4" s="1"/>
  <c r="I103" i="4"/>
  <c r="K103" i="4" s="1"/>
  <c r="G103" i="4"/>
  <c r="E103" i="4"/>
  <c r="C103" i="4"/>
  <c r="B103" i="4"/>
  <c r="H103" i="4" s="1"/>
  <c r="I102" i="4"/>
  <c r="K102" i="4" s="1"/>
  <c r="G102" i="4"/>
  <c r="E102" i="4"/>
  <c r="C102" i="4"/>
  <c r="B102" i="4"/>
  <c r="H102" i="4" s="1"/>
  <c r="I101" i="4"/>
  <c r="K101" i="4" s="1"/>
  <c r="G101" i="4"/>
  <c r="E101" i="4"/>
  <c r="C101" i="4"/>
  <c r="B101" i="4"/>
  <c r="H101" i="4" s="1"/>
  <c r="I100" i="4"/>
  <c r="K100" i="4" s="1"/>
  <c r="G100" i="4"/>
  <c r="E100" i="4"/>
  <c r="C100" i="4"/>
  <c r="B100" i="4"/>
  <c r="H100" i="4" s="1"/>
  <c r="I99" i="4"/>
  <c r="K99" i="4" s="1"/>
  <c r="G99" i="4"/>
  <c r="E99" i="4"/>
  <c r="C99" i="4"/>
  <c r="B99" i="4"/>
  <c r="H99" i="4" s="1"/>
  <c r="I98" i="4"/>
  <c r="K98" i="4" s="1"/>
  <c r="G98" i="4"/>
  <c r="E98" i="4"/>
  <c r="C98" i="4"/>
  <c r="B98" i="4"/>
  <c r="H98" i="4" s="1"/>
  <c r="I97" i="4"/>
  <c r="K97" i="4" s="1"/>
  <c r="G97" i="4"/>
  <c r="E97" i="4"/>
  <c r="C97" i="4"/>
  <c r="B97" i="4"/>
  <c r="H97" i="4" s="1"/>
  <c r="I96" i="4"/>
  <c r="K96" i="4" s="1"/>
  <c r="G96" i="4"/>
  <c r="E96" i="4"/>
  <c r="C96" i="4"/>
  <c r="B96" i="4"/>
  <c r="H96" i="4" s="1"/>
  <c r="I95" i="4"/>
  <c r="K95" i="4" s="1"/>
  <c r="G95" i="4"/>
  <c r="E95" i="4"/>
  <c r="C95" i="4"/>
  <c r="B95" i="4"/>
  <c r="H95" i="4" s="1"/>
  <c r="I94" i="4"/>
  <c r="K94" i="4" s="1"/>
  <c r="G94" i="4"/>
  <c r="E94" i="4"/>
  <c r="C94" i="4"/>
  <c r="B94" i="4"/>
  <c r="H94" i="4" s="1"/>
  <c r="I93" i="4"/>
  <c r="K93" i="4" s="1"/>
  <c r="G93" i="4"/>
  <c r="E93" i="4"/>
  <c r="C93" i="4"/>
  <c r="B93" i="4"/>
  <c r="H93" i="4" s="1"/>
  <c r="I92" i="4"/>
  <c r="K92" i="4" s="1"/>
  <c r="G92" i="4"/>
  <c r="E92" i="4"/>
  <c r="C92" i="4"/>
  <c r="B92" i="4"/>
  <c r="H92" i="4" s="1"/>
  <c r="I91" i="4"/>
  <c r="K91" i="4" s="1"/>
  <c r="G91" i="4"/>
  <c r="E91" i="4"/>
  <c r="C91" i="4"/>
  <c r="B91" i="4"/>
  <c r="H91" i="4" s="1"/>
  <c r="I90" i="4"/>
  <c r="K90" i="4" s="1"/>
  <c r="G90" i="4"/>
  <c r="E90" i="4"/>
  <c r="C90" i="4"/>
  <c r="B90" i="4"/>
  <c r="H90" i="4" s="1"/>
  <c r="I89" i="4"/>
  <c r="K89" i="4" s="1"/>
  <c r="G89" i="4"/>
  <c r="E89" i="4"/>
  <c r="C89" i="4"/>
  <c r="B89" i="4"/>
  <c r="H89" i="4" s="1"/>
  <c r="I88" i="4"/>
  <c r="K88" i="4" s="1"/>
  <c r="G88" i="4"/>
  <c r="E88" i="4"/>
  <c r="C88" i="4"/>
  <c r="B88" i="4"/>
  <c r="H88" i="4" s="1"/>
  <c r="I87" i="4"/>
  <c r="K87" i="4" s="1"/>
  <c r="G87" i="4"/>
  <c r="E87" i="4"/>
  <c r="C87" i="4"/>
  <c r="B87" i="4"/>
  <c r="H87" i="4" s="1"/>
  <c r="I86" i="4"/>
  <c r="K86" i="4" s="1"/>
  <c r="G86" i="4"/>
  <c r="E86" i="4"/>
  <c r="C86" i="4"/>
  <c r="B86" i="4"/>
  <c r="H86" i="4" s="1"/>
  <c r="I85" i="4"/>
  <c r="K85" i="4" s="1"/>
  <c r="G85" i="4"/>
  <c r="E85" i="4"/>
  <c r="C85" i="4"/>
  <c r="B85" i="4"/>
  <c r="H85" i="4" s="1"/>
  <c r="I84" i="4"/>
  <c r="K84" i="4" s="1"/>
  <c r="G84" i="4"/>
  <c r="E84" i="4"/>
  <c r="C84" i="4"/>
  <c r="B84" i="4"/>
  <c r="H84" i="4" s="1"/>
  <c r="I83" i="4"/>
  <c r="K83" i="4" s="1"/>
  <c r="G83" i="4"/>
  <c r="E83" i="4"/>
  <c r="C83" i="4"/>
  <c r="B83" i="4"/>
  <c r="H83" i="4" s="1"/>
  <c r="I82" i="4"/>
  <c r="K82" i="4" s="1"/>
  <c r="G82" i="4"/>
  <c r="E82" i="4"/>
  <c r="C82" i="4"/>
  <c r="B82" i="4"/>
  <c r="H82" i="4" s="1"/>
  <c r="I81" i="4"/>
  <c r="K81" i="4" s="1"/>
  <c r="G81" i="4"/>
  <c r="E81" i="4"/>
  <c r="C81" i="4"/>
  <c r="B81" i="4"/>
  <c r="H81" i="4" s="1"/>
  <c r="I80" i="4"/>
  <c r="K80" i="4" s="1"/>
  <c r="G80" i="4"/>
  <c r="E80" i="4"/>
  <c r="C80" i="4"/>
  <c r="B80" i="4"/>
  <c r="H80" i="4" s="1"/>
  <c r="I79" i="4"/>
  <c r="K79" i="4" s="1"/>
  <c r="G79" i="4"/>
  <c r="E79" i="4"/>
  <c r="C79" i="4"/>
  <c r="B79" i="4"/>
  <c r="H79" i="4" s="1"/>
  <c r="I78" i="4"/>
  <c r="K78" i="4" s="1"/>
  <c r="G78" i="4"/>
  <c r="E78" i="4"/>
  <c r="C78" i="4"/>
  <c r="B78" i="4"/>
  <c r="H78" i="4" s="1"/>
  <c r="I77" i="4"/>
  <c r="K77" i="4" s="1"/>
  <c r="G77" i="4"/>
  <c r="E77" i="4"/>
  <c r="C77" i="4"/>
  <c r="B77" i="4"/>
  <c r="H77" i="4" s="1"/>
  <c r="I76" i="4"/>
  <c r="K76" i="4" s="1"/>
  <c r="G76" i="4"/>
  <c r="E76" i="4"/>
  <c r="C76" i="4"/>
  <c r="B76" i="4"/>
  <c r="H76" i="4" s="1"/>
  <c r="I75" i="4"/>
  <c r="K75" i="4" s="1"/>
  <c r="G75" i="4"/>
  <c r="E75" i="4"/>
  <c r="C75" i="4"/>
  <c r="B75" i="4"/>
  <c r="H75" i="4" s="1"/>
  <c r="I74" i="4"/>
  <c r="K74" i="4" s="1"/>
  <c r="G74" i="4"/>
  <c r="E74" i="4"/>
  <c r="C74" i="4"/>
  <c r="B74" i="4"/>
  <c r="H74" i="4" s="1"/>
  <c r="I73" i="4"/>
  <c r="K73" i="4" s="1"/>
  <c r="G73" i="4"/>
  <c r="E73" i="4"/>
  <c r="C73" i="4"/>
  <c r="B73" i="4"/>
  <c r="H73" i="4" s="1"/>
  <c r="I72" i="4"/>
  <c r="K72" i="4" s="1"/>
  <c r="G72" i="4"/>
  <c r="E72" i="4"/>
  <c r="C72" i="4"/>
  <c r="B72" i="4"/>
  <c r="H72" i="4" s="1"/>
  <c r="I71" i="4"/>
  <c r="K71" i="4" s="1"/>
  <c r="G71" i="4"/>
  <c r="E71" i="4"/>
  <c r="C71" i="4"/>
  <c r="B71" i="4"/>
  <c r="H71" i="4" s="1"/>
  <c r="I70" i="4"/>
  <c r="K70" i="4" s="1"/>
  <c r="G70" i="4"/>
  <c r="E70" i="4"/>
  <c r="C70" i="4"/>
  <c r="B70" i="4"/>
  <c r="H70" i="4" s="1"/>
  <c r="I69" i="4"/>
  <c r="K69" i="4" s="1"/>
  <c r="G69" i="4"/>
  <c r="E69" i="4"/>
  <c r="C69" i="4"/>
  <c r="B69" i="4"/>
  <c r="H69" i="4" s="1"/>
  <c r="I68" i="4"/>
  <c r="K68" i="4" s="1"/>
  <c r="G68" i="4"/>
  <c r="E68" i="4"/>
  <c r="C68" i="4"/>
  <c r="B68" i="4"/>
  <c r="H68" i="4" s="1"/>
  <c r="I67" i="4"/>
  <c r="K67" i="4" s="1"/>
  <c r="G67" i="4"/>
  <c r="E67" i="4"/>
  <c r="C67" i="4"/>
  <c r="B67" i="4"/>
  <c r="H67" i="4" s="1"/>
  <c r="I66" i="4"/>
  <c r="K66" i="4" s="1"/>
  <c r="G66" i="4"/>
  <c r="E66" i="4"/>
  <c r="C66" i="4"/>
  <c r="B66" i="4"/>
  <c r="H66" i="4" s="1"/>
  <c r="I65" i="4"/>
  <c r="K65" i="4" s="1"/>
  <c r="G65" i="4"/>
  <c r="E65" i="4"/>
  <c r="C65" i="4"/>
  <c r="B65" i="4"/>
  <c r="H65" i="4" s="1"/>
  <c r="I64" i="4"/>
  <c r="K64" i="4" s="1"/>
  <c r="G64" i="4"/>
  <c r="E64" i="4"/>
  <c r="C64" i="4"/>
  <c r="B64" i="4"/>
  <c r="H64" i="4" s="1"/>
  <c r="I63" i="4"/>
  <c r="K63" i="4" s="1"/>
  <c r="G63" i="4"/>
  <c r="K124" i="4" s="1"/>
  <c r="E63" i="4"/>
  <c r="C63" i="4"/>
  <c r="B63" i="4"/>
  <c r="H124" i="4" s="1"/>
  <c r="I62" i="4"/>
  <c r="K62" i="4" s="1"/>
  <c r="G62" i="4"/>
  <c r="E62" i="4"/>
  <c r="C62" i="4"/>
  <c r="B62" i="4"/>
  <c r="H62" i="4" s="1"/>
  <c r="I61" i="4"/>
  <c r="K61" i="4" s="1"/>
  <c r="G61" i="4"/>
  <c r="E61" i="4"/>
  <c r="C61" i="4"/>
  <c r="B61" i="4"/>
  <c r="H61" i="4" s="1"/>
  <c r="I60" i="4"/>
  <c r="K60" i="4" s="1"/>
  <c r="G60" i="4"/>
  <c r="E60" i="4"/>
  <c r="C60" i="4"/>
  <c r="B60" i="4"/>
  <c r="H60" i="4" s="1"/>
  <c r="I59" i="4"/>
  <c r="K59" i="4" s="1"/>
  <c r="G59" i="4"/>
  <c r="E59" i="4"/>
  <c r="C59" i="4"/>
  <c r="B59" i="4"/>
  <c r="H59" i="4" s="1"/>
  <c r="I58" i="4"/>
  <c r="K58" i="4" s="1"/>
  <c r="G58" i="4"/>
  <c r="E58" i="4"/>
  <c r="C58" i="4"/>
  <c r="B58" i="4"/>
  <c r="H58" i="4" s="1"/>
  <c r="I57" i="4"/>
  <c r="K57" i="4" s="1"/>
  <c r="G57" i="4"/>
  <c r="E57" i="4"/>
  <c r="C57" i="4"/>
  <c r="B57" i="4"/>
  <c r="H57" i="4" s="1"/>
  <c r="I56" i="4"/>
  <c r="K56" i="4" s="1"/>
  <c r="G56" i="4"/>
  <c r="E56" i="4"/>
  <c r="C56" i="4"/>
  <c r="B56" i="4"/>
  <c r="H56" i="4" s="1"/>
  <c r="I55" i="4"/>
  <c r="K55" i="4" s="1"/>
  <c r="G55" i="4"/>
  <c r="E55" i="4"/>
  <c r="C55" i="4"/>
  <c r="B55" i="4"/>
  <c r="H55" i="4" s="1"/>
  <c r="I54" i="4"/>
  <c r="K54" i="4" s="1"/>
  <c r="G54" i="4"/>
  <c r="E54" i="4"/>
  <c r="C54" i="4"/>
  <c r="B54" i="4"/>
  <c r="H54" i="4" s="1"/>
  <c r="I53" i="4"/>
  <c r="K53" i="4" s="1"/>
  <c r="G53" i="4"/>
  <c r="E53" i="4"/>
  <c r="C53" i="4"/>
  <c r="B53" i="4"/>
  <c r="H53" i="4" s="1"/>
  <c r="I52" i="4"/>
  <c r="K52" i="4" s="1"/>
  <c r="G52" i="4"/>
  <c r="E52" i="4"/>
  <c r="C52" i="4"/>
  <c r="B52" i="4"/>
  <c r="H52" i="4" s="1"/>
  <c r="I51" i="4"/>
  <c r="K51" i="4" s="1"/>
  <c r="G51" i="4"/>
  <c r="E51" i="4"/>
  <c r="C51" i="4"/>
  <c r="B51" i="4"/>
  <c r="H51" i="4" s="1"/>
  <c r="I50" i="4"/>
  <c r="K50" i="4" s="1"/>
  <c r="G50" i="4"/>
  <c r="E50" i="4"/>
  <c r="C50" i="4"/>
  <c r="B50" i="4"/>
  <c r="H50" i="4" s="1"/>
  <c r="I49" i="4"/>
  <c r="K49" i="4" s="1"/>
  <c r="G49" i="4"/>
  <c r="E49" i="4"/>
  <c r="C49" i="4"/>
  <c r="B49" i="4"/>
  <c r="H49" i="4" s="1"/>
  <c r="I48" i="4"/>
  <c r="K48" i="4" s="1"/>
  <c r="G48" i="4"/>
  <c r="E48" i="4"/>
  <c r="C48" i="4"/>
  <c r="B48" i="4"/>
  <c r="H48" i="4" s="1"/>
  <c r="I47" i="4"/>
  <c r="K47" i="4" s="1"/>
  <c r="G47" i="4"/>
  <c r="E47" i="4"/>
  <c r="C47" i="4"/>
  <c r="B47" i="4"/>
  <c r="H47" i="4" s="1"/>
  <c r="I46" i="4"/>
  <c r="K46" i="4" s="1"/>
  <c r="G46" i="4"/>
  <c r="E46" i="4"/>
  <c r="C46" i="4"/>
  <c r="B46" i="4"/>
  <c r="H46" i="4" s="1"/>
  <c r="I45" i="4"/>
  <c r="K45" i="4" s="1"/>
  <c r="G45" i="4"/>
  <c r="E45" i="4"/>
  <c r="C45" i="4"/>
  <c r="B45" i="4"/>
  <c r="H45" i="4" s="1"/>
  <c r="I44" i="4"/>
  <c r="K44" i="4" s="1"/>
  <c r="G44" i="4"/>
  <c r="E44" i="4"/>
  <c r="C44" i="4"/>
  <c r="B44" i="4"/>
  <c r="H44" i="4" s="1"/>
  <c r="I43" i="4"/>
  <c r="K43" i="4" s="1"/>
  <c r="G43" i="4"/>
  <c r="E43" i="4"/>
  <c r="C43" i="4"/>
  <c r="B43" i="4"/>
  <c r="H43" i="4" s="1"/>
  <c r="I42" i="4"/>
  <c r="K42" i="4" s="1"/>
  <c r="G42" i="4"/>
  <c r="E42" i="4"/>
  <c r="C42" i="4"/>
  <c r="B42" i="4"/>
  <c r="H42" i="4" s="1"/>
  <c r="I41" i="4"/>
  <c r="K41" i="4" s="1"/>
  <c r="G41" i="4"/>
  <c r="E41" i="4"/>
  <c r="C41" i="4"/>
  <c r="B41" i="4"/>
  <c r="H41" i="4" s="1"/>
  <c r="I40" i="4"/>
  <c r="K40" i="4" s="1"/>
  <c r="G40" i="4"/>
  <c r="E40" i="4"/>
  <c r="C40" i="4"/>
  <c r="B40" i="4"/>
  <c r="H40" i="4" s="1"/>
  <c r="I39" i="4"/>
  <c r="K39" i="4" s="1"/>
  <c r="G39" i="4"/>
  <c r="E39" i="4"/>
  <c r="C39" i="4"/>
  <c r="B39" i="4"/>
  <c r="H39" i="4" s="1"/>
  <c r="I38" i="4"/>
  <c r="K38" i="4" s="1"/>
  <c r="G38" i="4"/>
  <c r="E38" i="4"/>
  <c r="C38" i="4"/>
  <c r="B38" i="4"/>
  <c r="H38" i="4" s="1"/>
  <c r="I37" i="4"/>
  <c r="K37" i="4" s="1"/>
  <c r="G37" i="4"/>
  <c r="E37" i="4"/>
  <c r="C37" i="4"/>
  <c r="B37" i="4"/>
  <c r="H37" i="4" s="1"/>
  <c r="I36" i="4"/>
  <c r="K36" i="4" s="1"/>
  <c r="G36" i="4"/>
  <c r="E36" i="4"/>
  <c r="C36" i="4"/>
  <c r="B36" i="4"/>
  <c r="H36" i="4" s="1"/>
  <c r="I35" i="4"/>
  <c r="K35" i="4" s="1"/>
  <c r="G35" i="4"/>
  <c r="K123" i="4" s="1"/>
  <c r="E35" i="4"/>
  <c r="C35" i="4"/>
  <c r="B35" i="4"/>
  <c r="H123" i="4" s="1"/>
  <c r="I34" i="4"/>
  <c r="K34" i="4" s="1"/>
  <c r="G34" i="4"/>
  <c r="E34" i="4"/>
  <c r="C34" i="4"/>
  <c r="B34" i="4"/>
  <c r="H34" i="4" s="1"/>
  <c r="I33" i="4"/>
  <c r="K33" i="4" s="1"/>
  <c r="G33" i="4"/>
  <c r="E33" i="4"/>
  <c r="C33" i="4"/>
  <c r="B33" i="4"/>
  <c r="H33" i="4" s="1"/>
  <c r="I32" i="4"/>
  <c r="K32" i="4" s="1"/>
  <c r="G32" i="4"/>
  <c r="E32" i="4"/>
  <c r="C32" i="4"/>
  <c r="B32" i="4"/>
  <c r="H32" i="4" s="1"/>
  <c r="I31" i="4"/>
  <c r="K31" i="4" s="1"/>
  <c r="G31" i="4"/>
  <c r="E31" i="4"/>
  <c r="C31" i="4"/>
  <c r="B31" i="4"/>
  <c r="H31" i="4" s="1"/>
  <c r="I30" i="4"/>
  <c r="K30" i="4" s="1"/>
  <c r="G30" i="4"/>
  <c r="E30" i="4"/>
  <c r="C30" i="4"/>
  <c r="B30" i="4"/>
  <c r="H30" i="4" s="1"/>
  <c r="I29" i="4"/>
  <c r="K29" i="4" s="1"/>
  <c r="G29" i="4"/>
  <c r="E29" i="4"/>
  <c r="C29" i="4"/>
  <c r="B29" i="4"/>
  <c r="H29" i="4" s="1"/>
  <c r="I28" i="4"/>
  <c r="K28" i="4" s="1"/>
  <c r="G28" i="4"/>
  <c r="E28" i="4"/>
  <c r="C28" i="4"/>
  <c r="B28" i="4"/>
  <c r="H28" i="4" s="1"/>
  <c r="I27" i="4"/>
  <c r="K27" i="4" s="1"/>
  <c r="G27" i="4"/>
  <c r="E27" i="4"/>
  <c r="C27" i="4"/>
  <c r="B27" i="4"/>
  <c r="H27" i="4" s="1"/>
  <c r="I26" i="4"/>
  <c r="K26" i="4" s="1"/>
  <c r="G26" i="4"/>
  <c r="E26" i="4"/>
  <c r="C26" i="4"/>
  <c r="B26" i="4"/>
  <c r="H26" i="4" s="1"/>
  <c r="I25" i="4"/>
  <c r="K25" i="4" s="1"/>
  <c r="G25" i="4"/>
  <c r="E25" i="4"/>
  <c r="C25" i="4"/>
  <c r="B25" i="4"/>
  <c r="H25" i="4" s="1"/>
  <c r="I24" i="4"/>
  <c r="K24" i="4" s="1"/>
  <c r="G24" i="4"/>
  <c r="E24" i="4"/>
  <c r="C24" i="4"/>
  <c r="B24" i="4"/>
  <c r="H24" i="4" s="1"/>
  <c r="I23" i="4"/>
  <c r="K23" i="4" s="1"/>
  <c r="G23" i="4"/>
  <c r="E23" i="4"/>
  <c r="C23" i="4"/>
  <c r="B23" i="4"/>
  <c r="H23" i="4" s="1"/>
  <c r="I22" i="4"/>
  <c r="K22" i="4" s="1"/>
  <c r="G22" i="4"/>
  <c r="E22" i="4"/>
  <c r="C22" i="4"/>
  <c r="B22" i="4"/>
  <c r="H22" i="4" s="1"/>
  <c r="I21" i="4"/>
  <c r="K21" i="4" s="1"/>
  <c r="G21" i="4"/>
  <c r="E21" i="4"/>
  <c r="C21" i="4"/>
  <c r="B21" i="4"/>
  <c r="H21" i="4" s="1"/>
  <c r="I20" i="4"/>
  <c r="K20" i="4" s="1"/>
  <c r="G20" i="4"/>
  <c r="E20" i="4"/>
  <c r="C20" i="4"/>
  <c r="B20" i="4"/>
  <c r="H20" i="4" s="1"/>
  <c r="I19" i="4"/>
  <c r="K19" i="4" s="1"/>
  <c r="G19" i="4"/>
  <c r="E19" i="4"/>
  <c r="C19" i="4"/>
  <c r="B19" i="4"/>
  <c r="H19" i="4" s="1"/>
  <c r="I18" i="4"/>
  <c r="K18" i="4" s="1"/>
  <c r="G18" i="4"/>
  <c r="E18" i="4"/>
  <c r="C18" i="4"/>
  <c r="B18" i="4"/>
  <c r="H18" i="4" s="1"/>
  <c r="I17" i="4"/>
  <c r="K17" i="4" s="1"/>
  <c r="G17" i="4"/>
  <c r="E17" i="4"/>
  <c r="C17" i="4"/>
  <c r="B17" i="4"/>
  <c r="H17" i="4" s="1"/>
  <c r="I16" i="4"/>
  <c r="K16" i="4" s="1"/>
  <c r="G16" i="4"/>
  <c r="E16" i="4"/>
  <c r="C16" i="4"/>
  <c r="B16" i="4"/>
  <c r="H16" i="4" s="1"/>
  <c r="I15" i="4"/>
  <c r="K15" i="4" s="1"/>
  <c r="G15" i="4"/>
  <c r="E15" i="4"/>
  <c r="C15" i="4"/>
  <c r="B15" i="4"/>
  <c r="H15" i="4" s="1"/>
  <c r="I14" i="4"/>
  <c r="K14" i="4" s="1"/>
  <c r="G14" i="4"/>
  <c r="E14" i="4"/>
  <c r="C14" i="4"/>
  <c r="B14" i="4"/>
  <c r="H14" i="4" s="1"/>
  <c r="I13" i="4"/>
  <c r="K13" i="4" s="1"/>
  <c r="G13" i="4"/>
  <c r="E13" i="4"/>
  <c r="C13" i="4"/>
  <c r="B13" i="4"/>
  <c r="H13" i="4" s="1"/>
  <c r="I12" i="4"/>
  <c r="K12" i="4" s="1"/>
  <c r="G12" i="4"/>
  <c r="E12" i="4"/>
  <c r="C12" i="4"/>
  <c r="B12" i="4"/>
  <c r="H12" i="4" s="1"/>
  <c r="I11" i="4"/>
  <c r="K11" i="4" s="1"/>
  <c r="G11" i="4"/>
  <c r="E11" i="4"/>
  <c r="C11" i="4"/>
  <c r="B11" i="4"/>
  <c r="H11" i="4" s="1"/>
  <c r="I10" i="4"/>
  <c r="K10" i="4" s="1"/>
  <c r="G10" i="4"/>
  <c r="E10" i="4"/>
  <c r="C10" i="4"/>
  <c r="B10" i="4"/>
  <c r="H10" i="4" s="1"/>
  <c r="I9" i="4"/>
  <c r="K9" i="4" s="1"/>
  <c r="G9" i="4"/>
  <c r="E9" i="4"/>
  <c r="C9" i="4"/>
  <c r="B9" i="4"/>
  <c r="H9" i="4" s="1"/>
  <c r="I8" i="4"/>
  <c r="K8" i="4" s="1"/>
  <c r="G8" i="4"/>
  <c r="E8" i="4"/>
  <c r="C8" i="4"/>
  <c r="B8" i="4"/>
  <c r="H8" i="4" s="1"/>
  <c r="I7" i="4"/>
  <c r="K7" i="4" s="1"/>
  <c r="G7" i="4"/>
  <c r="E7" i="4"/>
  <c r="C7" i="4"/>
  <c r="B7" i="4"/>
  <c r="H7" i="4" s="1"/>
  <c r="I6" i="4"/>
  <c r="K6" i="4" s="1"/>
  <c r="G6" i="4"/>
  <c r="E6" i="4"/>
  <c r="C6" i="4"/>
  <c r="B6" i="4"/>
  <c r="H6" i="4" s="1"/>
  <c r="I5" i="4"/>
  <c r="K5" i="4" s="1"/>
  <c r="G5" i="4"/>
  <c r="E5" i="4"/>
  <c r="C5" i="4"/>
  <c r="B5" i="4"/>
  <c r="H5" i="4" s="1"/>
  <c r="I4" i="4"/>
  <c r="K4" i="4" s="1"/>
  <c r="G4" i="4"/>
  <c r="K122" i="4" s="1"/>
  <c r="E4" i="4"/>
  <c r="C4" i="4"/>
  <c r="B4" i="4"/>
  <c r="H122" i="4" s="1"/>
  <c r="I3" i="4"/>
  <c r="K3" i="4" s="1"/>
  <c r="G3" i="4"/>
  <c r="G121" i="4" s="1"/>
  <c r="E3" i="4"/>
  <c r="C3" i="4"/>
  <c r="B3" i="4"/>
  <c r="H3" i="4" s="1"/>
  <c r="I2" i="4"/>
  <c r="K120" i="4" s="1"/>
  <c r="G2" i="4"/>
  <c r="G120" i="4" s="1"/>
  <c r="E2" i="4"/>
  <c r="C2" i="4"/>
  <c r="C120" i="4" s="1"/>
  <c r="B2" i="4"/>
  <c r="H120" i="4" s="1"/>
  <c r="CN248" i="2"/>
  <c r="CM248" i="2"/>
  <c r="CA248" i="2"/>
  <c r="BZ248" i="2"/>
  <c r="BY248" i="2"/>
  <c r="BM248" i="2"/>
  <c r="BI248" i="2"/>
  <c r="BH248" i="2"/>
  <c r="AV248" i="2"/>
  <c r="AU248" i="2"/>
  <c r="AT248" i="2"/>
  <c r="AH248" i="2"/>
  <c r="CN247" i="2"/>
  <c r="CM247" i="2"/>
  <c r="CA247" i="2"/>
  <c r="BZ247" i="2"/>
  <c r="BY247" i="2"/>
  <c r="BM247" i="2"/>
  <c r="BI247" i="2"/>
  <c r="BH247" i="2"/>
  <c r="AV247" i="2"/>
  <c r="AU247" i="2"/>
  <c r="AT247" i="2"/>
  <c r="AH247" i="2"/>
  <c r="CN246" i="2"/>
  <c r="CM246" i="2"/>
  <c r="CA246" i="2"/>
  <c r="BZ246" i="2"/>
  <c r="BY246" i="2"/>
  <c r="BM246" i="2"/>
  <c r="BI246" i="2"/>
  <c r="BH246" i="2"/>
  <c r="AV246" i="2"/>
  <c r="AU246" i="2"/>
  <c r="AT246" i="2"/>
  <c r="AH246" i="2"/>
  <c r="CN243" i="2"/>
  <c r="CM243" i="2"/>
  <c r="CA243" i="2"/>
  <c r="BZ243" i="2"/>
  <c r="BY243" i="2"/>
  <c r="BM243" i="2"/>
  <c r="BI243" i="2"/>
  <c r="BH243" i="2"/>
  <c r="AV243" i="2"/>
  <c r="AU243" i="2"/>
  <c r="AT243" i="2"/>
  <c r="AH243" i="2"/>
  <c r="T242" i="2"/>
  <c r="S242" i="2"/>
  <c r="AC242" i="2" s="1"/>
  <c r="R242" i="2"/>
  <c r="Q242" i="2"/>
  <c r="F242" i="2"/>
  <c r="E242" i="2"/>
  <c r="O242" i="2" s="1"/>
  <c r="C242" i="2"/>
  <c r="D242" i="2" s="1"/>
  <c r="CM241" i="2"/>
  <c r="BY241" i="2"/>
  <c r="BH241" i="2"/>
  <c r="AT241" i="2"/>
  <c r="U241" i="2"/>
  <c r="Q241" i="2"/>
  <c r="R241" i="2" s="1"/>
  <c r="F241" i="2"/>
  <c r="C241" i="2"/>
  <c r="G241" i="2" s="1"/>
  <c r="CM240" i="2"/>
  <c r="BY240" i="2"/>
  <c r="BH240" i="2"/>
  <c r="AT240" i="2"/>
  <c r="Q240" i="2"/>
  <c r="G240" i="2"/>
  <c r="F240" i="2"/>
  <c r="D240" i="2"/>
  <c r="C240" i="2"/>
  <c r="H240" i="2" s="1"/>
  <c r="CN239" i="2"/>
  <c r="CM239" i="2"/>
  <c r="BZ239" i="2"/>
  <c r="BY239" i="2"/>
  <c r="BI239" i="2"/>
  <c r="BH239" i="2"/>
  <c r="AU239" i="2"/>
  <c r="AT239" i="2"/>
  <c r="T239" i="2"/>
  <c r="R239" i="2"/>
  <c r="Q239" i="2"/>
  <c r="G239" i="2"/>
  <c r="F239" i="2"/>
  <c r="E239" i="2"/>
  <c r="C239" i="2"/>
  <c r="I239" i="2" s="1"/>
  <c r="CN238" i="2"/>
  <c r="CM238" i="2"/>
  <c r="BZ238" i="2"/>
  <c r="BY238" i="2"/>
  <c r="BI238" i="2"/>
  <c r="BH238" i="2"/>
  <c r="AU238" i="2"/>
  <c r="AT238" i="2"/>
  <c r="Q238" i="2"/>
  <c r="C238" i="2"/>
  <c r="CN237" i="2"/>
  <c r="CM237" i="2"/>
  <c r="BZ237" i="2"/>
  <c r="BY237" i="2"/>
  <c r="BI237" i="2"/>
  <c r="BH237" i="2"/>
  <c r="AU237" i="2"/>
  <c r="AT237" i="2"/>
  <c r="W237" i="2"/>
  <c r="V237" i="2"/>
  <c r="R237" i="2"/>
  <c r="Q237" i="2"/>
  <c r="U237" i="2" s="1"/>
  <c r="I237" i="2"/>
  <c r="H237" i="2"/>
  <c r="G237" i="2"/>
  <c r="F237" i="2"/>
  <c r="E237" i="2"/>
  <c r="D237" i="2"/>
  <c r="C237" i="2"/>
  <c r="CN236" i="2"/>
  <c r="CM236" i="2"/>
  <c r="BZ236" i="2"/>
  <c r="BY236" i="2"/>
  <c r="BI236" i="2"/>
  <c r="BH236" i="2"/>
  <c r="AU236" i="2"/>
  <c r="AT236" i="2"/>
  <c r="W236" i="2"/>
  <c r="V236" i="2"/>
  <c r="U236" i="2"/>
  <c r="T236" i="2"/>
  <c r="S236" i="2"/>
  <c r="R236" i="2"/>
  <c r="Q236" i="2"/>
  <c r="H236" i="2"/>
  <c r="D236" i="2"/>
  <c r="C236" i="2"/>
  <c r="CN235" i="2"/>
  <c r="CM235" i="2"/>
  <c r="BZ235" i="2"/>
  <c r="BY235" i="2"/>
  <c r="BI235" i="2"/>
  <c r="BH235" i="2"/>
  <c r="AU235" i="2"/>
  <c r="AT235" i="2"/>
  <c r="AD235" i="2"/>
  <c r="W235" i="2"/>
  <c r="V235" i="2"/>
  <c r="U235" i="2"/>
  <c r="T235" i="2"/>
  <c r="S235" i="2"/>
  <c r="AC235" i="2" s="1"/>
  <c r="R235" i="2"/>
  <c r="Q235" i="2"/>
  <c r="I235" i="2"/>
  <c r="E235" i="2"/>
  <c r="C235" i="2"/>
  <c r="H235" i="2" s="1"/>
  <c r="CN234" i="2"/>
  <c r="CM234" i="2"/>
  <c r="BZ234" i="2"/>
  <c r="BY234" i="2"/>
  <c r="BI234" i="2"/>
  <c r="BH234" i="2"/>
  <c r="AU234" i="2"/>
  <c r="AT234" i="2"/>
  <c r="V234" i="2"/>
  <c r="U234" i="2"/>
  <c r="T234" i="2"/>
  <c r="Q234" i="2"/>
  <c r="W234" i="2" s="1"/>
  <c r="H234" i="2"/>
  <c r="G234" i="2"/>
  <c r="F234" i="2"/>
  <c r="E234" i="2"/>
  <c r="C234" i="2"/>
  <c r="CN233" i="2"/>
  <c r="CM233" i="2"/>
  <c r="BZ233" i="2"/>
  <c r="BY233" i="2"/>
  <c r="BI233" i="2"/>
  <c r="BH233" i="2"/>
  <c r="AU233" i="2"/>
  <c r="AT233" i="2"/>
  <c r="V233" i="2"/>
  <c r="S233" i="2"/>
  <c r="R233" i="2"/>
  <c r="Q233" i="2"/>
  <c r="I233" i="2"/>
  <c r="H233" i="2"/>
  <c r="F233" i="2"/>
  <c r="C233" i="2"/>
  <c r="G233" i="2" s="1"/>
  <c r="CN232" i="2"/>
  <c r="CM232" i="2"/>
  <c r="BZ232" i="2"/>
  <c r="BY232" i="2"/>
  <c r="BI232" i="2"/>
  <c r="BH232" i="2"/>
  <c r="AU232" i="2"/>
  <c r="AT232" i="2"/>
  <c r="AD232" i="2"/>
  <c r="X232" i="2"/>
  <c r="W232" i="2"/>
  <c r="U232" i="2"/>
  <c r="T232" i="2"/>
  <c r="R232" i="2"/>
  <c r="Q232" i="2"/>
  <c r="V232" i="2" s="1"/>
  <c r="J232" i="2"/>
  <c r="I232" i="2"/>
  <c r="E232" i="2"/>
  <c r="C232" i="2"/>
  <c r="H232" i="2" s="1"/>
  <c r="CN231" i="2"/>
  <c r="CM231" i="2"/>
  <c r="BZ231" i="2"/>
  <c r="BY231" i="2"/>
  <c r="BI231" i="2"/>
  <c r="BH231" i="2"/>
  <c r="AU231" i="2"/>
  <c r="AT231" i="2"/>
  <c r="Q231" i="2"/>
  <c r="J231" i="2"/>
  <c r="I231" i="2"/>
  <c r="P231" i="2" s="1"/>
  <c r="H231" i="2"/>
  <c r="G231" i="2"/>
  <c r="E231" i="2"/>
  <c r="D231" i="2"/>
  <c r="C231" i="2"/>
  <c r="F231" i="2" s="1"/>
  <c r="CN230" i="2"/>
  <c r="CM230" i="2"/>
  <c r="BZ230" i="2"/>
  <c r="BY230" i="2"/>
  <c r="BI230" i="2"/>
  <c r="BH230" i="2"/>
  <c r="AU230" i="2"/>
  <c r="AT230" i="2"/>
  <c r="Q230" i="2"/>
  <c r="J230" i="2"/>
  <c r="G230" i="2"/>
  <c r="F230" i="2"/>
  <c r="E230" i="2"/>
  <c r="C230" i="2"/>
  <c r="I230" i="2" s="1"/>
  <c r="CN229" i="2"/>
  <c r="CM229" i="2"/>
  <c r="BZ229" i="2"/>
  <c r="BY229" i="2"/>
  <c r="BI229" i="2"/>
  <c r="BH229" i="2"/>
  <c r="AU229" i="2"/>
  <c r="AT229" i="2"/>
  <c r="X229" i="2"/>
  <c r="Q229" i="2"/>
  <c r="I229" i="2"/>
  <c r="C229" i="2"/>
  <c r="CN228" i="2"/>
  <c r="CM228" i="2"/>
  <c r="BZ228" i="2"/>
  <c r="BY228" i="2"/>
  <c r="BI228" i="2"/>
  <c r="BH228" i="2"/>
  <c r="AU228" i="2"/>
  <c r="AT228" i="2"/>
  <c r="R228" i="2"/>
  <c r="Q228" i="2"/>
  <c r="I228" i="2"/>
  <c r="H228" i="2"/>
  <c r="F228" i="2"/>
  <c r="C228" i="2"/>
  <c r="J228" i="2" s="1"/>
  <c r="CN227" i="2"/>
  <c r="CM227" i="2"/>
  <c r="BZ227" i="2"/>
  <c r="BY227" i="2"/>
  <c r="BI227" i="2"/>
  <c r="BH227" i="2"/>
  <c r="AU227" i="2"/>
  <c r="AT227" i="2"/>
  <c r="X227" i="2"/>
  <c r="W227" i="2"/>
  <c r="V227" i="2"/>
  <c r="U227" i="2"/>
  <c r="T227" i="2"/>
  <c r="S227" i="2"/>
  <c r="R227" i="2"/>
  <c r="AC227" i="2" s="1"/>
  <c r="Q227" i="2"/>
  <c r="C227" i="2"/>
  <c r="CN226" i="2"/>
  <c r="CM226" i="2"/>
  <c r="BZ226" i="2"/>
  <c r="BY226" i="2"/>
  <c r="BI226" i="2"/>
  <c r="BH226" i="2"/>
  <c r="AU226" i="2"/>
  <c r="AT226" i="2"/>
  <c r="U226" i="2"/>
  <c r="Q226" i="2"/>
  <c r="J226" i="2"/>
  <c r="I226" i="2"/>
  <c r="H226" i="2"/>
  <c r="G226" i="2"/>
  <c r="E226" i="2"/>
  <c r="D226" i="2"/>
  <c r="C226" i="2"/>
  <c r="F226" i="2" s="1"/>
  <c r="CN225" i="2"/>
  <c r="CM225" i="2"/>
  <c r="BZ225" i="2"/>
  <c r="BY225" i="2"/>
  <c r="BI225" i="2"/>
  <c r="BH225" i="2"/>
  <c r="AU225" i="2"/>
  <c r="AT225" i="2"/>
  <c r="Q225" i="2"/>
  <c r="C225" i="2"/>
  <c r="CN224" i="2"/>
  <c r="CM224" i="2"/>
  <c r="BZ224" i="2"/>
  <c r="BY224" i="2"/>
  <c r="BI224" i="2"/>
  <c r="BH224" i="2"/>
  <c r="AU224" i="2"/>
  <c r="AT224" i="2"/>
  <c r="Y224" i="2"/>
  <c r="U224" i="2"/>
  <c r="T224" i="2"/>
  <c r="Q224" i="2"/>
  <c r="X224" i="2" s="1"/>
  <c r="K224" i="2"/>
  <c r="J224" i="2"/>
  <c r="I224" i="2"/>
  <c r="H224" i="2"/>
  <c r="G224" i="2"/>
  <c r="F224" i="2"/>
  <c r="E224" i="2"/>
  <c r="D224" i="2"/>
  <c r="P224" i="2" s="1"/>
  <c r="C224" i="2"/>
  <c r="CN223" i="2"/>
  <c r="CM223" i="2"/>
  <c r="BZ223" i="2"/>
  <c r="BY223" i="2"/>
  <c r="BI223" i="2"/>
  <c r="BH223" i="2"/>
  <c r="AU223" i="2"/>
  <c r="AT223" i="2"/>
  <c r="Q223" i="2"/>
  <c r="C223" i="2"/>
  <c r="CN222" i="2"/>
  <c r="CM222" i="2"/>
  <c r="BZ222" i="2"/>
  <c r="BY222" i="2"/>
  <c r="BI222" i="2"/>
  <c r="BH222" i="2"/>
  <c r="AU222" i="2"/>
  <c r="AT222" i="2"/>
  <c r="Y222" i="2"/>
  <c r="V222" i="2"/>
  <c r="U222" i="2"/>
  <c r="T222" i="2"/>
  <c r="S222" i="2"/>
  <c r="Q222" i="2"/>
  <c r="X222" i="2" s="1"/>
  <c r="P222" i="2"/>
  <c r="K222" i="2"/>
  <c r="J222" i="2"/>
  <c r="I222" i="2"/>
  <c r="H222" i="2"/>
  <c r="G222" i="2"/>
  <c r="E222" i="2"/>
  <c r="O222" i="2" s="1"/>
  <c r="D222" i="2"/>
  <c r="C222" i="2"/>
  <c r="F222" i="2" s="1"/>
  <c r="CN221" i="2"/>
  <c r="CM221" i="2"/>
  <c r="BZ221" i="2"/>
  <c r="BY221" i="2"/>
  <c r="BI221" i="2"/>
  <c r="BH221" i="2"/>
  <c r="AU221" i="2"/>
  <c r="AT221" i="2"/>
  <c r="Q221" i="2"/>
  <c r="C221" i="2"/>
  <c r="CN220" i="2"/>
  <c r="CM220" i="2"/>
  <c r="BZ220" i="2"/>
  <c r="BY220" i="2"/>
  <c r="BI220" i="2"/>
  <c r="BH220" i="2"/>
  <c r="AU220" i="2"/>
  <c r="AT220" i="2"/>
  <c r="Y220" i="2"/>
  <c r="U220" i="2"/>
  <c r="T220" i="2"/>
  <c r="Q220" i="2"/>
  <c r="X220" i="2" s="1"/>
  <c r="K220" i="2"/>
  <c r="J220" i="2"/>
  <c r="I220" i="2"/>
  <c r="P220" i="2" s="1"/>
  <c r="H220" i="2"/>
  <c r="G220" i="2"/>
  <c r="F220" i="2"/>
  <c r="E220" i="2"/>
  <c r="O220" i="2" s="1"/>
  <c r="D220" i="2"/>
  <c r="C220" i="2"/>
  <c r="CN219" i="2"/>
  <c r="CM219" i="2"/>
  <c r="BZ219" i="2"/>
  <c r="BY219" i="2"/>
  <c r="BI219" i="2"/>
  <c r="BH219" i="2"/>
  <c r="AU219" i="2"/>
  <c r="AT219" i="2"/>
  <c r="AD219" i="2"/>
  <c r="Y219" i="2"/>
  <c r="X219" i="2"/>
  <c r="W219" i="2"/>
  <c r="V219" i="2"/>
  <c r="U219" i="2"/>
  <c r="S219" i="2"/>
  <c r="AC219" i="2" s="1"/>
  <c r="R219" i="2"/>
  <c r="Q219" i="2"/>
  <c r="T219" i="2" s="1"/>
  <c r="G219" i="2"/>
  <c r="D219" i="2"/>
  <c r="C219" i="2"/>
  <c r="CN218" i="2"/>
  <c r="CM218" i="2"/>
  <c r="BZ218" i="2"/>
  <c r="BY218" i="2"/>
  <c r="BI218" i="2"/>
  <c r="BH218" i="2"/>
  <c r="AU218" i="2"/>
  <c r="AT218" i="2"/>
  <c r="Q218" i="2"/>
  <c r="P218" i="2"/>
  <c r="O218" i="2"/>
  <c r="K218" i="2"/>
  <c r="J218" i="2"/>
  <c r="I218" i="2"/>
  <c r="H218" i="2"/>
  <c r="F218" i="2"/>
  <c r="E218" i="2"/>
  <c r="D218" i="2"/>
  <c r="C218" i="2"/>
  <c r="G218" i="2" s="1"/>
  <c r="CN217" i="2"/>
  <c r="CM217" i="2"/>
  <c r="BZ217" i="2"/>
  <c r="BY217" i="2"/>
  <c r="BI217" i="2"/>
  <c r="BH217" i="2"/>
  <c r="AU217" i="2"/>
  <c r="AT217" i="2"/>
  <c r="AD217" i="2"/>
  <c r="AC217" i="2"/>
  <c r="Y217" i="2"/>
  <c r="X217" i="2"/>
  <c r="W217" i="2"/>
  <c r="V217" i="2"/>
  <c r="U217" i="2"/>
  <c r="S217" i="2"/>
  <c r="R217" i="2"/>
  <c r="Q217" i="2"/>
  <c r="T217" i="2" s="1"/>
  <c r="C217" i="2"/>
  <c r="CN216" i="2"/>
  <c r="CM216" i="2"/>
  <c r="BZ216" i="2"/>
  <c r="BY216" i="2"/>
  <c r="BI216" i="2"/>
  <c r="BH216" i="2"/>
  <c r="AU216" i="2"/>
  <c r="AT216" i="2"/>
  <c r="V216" i="2"/>
  <c r="Q216" i="2"/>
  <c r="P216" i="2"/>
  <c r="L216" i="2"/>
  <c r="K216" i="2"/>
  <c r="J216" i="2"/>
  <c r="H216" i="2"/>
  <c r="G216" i="2"/>
  <c r="F216" i="2"/>
  <c r="D216" i="2"/>
  <c r="C216" i="2"/>
  <c r="I216" i="2" s="1"/>
  <c r="CN215" i="2"/>
  <c r="CM215" i="2"/>
  <c r="BZ215" i="2"/>
  <c r="BY215" i="2"/>
  <c r="BI215" i="2"/>
  <c r="BH215" i="2"/>
  <c r="AU215" i="2"/>
  <c r="AT215" i="2"/>
  <c r="Z215" i="2"/>
  <c r="Y215" i="2"/>
  <c r="X215" i="2"/>
  <c r="V215" i="2"/>
  <c r="U215" i="2"/>
  <c r="T215" i="2"/>
  <c r="R215" i="2"/>
  <c r="Q215" i="2"/>
  <c r="W215" i="2" s="1"/>
  <c r="AD215" i="2" s="1"/>
  <c r="C215" i="2"/>
  <c r="CN214" i="2"/>
  <c r="CM214" i="2"/>
  <c r="BZ214" i="2"/>
  <c r="BY214" i="2"/>
  <c r="BI214" i="2"/>
  <c r="BH214" i="2"/>
  <c r="AU214" i="2"/>
  <c r="AT214" i="2"/>
  <c r="V214" i="2"/>
  <c r="U214" i="2"/>
  <c r="Q214" i="2"/>
  <c r="C214" i="2"/>
  <c r="CN213" i="2"/>
  <c r="CM213" i="2"/>
  <c r="BZ213" i="2"/>
  <c r="BY213" i="2"/>
  <c r="BI213" i="2"/>
  <c r="BH213" i="2"/>
  <c r="AU213" i="2"/>
  <c r="AT213" i="2"/>
  <c r="Q213" i="2"/>
  <c r="L213" i="2"/>
  <c r="K213" i="2"/>
  <c r="J213" i="2"/>
  <c r="I213" i="2"/>
  <c r="H213" i="2"/>
  <c r="G213" i="2"/>
  <c r="F213" i="2"/>
  <c r="D213" i="2"/>
  <c r="C213" i="2"/>
  <c r="E213" i="2" s="1"/>
  <c r="O213" i="2" s="1"/>
  <c r="CN212" i="2"/>
  <c r="CM212" i="2"/>
  <c r="BZ212" i="2"/>
  <c r="BY212" i="2"/>
  <c r="BI212" i="2"/>
  <c r="BH212" i="2"/>
  <c r="AU212" i="2"/>
  <c r="AT212" i="2"/>
  <c r="Z212" i="2"/>
  <c r="Y212" i="2"/>
  <c r="X212" i="2"/>
  <c r="W212" i="2"/>
  <c r="V212" i="2"/>
  <c r="U212" i="2"/>
  <c r="T212" i="2"/>
  <c r="R212" i="2"/>
  <c r="Q212" i="2"/>
  <c r="S212" i="2" s="1"/>
  <c r="AC212" i="2" s="1"/>
  <c r="L212" i="2"/>
  <c r="H212" i="2"/>
  <c r="G212" i="2"/>
  <c r="C212" i="2"/>
  <c r="CN211" i="2"/>
  <c r="CM211" i="2"/>
  <c r="BZ211" i="2"/>
  <c r="BY211" i="2"/>
  <c r="BI211" i="2"/>
  <c r="BH211" i="2"/>
  <c r="AU211" i="2"/>
  <c r="AT211" i="2"/>
  <c r="Z211" i="2"/>
  <c r="Q211" i="2"/>
  <c r="P211" i="2"/>
  <c r="L211" i="2"/>
  <c r="K211" i="2"/>
  <c r="J211" i="2"/>
  <c r="H211" i="2"/>
  <c r="G211" i="2"/>
  <c r="F211" i="2"/>
  <c r="D211" i="2"/>
  <c r="C211" i="2"/>
  <c r="I211" i="2" s="1"/>
  <c r="CN210" i="2"/>
  <c r="CM210" i="2"/>
  <c r="BZ210" i="2"/>
  <c r="BY210" i="2"/>
  <c r="BI210" i="2"/>
  <c r="BH210" i="2"/>
  <c r="AU210" i="2"/>
  <c r="AT210" i="2"/>
  <c r="Z210" i="2"/>
  <c r="Y210" i="2"/>
  <c r="X210" i="2"/>
  <c r="V210" i="2"/>
  <c r="U210" i="2"/>
  <c r="T210" i="2"/>
  <c r="R210" i="2"/>
  <c r="Q210" i="2"/>
  <c r="W210" i="2" s="1"/>
  <c r="AD210" i="2" s="1"/>
  <c r="L210" i="2"/>
  <c r="C210" i="2"/>
  <c r="CN209" i="2"/>
  <c r="CM209" i="2"/>
  <c r="BZ209" i="2"/>
  <c r="BY209" i="2"/>
  <c r="BI209" i="2"/>
  <c r="BH209" i="2"/>
  <c r="AU209" i="2"/>
  <c r="AT209" i="2"/>
  <c r="Z209" i="2"/>
  <c r="U209" i="2"/>
  <c r="T209" i="2"/>
  <c r="S209" i="2"/>
  <c r="AC209" i="2" s="1"/>
  <c r="R209" i="2"/>
  <c r="Q209" i="2"/>
  <c r="D209" i="2"/>
  <c r="C209" i="2"/>
  <c r="CN208" i="2"/>
  <c r="CM208" i="2"/>
  <c r="BZ208" i="2"/>
  <c r="BY208" i="2"/>
  <c r="BI208" i="2"/>
  <c r="BH208" i="2"/>
  <c r="AU208" i="2"/>
  <c r="AT208" i="2"/>
  <c r="Q208" i="2"/>
  <c r="L208" i="2"/>
  <c r="K208" i="2"/>
  <c r="J208" i="2"/>
  <c r="I208" i="2"/>
  <c r="H208" i="2"/>
  <c r="G208" i="2"/>
  <c r="F208" i="2"/>
  <c r="D208" i="2"/>
  <c r="C208" i="2"/>
  <c r="E208" i="2" s="1"/>
  <c r="CN207" i="2"/>
  <c r="CM207" i="2"/>
  <c r="BZ207" i="2"/>
  <c r="BY207" i="2"/>
  <c r="BI207" i="2"/>
  <c r="BH207" i="2"/>
  <c r="AU207" i="2"/>
  <c r="AT207" i="2"/>
  <c r="Z207" i="2"/>
  <c r="Y207" i="2"/>
  <c r="X207" i="2"/>
  <c r="W207" i="2"/>
  <c r="AD207" i="2" s="1"/>
  <c r="V207" i="2"/>
  <c r="U207" i="2"/>
  <c r="T207" i="2"/>
  <c r="R207" i="2"/>
  <c r="Q207" i="2"/>
  <c r="L207" i="2"/>
  <c r="H207" i="2"/>
  <c r="C207" i="2"/>
  <c r="CN206" i="2"/>
  <c r="CM206" i="2"/>
  <c r="BZ206" i="2"/>
  <c r="BY206" i="2"/>
  <c r="BI206" i="2"/>
  <c r="BH206" i="2"/>
  <c r="AU206" i="2"/>
  <c r="AT206" i="2"/>
  <c r="Z206" i="2"/>
  <c r="V206" i="2"/>
  <c r="U206" i="2"/>
  <c r="R206" i="2"/>
  <c r="Q206" i="2"/>
  <c r="L206" i="2"/>
  <c r="K206" i="2"/>
  <c r="J206" i="2"/>
  <c r="H206" i="2"/>
  <c r="G206" i="2"/>
  <c r="F206" i="2"/>
  <c r="E206" i="2"/>
  <c r="D206" i="2"/>
  <c r="O206" i="2" s="1"/>
  <c r="C206" i="2"/>
  <c r="I206" i="2" s="1"/>
  <c r="P206" i="2" s="1"/>
  <c r="CN205" i="2"/>
  <c r="CM205" i="2"/>
  <c r="BZ205" i="2"/>
  <c r="BY205" i="2"/>
  <c r="BI205" i="2"/>
  <c r="BH205" i="2"/>
  <c r="AU205" i="2"/>
  <c r="AT205" i="2"/>
  <c r="Z205" i="2"/>
  <c r="Y205" i="2"/>
  <c r="X205" i="2"/>
  <c r="V205" i="2"/>
  <c r="U205" i="2"/>
  <c r="T205" i="2"/>
  <c r="S205" i="2"/>
  <c r="R205" i="2"/>
  <c r="AC205" i="2" s="1"/>
  <c r="Q205" i="2"/>
  <c r="W205" i="2" s="1"/>
  <c r="AD205" i="2" s="1"/>
  <c r="L205" i="2"/>
  <c r="K205" i="2"/>
  <c r="H205" i="2"/>
  <c r="E205" i="2"/>
  <c r="O205" i="2" s="1"/>
  <c r="D205" i="2"/>
  <c r="C205" i="2"/>
  <c r="CN204" i="2"/>
  <c r="CM204" i="2"/>
  <c r="BZ204" i="2"/>
  <c r="BY204" i="2"/>
  <c r="BI204" i="2"/>
  <c r="BH204" i="2"/>
  <c r="AU204" i="2"/>
  <c r="AT204" i="2"/>
  <c r="Z204" i="2"/>
  <c r="Y204" i="2"/>
  <c r="V204" i="2"/>
  <c r="U204" i="2"/>
  <c r="T204" i="2"/>
  <c r="S204" i="2"/>
  <c r="R204" i="2"/>
  <c r="Q204" i="2"/>
  <c r="H204" i="2"/>
  <c r="D204" i="2"/>
  <c r="C204" i="2"/>
  <c r="CN203" i="2"/>
  <c r="CM203" i="2"/>
  <c r="BZ203" i="2"/>
  <c r="BY203" i="2"/>
  <c r="BI203" i="2"/>
  <c r="BH203" i="2"/>
  <c r="AU203" i="2"/>
  <c r="AT203" i="2"/>
  <c r="R203" i="2"/>
  <c r="Q203" i="2"/>
  <c r="O203" i="2"/>
  <c r="L203" i="2"/>
  <c r="K203" i="2"/>
  <c r="J203" i="2"/>
  <c r="I203" i="2"/>
  <c r="H203" i="2"/>
  <c r="G203" i="2"/>
  <c r="F203" i="2"/>
  <c r="D203" i="2"/>
  <c r="C203" i="2"/>
  <c r="E203" i="2" s="1"/>
  <c r="CN202" i="2"/>
  <c r="CM202" i="2"/>
  <c r="BZ202" i="2"/>
  <c r="BY202" i="2"/>
  <c r="BI202" i="2"/>
  <c r="BH202" i="2"/>
  <c r="AU202" i="2"/>
  <c r="AT202" i="2"/>
  <c r="AC202" i="2"/>
  <c r="Z202" i="2"/>
  <c r="Y202" i="2"/>
  <c r="X202" i="2"/>
  <c r="W202" i="2"/>
  <c r="V202" i="2"/>
  <c r="U202" i="2"/>
  <c r="T202" i="2"/>
  <c r="R202" i="2"/>
  <c r="Q202" i="2"/>
  <c r="S202" i="2" s="1"/>
  <c r="D202" i="2"/>
  <c r="C202" i="2"/>
  <c r="CN201" i="2"/>
  <c r="CM201" i="2"/>
  <c r="BZ201" i="2"/>
  <c r="BY201" i="2"/>
  <c r="BI201" i="2"/>
  <c r="BH201" i="2"/>
  <c r="AU201" i="2"/>
  <c r="AT201" i="2"/>
  <c r="Z201" i="2"/>
  <c r="S201" i="2"/>
  <c r="AC201" i="2" s="1"/>
  <c r="R201" i="2"/>
  <c r="Q201" i="2"/>
  <c r="L201" i="2"/>
  <c r="K201" i="2"/>
  <c r="J201" i="2"/>
  <c r="H201" i="2"/>
  <c r="G201" i="2"/>
  <c r="F201" i="2"/>
  <c r="E201" i="2"/>
  <c r="D201" i="2"/>
  <c r="O201" i="2" s="1"/>
  <c r="C201" i="2"/>
  <c r="I201" i="2" s="1"/>
  <c r="P201" i="2" s="1"/>
  <c r="CN200" i="2"/>
  <c r="CM200" i="2"/>
  <c r="BZ200" i="2"/>
  <c r="BY200" i="2"/>
  <c r="BI200" i="2"/>
  <c r="BH200" i="2"/>
  <c r="AU200" i="2"/>
  <c r="AT200" i="2"/>
  <c r="AA200" i="2"/>
  <c r="Z200" i="2"/>
  <c r="Y200" i="2"/>
  <c r="W200" i="2"/>
  <c r="U200" i="2"/>
  <c r="S200" i="2"/>
  <c r="Q200" i="2"/>
  <c r="X200" i="2" s="1"/>
  <c r="M200" i="2"/>
  <c r="L200" i="2"/>
  <c r="K200" i="2"/>
  <c r="J200" i="2"/>
  <c r="I200" i="2"/>
  <c r="P200" i="2" s="1"/>
  <c r="H200" i="2"/>
  <c r="G200" i="2"/>
  <c r="F200" i="2"/>
  <c r="E200" i="2"/>
  <c r="O200" i="2" s="1"/>
  <c r="D200" i="2"/>
  <c r="C200" i="2"/>
  <c r="CN199" i="2"/>
  <c r="CM199" i="2"/>
  <c r="BZ199" i="2"/>
  <c r="BY199" i="2"/>
  <c r="BI199" i="2"/>
  <c r="BH199" i="2"/>
  <c r="AU199" i="2"/>
  <c r="AT199" i="2"/>
  <c r="Z199" i="2"/>
  <c r="Y199" i="2"/>
  <c r="W199" i="2"/>
  <c r="V199" i="2"/>
  <c r="Q199" i="2"/>
  <c r="L199" i="2"/>
  <c r="C199" i="2"/>
  <c r="CN198" i="2"/>
  <c r="CM198" i="2"/>
  <c r="BZ198" i="2"/>
  <c r="BY198" i="2"/>
  <c r="BI198" i="2"/>
  <c r="BH198" i="2"/>
  <c r="AU198" i="2"/>
  <c r="AT198" i="2"/>
  <c r="Q198" i="2"/>
  <c r="M198" i="2"/>
  <c r="J198" i="2"/>
  <c r="F198" i="2"/>
  <c r="C198" i="2"/>
  <c r="L198" i="2" s="1"/>
  <c r="CN197" i="2"/>
  <c r="CM197" i="2"/>
  <c r="BZ197" i="2"/>
  <c r="BY197" i="2"/>
  <c r="BI197" i="2"/>
  <c r="BH197" i="2"/>
  <c r="AU197" i="2"/>
  <c r="AT197" i="2"/>
  <c r="Q197" i="2"/>
  <c r="P197" i="2"/>
  <c r="M197" i="2"/>
  <c r="L197" i="2"/>
  <c r="K197" i="2"/>
  <c r="J197" i="2"/>
  <c r="I197" i="2"/>
  <c r="H197" i="2"/>
  <c r="G197" i="2"/>
  <c r="F197" i="2"/>
  <c r="D197" i="2"/>
  <c r="C197" i="2"/>
  <c r="E197" i="2" s="1"/>
  <c r="O197" i="2" s="1"/>
  <c r="CN196" i="2"/>
  <c r="CM196" i="2"/>
  <c r="BZ196" i="2"/>
  <c r="BY196" i="2"/>
  <c r="BI196" i="2"/>
  <c r="BH196" i="2"/>
  <c r="AU196" i="2"/>
  <c r="AT196" i="2"/>
  <c r="AA196" i="2"/>
  <c r="Z196" i="2"/>
  <c r="Y196" i="2"/>
  <c r="X196" i="2"/>
  <c r="W196" i="2"/>
  <c r="V196" i="2"/>
  <c r="U196" i="2"/>
  <c r="S196" i="2"/>
  <c r="Q196" i="2"/>
  <c r="T196" i="2" s="1"/>
  <c r="G196" i="2"/>
  <c r="C196" i="2"/>
  <c r="CN195" i="2"/>
  <c r="CM195" i="2"/>
  <c r="BZ195" i="2"/>
  <c r="BY195" i="2"/>
  <c r="BI195" i="2"/>
  <c r="BH195" i="2"/>
  <c r="AU195" i="2"/>
  <c r="AT195" i="2"/>
  <c r="Q195" i="2"/>
  <c r="L195" i="2"/>
  <c r="H195" i="2"/>
  <c r="C195" i="2"/>
  <c r="CN194" i="2"/>
  <c r="CM194" i="2"/>
  <c r="BZ194" i="2"/>
  <c r="BY194" i="2"/>
  <c r="BI194" i="2"/>
  <c r="BH194" i="2"/>
  <c r="AU194" i="2"/>
  <c r="AT194" i="2"/>
  <c r="AA194" i="2"/>
  <c r="Z194" i="2"/>
  <c r="Y194" i="2"/>
  <c r="X194" i="2"/>
  <c r="W194" i="2"/>
  <c r="AD194" i="2" s="1"/>
  <c r="T194" i="2"/>
  <c r="S194" i="2"/>
  <c r="AC194" i="2" s="1"/>
  <c r="R194" i="2"/>
  <c r="Q194" i="2"/>
  <c r="V194" i="2" s="1"/>
  <c r="P194" i="2"/>
  <c r="M194" i="2"/>
  <c r="L194" i="2"/>
  <c r="K194" i="2"/>
  <c r="J194" i="2"/>
  <c r="I194" i="2"/>
  <c r="H194" i="2"/>
  <c r="F194" i="2"/>
  <c r="D194" i="2"/>
  <c r="C194" i="2"/>
  <c r="G194" i="2" s="1"/>
  <c r="CN193" i="2"/>
  <c r="CM193" i="2"/>
  <c r="BZ193" i="2"/>
  <c r="BY193" i="2"/>
  <c r="BI193" i="2"/>
  <c r="BH193" i="2"/>
  <c r="AU193" i="2"/>
  <c r="AT193" i="2"/>
  <c r="Y193" i="2"/>
  <c r="X193" i="2"/>
  <c r="U193" i="2"/>
  <c r="Q193" i="2"/>
  <c r="H193" i="2"/>
  <c r="G193" i="2"/>
  <c r="C193" i="2"/>
  <c r="CN192" i="2"/>
  <c r="CM192" i="2"/>
  <c r="BZ192" i="2"/>
  <c r="BY192" i="2"/>
  <c r="BI192" i="2"/>
  <c r="BH192" i="2"/>
  <c r="AU192" i="2"/>
  <c r="AT192" i="2"/>
  <c r="AA192" i="2"/>
  <c r="Z192" i="2"/>
  <c r="X192" i="2"/>
  <c r="W192" i="2"/>
  <c r="V192" i="2"/>
  <c r="U192" i="2"/>
  <c r="T192" i="2"/>
  <c r="S192" i="2"/>
  <c r="AC192" i="2" s="1"/>
  <c r="R192" i="2"/>
  <c r="Q192" i="2"/>
  <c r="Y192" i="2" s="1"/>
  <c r="J192" i="2"/>
  <c r="F192" i="2"/>
  <c r="E192" i="2"/>
  <c r="C192" i="2"/>
  <c r="CN191" i="2"/>
  <c r="CM191" i="2"/>
  <c r="BZ191" i="2"/>
  <c r="BY191" i="2"/>
  <c r="BI191" i="2"/>
  <c r="BH191" i="2"/>
  <c r="AU191" i="2"/>
  <c r="AT191" i="2"/>
  <c r="U191" i="2"/>
  <c r="T191" i="2"/>
  <c r="R191" i="2"/>
  <c r="Q191" i="2"/>
  <c r="M191" i="2"/>
  <c r="L191" i="2"/>
  <c r="K191" i="2"/>
  <c r="J191" i="2"/>
  <c r="H191" i="2"/>
  <c r="G191" i="2"/>
  <c r="F191" i="2"/>
  <c r="E191" i="2"/>
  <c r="D191" i="2"/>
  <c r="O191" i="2" s="1"/>
  <c r="C191" i="2"/>
  <c r="I191" i="2" s="1"/>
  <c r="P191" i="2" s="1"/>
  <c r="CN190" i="2"/>
  <c r="CM190" i="2"/>
  <c r="BZ190" i="2"/>
  <c r="BY190" i="2"/>
  <c r="BI190" i="2"/>
  <c r="BH190" i="2"/>
  <c r="AU190" i="2"/>
  <c r="AT190" i="2"/>
  <c r="AA190" i="2"/>
  <c r="Z190" i="2"/>
  <c r="Y190" i="2"/>
  <c r="W190" i="2"/>
  <c r="V190" i="2"/>
  <c r="U190" i="2"/>
  <c r="T190" i="2"/>
  <c r="S190" i="2"/>
  <c r="Q190" i="2"/>
  <c r="X190" i="2" s="1"/>
  <c r="O190" i="2"/>
  <c r="M190" i="2"/>
  <c r="L190" i="2"/>
  <c r="K190" i="2"/>
  <c r="J190" i="2"/>
  <c r="I190" i="2"/>
  <c r="P190" i="2" s="1"/>
  <c r="H190" i="2"/>
  <c r="G190" i="2"/>
  <c r="F190" i="2"/>
  <c r="E190" i="2"/>
  <c r="D190" i="2"/>
  <c r="C190" i="2"/>
  <c r="CN189" i="2"/>
  <c r="CM189" i="2"/>
  <c r="BZ189" i="2"/>
  <c r="BY189" i="2"/>
  <c r="BI189" i="2"/>
  <c r="BH189" i="2"/>
  <c r="AU189" i="2"/>
  <c r="AT189" i="2"/>
  <c r="W189" i="2"/>
  <c r="V189" i="2"/>
  <c r="U189" i="2"/>
  <c r="Q189" i="2"/>
  <c r="E189" i="2"/>
  <c r="C189" i="2"/>
  <c r="CN188" i="2"/>
  <c r="CM188" i="2"/>
  <c r="CA188" i="2"/>
  <c r="BZ188" i="2"/>
  <c r="BY188" i="2"/>
  <c r="BM188" i="2"/>
  <c r="BI188" i="2"/>
  <c r="BH188" i="2"/>
  <c r="AV188" i="2"/>
  <c r="AU188" i="2"/>
  <c r="AT188" i="2"/>
  <c r="AH188" i="2"/>
  <c r="CN187" i="2"/>
  <c r="CM187" i="2"/>
  <c r="BZ187" i="2"/>
  <c r="BY187" i="2"/>
  <c r="BI187" i="2"/>
  <c r="BH187" i="2"/>
  <c r="AU187" i="2"/>
  <c r="AT187" i="2"/>
  <c r="AA187" i="2"/>
  <c r="W187" i="2"/>
  <c r="V187" i="2"/>
  <c r="T187" i="2"/>
  <c r="S187" i="2"/>
  <c r="Q187" i="2"/>
  <c r="M187" i="2"/>
  <c r="J187" i="2"/>
  <c r="H187" i="2"/>
  <c r="F187" i="2"/>
  <c r="C187" i="2"/>
  <c r="L187" i="2" s="1"/>
  <c r="CN186" i="2"/>
  <c r="CM186" i="2"/>
  <c r="BZ186" i="2"/>
  <c r="BY186" i="2"/>
  <c r="BI186" i="2"/>
  <c r="BH186" i="2"/>
  <c r="AU186" i="2"/>
  <c r="AT186" i="2"/>
  <c r="Y186" i="2"/>
  <c r="Q186" i="2"/>
  <c r="P186" i="2"/>
  <c r="M186" i="2"/>
  <c r="L186" i="2"/>
  <c r="K186" i="2"/>
  <c r="J186" i="2"/>
  <c r="I186" i="2"/>
  <c r="H186" i="2"/>
  <c r="G186" i="2"/>
  <c r="F186" i="2"/>
  <c r="D186" i="2"/>
  <c r="C186" i="2"/>
  <c r="E186" i="2" s="1"/>
  <c r="O186" i="2" s="1"/>
  <c r="CN185" i="2"/>
  <c r="CM185" i="2"/>
  <c r="BZ185" i="2"/>
  <c r="BY185" i="2"/>
  <c r="BI185" i="2"/>
  <c r="BH185" i="2"/>
  <c r="AU185" i="2"/>
  <c r="AT185" i="2"/>
  <c r="AA185" i="2"/>
  <c r="Z185" i="2"/>
  <c r="Y185" i="2"/>
  <c r="X185" i="2"/>
  <c r="W185" i="2"/>
  <c r="V185" i="2"/>
  <c r="S185" i="2"/>
  <c r="Q185" i="2"/>
  <c r="U185" i="2" s="1"/>
  <c r="F185" i="2"/>
  <c r="E185" i="2"/>
  <c r="O185" i="2" s="1"/>
  <c r="D185" i="2"/>
  <c r="C185" i="2"/>
  <c r="CN184" i="2"/>
  <c r="CM184" i="2"/>
  <c r="BZ184" i="2"/>
  <c r="BY184" i="2"/>
  <c r="BI184" i="2"/>
  <c r="BH184" i="2"/>
  <c r="AU184" i="2"/>
  <c r="AT184" i="2"/>
  <c r="V184" i="2"/>
  <c r="Q184" i="2"/>
  <c r="N184" i="2"/>
  <c r="J184" i="2"/>
  <c r="F184" i="2"/>
  <c r="E184" i="2"/>
  <c r="C184" i="2"/>
  <c r="CN183" i="2"/>
  <c r="CM183" i="2"/>
  <c r="BZ183" i="2"/>
  <c r="BY183" i="2"/>
  <c r="BI183" i="2"/>
  <c r="BH183" i="2"/>
  <c r="AU183" i="2"/>
  <c r="AT183" i="2"/>
  <c r="AB183" i="2"/>
  <c r="R183" i="2"/>
  <c r="Q183" i="2"/>
  <c r="N183" i="2"/>
  <c r="M183" i="2"/>
  <c r="L183" i="2"/>
  <c r="J183" i="2"/>
  <c r="H183" i="2"/>
  <c r="F183" i="2"/>
  <c r="C183" i="2"/>
  <c r="K183" i="2" s="1"/>
  <c r="CN182" i="2"/>
  <c r="CM182" i="2"/>
  <c r="BZ182" i="2"/>
  <c r="BY182" i="2"/>
  <c r="BI182" i="2"/>
  <c r="BH182" i="2"/>
  <c r="AU182" i="2"/>
  <c r="AT182" i="2"/>
  <c r="Z182" i="2"/>
  <c r="X182" i="2"/>
  <c r="V182" i="2"/>
  <c r="R182" i="2"/>
  <c r="Q182" i="2"/>
  <c r="N182" i="2"/>
  <c r="M182" i="2"/>
  <c r="L182" i="2"/>
  <c r="K182" i="2"/>
  <c r="J182" i="2"/>
  <c r="I182" i="2"/>
  <c r="H182" i="2"/>
  <c r="F182" i="2"/>
  <c r="D182" i="2"/>
  <c r="C182" i="2"/>
  <c r="G182" i="2" s="1"/>
  <c r="CN181" i="2"/>
  <c r="CM181" i="2"/>
  <c r="BZ181" i="2"/>
  <c r="BY181" i="2"/>
  <c r="BI181" i="2"/>
  <c r="BH181" i="2"/>
  <c r="AU181" i="2"/>
  <c r="AT181" i="2"/>
  <c r="AB181" i="2"/>
  <c r="AA181" i="2"/>
  <c r="Z181" i="2"/>
  <c r="Y181" i="2"/>
  <c r="X181" i="2"/>
  <c r="V181" i="2"/>
  <c r="U181" i="2"/>
  <c r="T181" i="2"/>
  <c r="S181" i="2"/>
  <c r="R181" i="2"/>
  <c r="AC181" i="2" s="1"/>
  <c r="Q181" i="2"/>
  <c r="W181" i="2" s="1"/>
  <c r="AD181" i="2" s="1"/>
  <c r="N181" i="2"/>
  <c r="M181" i="2"/>
  <c r="L181" i="2"/>
  <c r="K181" i="2"/>
  <c r="J181" i="2"/>
  <c r="I181" i="2"/>
  <c r="P181" i="2" s="1"/>
  <c r="H181" i="2"/>
  <c r="G181" i="2"/>
  <c r="F181" i="2"/>
  <c r="E181" i="2"/>
  <c r="O181" i="2" s="1"/>
  <c r="D181" i="2"/>
  <c r="C181" i="2"/>
  <c r="CN180" i="2"/>
  <c r="CM180" i="2"/>
  <c r="BZ180" i="2"/>
  <c r="BY180" i="2"/>
  <c r="BI180" i="2"/>
  <c r="BH180" i="2"/>
  <c r="AU180" i="2"/>
  <c r="AT180" i="2"/>
  <c r="AD180" i="2"/>
  <c r="AC180" i="2"/>
  <c r="AA180" i="2"/>
  <c r="Z180" i="2"/>
  <c r="Y180" i="2"/>
  <c r="X180" i="2"/>
  <c r="W180" i="2"/>
  <c r="V180" i="2"/>
  <c r="U180" i="2"/>
  <c r="T180" i="2"/>
  <c r="R180" i="2"/>
  <c r="Q180" i="2"/>
  <c r="S180" i="2" s="1"/>
  <c r="J180" i="2"/>
  <c r="I180" i="2"/>
  <c r="C180" i="2"/>
  <c r="CN179" i="2"/>
  <c r="CM179" i="2"/>
  <c r="BZ179" i="2"/>
  <c r="BY179" i="2"/>
  <c r="BI179" i="2"/>
  <c r="BH179" i="2"/>
  <c r="AU179" i="2"/>
  <c r="AT179" i="2"/>
  <c r="V179" i="2"/>
  <c r="U179" i="2"/>
  <c r="Q179" i="2"/>
  <c r="N179" i="2"/>
  <c r="C179" i="2"/>
  <c r="CN178" i="2"/>
  <c r="CM178" i="2"/>
  <c r="BZ178" i="2"/>
  <c r="BY178" i="2"/>
  <c r="BI178" i="2"/>
  <c r="BH178" i="2"/>
  <c r="AU178" i="2"/>
  <c r="AT178" i="2"/>
  <c r="AB178" i="2"/>
  <c r="AA178" i="2"/>
  <c r="Z178" i="2"/>
  <c r="W178" i="2"/>
  <c r="V178" i="2"/>
  <c r="U178" i="2"/>
  <c r="S178" i="2"/>
  <c r="R178" i="2"/>
  <c r="Q178" i="2"/>
  <c r="F178" i="2"/>
  <c r="C178" i="2"/>
  <c r="CN177" i="2"/>
  <c r="CM177" i="2"/>
  <c r="BZ177" i="2"/>
  <c r="BY177" i="2"/>
  <c r="BI177" i="2"/>
  <c r="BH177" i="2"/>
  <c r="AU177" i="2"/>
  <c r="AT177" i="2"/>
  <c r="Z177" i="2"/>
  <c r="X177" i="2"/>
  <c r="Q177" i="2"/>
  <c r="N177" i="2"/>
  <c r="I177" i="2"/>
  <c r="H177" i="2"/>
  <c r="C177" i="2"/>
  <c r="CN176" i="2"/>
  <c r="CM176" i="2"/>
  <c r="BZ176" i="2"/>
  <c r="BY176" i="2"/>
  <c r="BI176" i="2"/>
  <c r="BH176" i="2"/>
  <c r="AU176" i="2"/>
  <c r="AT176" i="2"/>
  <c r="AB176" i="2"/>
  <c r="AA176" i="2"/>
  <c r="Z176" i="2"/>
  <c r="Y176" i="2"/>
  <c r="X176" i="2"/>
  <c r="V176" i="2"/>
  <c r="U176" i="2"/>
  <c r="T176" i="2"/>
  <c r="S176" i="2"/>
  <c r="AC176" i="2" s="1"/>
  <c r="R176" i="2"/>
  <c r="AD176" i="2" s="1"/>
  <c r="Q176" i="2"/>
  <c r="W176" i="2" s="1"/>
  <c r="N176" i="2"/>
  <c r="M176" i="2"/>
  <c r="L176" i="2"/>
  <c r="K176" i="2"/>
  <c r="J176" i="2"/>
  <c r="I176" i="2"/>
  <c r="H176" i="2"/>
  <c r="G176" i="2"/>
  <c r="F176" i="2"/>
  <c r="E176" i="2"/>
  <c r="O176" i="2" s="1"/>
  <c r="D176" i="2"/>
  <c r="C176" i="2"/>
  <c r="CN175" i="2"/>
  <c r="CM175" i="2"/>
  <c r="BZ175" i="2"/>
  <c r="BY175" i="2"/>
  <c r="BI175" i="2"/>
  <c r="BH175" i="2"/>
  <c r="AU175" i="2"/>
  <c r="AT175" i="2"/>
  <c r="AD175" i="2"/>
  <c r="AA175" i="2"/>
  <c r="Z175" i="2"/>
  <c r="Y175" i="2"/>
  <c r="X175" i="2"/>
  <c r="W175" i="2"/>
  <c r="V175" i="2"/>
  <c r="U175" i="2"/>
  <c r="T175" i="2"/>
  <c r="R175" i="2"/>
  <c r="Q175" i="2"/>
  <c r="AB175" i="2" s="1"/>
  <c r="N175" i="2"/>
  <c r="K175" i="2"/>
  <c r="J175" i="2"/>
  <c r="I175" i="2"/>
  <c r="P175" i="2" s="1"/>
  <c r="E175" i="2"/>
  <c r="O175" i="2" s="1"/>
  <c r="D175" i="2"/>
  <c r="C175" i="2"/>
  <c r="CN174" i="2"/>
  <c r="CM174" i="2"/>
  <c r="CA174" i="2"/>
  <c r="BZ174" i="2"/>
  <c r="BY174" i="2"/>
  <c r="BM174" i="2"/>
  <c r="BI174" i="2"/>
  <c r="BH174" i="2"/>
  <c r="AV174" i="2"/>
  <c r="AU174" i="2"/>
  <c r="AT174" i="2"/>
  <c r="AH174" i="2"/>
  <c r="N174" i="2"/>
  <c r="C174" i="2"/>
  <c r="CN173" i="2"/>
  <c r="CM173" i="2"/>
  <c r="BZ173" i="2"/>
  <c r="BY173" i="2"/>
  <c r="BI173" i="2"/>
  <c r="BH173" i="2"/>
  <c r="AU173" i="2"/>
  <c r="AT173" i="2"/>
  <c r="Z173" i="2"/>
  <c r="Y173" i="2"/>
  <c r="S173" i="2"/>
  <c r="R173" i="2"/>
  <c r="Q173" i="2"/>
  <c r="N173" i="2"/>
  <c r="K173" i="2"/>
  <c r="J173" i="2"/>
  <c r="C173" i="2"/>
  <c r="CN172" i="2"/>
  <c r="CM172" i="2"/>
  <c r="BZ172" i="2"/>
  <c r="BY172" i="2"/>
  <c r="BI172" i="2"/>
  <c r="BH172" i="2"/>
  <c r="AU172" i="2"/>
  <c r="AT172" i="2"/>
  <c r="AD172" i="2"/>
  <c r="AC172" i="2"/>
  <c r="AB172" i="2"/>
  <c r="AA172" i="2"/>
  <c r="W172" i="2"/>
  <c r="V172" i="2"/>
  <c r="U172" i="2"/>
  <c r="S172" i="2"/>
  <c r="R172" i="2"/>
  <c r="Q172" i="2"/>
  <c r="N172" i="2"/>
  <c r="M172" i="2"/>
  <c r="G172" i="2"/>
  <c r="F172" i="2"/>
  <c r="C172" i="2"/>
  <c r="BN163" i="2"/>
  <c r="BM163" i="2"/>
  <c r="BL163" i="2"/>
  <c r="BK163" i="2"/>
  <c r="BJ163" i="2"/>
  <c r="AW163" i="2"/>
  <c r="AQ163" i="2"/>
  <c r="AP163" i="2"/>
  <c r="AO163" i="2"/>
  <c r="AN163" i="2"/>
  <c r="AM163" i="2"/>
  <c r="Z163" i="2"/>
  <c r="BP162" i="2"/>
  <c r="BO162" i="2"/>
  <c r="BN162" i="2"/>
  <c r="BM162" i="2"/>
  <c r="BL162" i="2"/>
  <c r="BK162" i="2"/>
  <c r="BJ162" i="2"/>
  <c r="AW162" i="2"/>
  <c r="AS162" i="2"/>
  <c r="AR162" i="2"/>
  <c r="AQ162" i="2"/>
  <c r="AP162" i="2"/>
  <c r="AO162" i="2"/>
  <c r="AN162" i="2"/>
  <c r="AM162" i="2"/>
  <c r="Z162" i="2"/>
  <c r="BP161" i="2"/>
  <c r="BO161" i="2"/>
  <c r="BN161" i="2"/>
  <c r="BM161" i="2"/>
  <c r="BL161" i="2"/>
  <c r="BK161" i="2"/>
  <c r="BJ161" i="2"/>
  <c r="AW161" i="2"/>
  <c r="AS161" i="2"/>
  <c r="AR161" i="2"/>
  <c r="AQ161" i="2"/>
  <c r="AP161" i="2"/>
  <c r="AO161" i="2"/>
  <c r="AN161" i="2"/>
  <c r="AM161" i="2"/>
  <c r="BN158" i="2"/>
  <c r="BM158" i="2"/>
  <c r="BL158" i="2"/>
  <c r="BK158" i="2"/>
  <c r="BJ158" i="2"/>
  <c r="AW158" i="2"/>
  <c r="AQ158" i="2"/>
  <c r="AP158" i="2"/>
  <c r="AO158" i="2"/>
  <c r="AN158" i="2"/>
  <c r="AM158" i="2"/>
  <c r="Z158" i="2"/>
  <c r="BJ157" i="2"/>
  <c r="AM157" i="2"/>
  <c r="C157" i="2"/>
  <c r="E157" i="2" s="1"/>
  <c r="BJ156" i="2"/>
  <c r="AM156" i="2"/>
  <c r="H156" i="2"/>
  <c r="G156" i="2"/>
  <c r="C156" i="2"/>
  <c r="F156" i="2" s="1"/>
  <c r="BJ155" i="2"/>
  <c r="AM155" i="2"/>
  <c r="E155" i="2"/>
  <c r="D155" i="2"/>
  <c r="C155" i="2"/>
  <c r="I155" i="2" s="1"/>
  <c r="BK154" i="2"/>
  <c r="BJ154" i="2"/>
  <c r="AN154" i="2"/>
  <c r="AM154" i="2"/>
  <c r="F154" i="2"/>
  <c r="E154" i="2"/>
  <c r="D154" i="2"/>
  <c r="P154" i="2" s="1"/>
  <c r="C154" i="2"/>
  <c r="J154" i="2" s="1"/>
  <c r="Q154" i="2" s="1"/>
  <c r="BK153" i="2"/>
  <c r="BJ153" i="2"/>
  <c r="AN153" i="2"/>
  <c r="AM153" i="2"/>
  <c r="J153" i="2"/>
  <c r="Q153" i="2" s="1"/>
  <c r="I153" i="2"/>
  <c r="F153" i="2"/>
  <c r="P153" i="2" s="1"/>
  <c r="E153" i="2"/>
  <c r="D153" i="2"/>
  <c r="C153" i="2"/>
  <c r="H153" i="2" s="1"/>
  <c r="BK152" i="2"/>
  <c r="BJ152" i="2"/>
  <c r="AN152" i="2"/>
  <c r="AM152" i="2"/>
  <c r="C152" i="2"/>
  <c r="BK151" i="2"/>
  <c r="BJ151" i="2"/>
  <c r="AN151" i="2"/>
  <c r="AM151" i="2"/>
  <c r="H151" i="2"/>
  <c r="G151" i="2"/>
  <c r="F151" i="2"/>
  <c r="C151" i="2"/>
  <c r="J151" i="2" s="1"/>
  <c r="BK150" i="2"/>
  <c r="BJ150" i="2"/>
  <c r="AN150" i="2"/>
  <c r="AM150" i="2"/>
  <c r="H150" i="2"/>
  <c r="G150" i="2"/>
  <c r="C150" i="2"/>
  <c r="J150" i="2" s="1"/>
  <c r="BK149" i="2"/>
  <c r="BJ149" i="2"/>
  <c r="AN149" i="2"/>
  <c r="AM149" i="2"/>
  <c r="J149" i="2"/>
  <c r="I149" i="2"/>
  <c r="H149" i="2"/>
  <c r="G149" i="2"/>
  <c r="F149" i="2"/>
  <c r="P149" i="2" s="1"/>
  <c r="E149" i="2"/>
  <c r="C149" i="2"/>
  <c r="D149" i="2" s="1"/>
  <c r="BK148" i="2"/>
  <c r="BJ148" i="2"/>
  <c r="AN148" i="2"/>
  <c r="AM148" i="2"/>
  <c r="I148" i="2"/>
  <c r="H148" i="2"/>
  <c r="C148" i="2"/>
  <c r="BL147" i="2"/>
  <c r="BK147" i="2"/>
  <c r="BJ147" i="2"/>
  <c r="AO147" i="2"/>
  <c r="AN147" i="2"/>
  <c r="AM147" i="2"/>
  <c r="H147" i="2"/>
  <c r="G147" i="2"/>
  <c r="F147" i="2"/>
  <c r="C147" i="2"/>
  <c r="K147" i="2" s="1"/>
  <c r="BL146" i="2"/>
  <c r="BK146" i="2"/>
  <c r="BJ146" i="2"/>
  <c r="AO146" i="2"/>
  <c r="AN146" i="2"/>
  <c r="AM146" i="2"/>
  <c r="P146" i="2"/>
  <c r="K146" i="2"/>
  <c r="F146" i="2"/>
  <c r="E146" i="2"/>
  <c r="D146" i="2"/>
  <c r="C146" i="2"/>
  <c r="J146" i="2" s="1"/>
  <c r="Q146" i="2" s="1"/>
  <c r="BL145" i="2"/>
  <c r="BK145" i="2"/>
  <c r="BJ145" i="2"/>
  <c r="AO145" i="2"/>
  <c r="AN145" i="2"/>
  <c r="AM145" i="2"/>
  <c r="C145" i="2"/>
  <c r="BL144" i="2"/>
  <c r="BK144" i="2"/>
  <c r="BJ144" i="2"/>
  <c r="AO144" i="2"/>
  <c r="AN144" i="2"/>
  <c r="AM144" i="2"/>
  <c r="K144" i="2"/>
  <c r="H144" i="2"/>
  <c r="G144" i="2"/>
  <c r="C144" i="2"/>
  <c r="J144" i="2" s="1"/>
  <c r="BL143" i="2"/>
  <c r="BK143" i="2"/>
  <c r="BJ143" i="2"/>
  <c r="AO143" i="2"/>
  <c r="AN143" i="2"/>
  <c r="AM143" i="2"/>
  <c r="K143" i="2"/>
  <c r="J143" i="2"/>
  <c r="I143" i="2"/>
  <c r="F143" i="2"/>
  <c r="E143" i="2"/>
  <c r="C143" i="2"/>
  <c r="H143" i="2" s="1"/>
  <c r="BL142" i="2"/>
  <c r="BK142" i="2"/>
  <c r="BJ142" i="2"/>
  <c r="AO142" i="2"/>
  <c r="AN142" i="2"/>
  <c r="AM142" i="2"/>
  <c r="C142" i="2"/>
  <c r="BL141" i="2"/>
  <c r="BK141" i="2"/>
  <c r="BJ141" i="2"/>
  <c r="AO141" i="2"/>
  <c r="AN141" i="2"/>
  <c r="AM141" i="2"/>
  <c r="K141" i="2"/>
  <c r="J141" i="2"/>
  <c r="I141" i="2"/>
  <c r="H141" i="2"/>
  <c r="G141" i="2"/>
  <c r="F141" i="2"/>
  <c r="E141" i="2"/>
  <c r="C141" i="2"/>
  <c r="D141" i="2" s="1"/>
  <c r="R141" i="2" s="1"/>
  <c r="BM140" i="2"/>
  <c r="BL140" i="2"/>
  <c r="BK140" i="2"/>
  <c r="BJ140" i="2"/>
  <c r="AP140" i="2"/>
  <c r="AO140" i="2"/>
  <c r="AN140" i="2"/>
  <c r="AM140" i="2"/>
  <c r="C140" i="2"/>
  <c r="BM139" i="2"/>
  <c r="BL139" i="2"/>
  <c r="BK139" i="2"/>
  <c r="BJ139" i="2"/>
  <c r="AP139" i="2"/>
  <c r="AO139" i="2"/>
  <c r="AN139" i="2"/>
  <c r="AM139" i="2"/>
  <c r="P139" i="2"/>
  <c r="L139" i="2"/>
  <c r="S139" i="2" s="1"/>
  <c r="K139" i="2"/>
  <c r="R139" i="2" s="1"/>
  <c r="J139" i="2"/>
  <c r="Q139" i="2" s="1"/>
  <c r="I139" i="2"/>
  <c r="F139" i="2"/>
  <c r="E139" i="2"/>
  <c r="D139" i="2"/>
  <c r="C139" i="2"/>
  <c r="H139" i="2" s="1"/>
  <c r="BM138" i="2"/>
  <c r="BL138" i="2"/>
  <c r="BK138" i="2"/>
  <c r="BJ138" i="2"/>
  <c r="AP138" i="2"/>
  <c r="AO138" i="2"/>
  <c r="AN138" i="2"/>
  <c r="AM138" i="2"/>
  <c r="L138" i="2"/>
  <c r="K138" i="2"/>
  <c r="H138" i="2"/>
  <c r="G138" i="2"/>
  <c r="F138" i="2"/>
  <c r="E138" i="2"/>
  <c r="C138" i="2"/>
  <c r="J138" i="2" s="1"/>
  <c r="BM137" i="2"/>
  <c r="BL137" i="2"/>
  <c r="BK137" i="2"/>
  <c r="BJ137" i="2"/>
  <c r="AP137" i="2"/>
  <c r="AO137" i="2"/>
  <c r="AN137" i="2"/>
  <c r="AM137" i="2"/>
  <c r="J137" i="2"/>
  <c r="I137" i="2"/>
  <c r="C137" i="2"/>
  <c r="BM136" i="2"/>
  <c r="BL136" i="2"/>
  <c r="BK136" i="2"/>
  <c r="BJ136" i="2"/>
  <c r="AP136" i="2"/>
  <c r="AO136" i="2"/>
  <c r="AN136" i="2"/>
  <c r="AM136" i="2"/>
  <c r="L136" i="2"/>
  <c r="K136" i="2"/>
  <c r="F136" i="2"/>
  <c r="E136" i="2"/>
  <c r="D136" i="2"/>
  <c r="S136" i="2" s="1"/>
  <c r="C136" i="2"/>
  <c r="J136" i="2" s="1"/>
  <c r="Q136" i="2" s="1"/>
  <c r="BM135" i="2"/>
  <c r="BL135" i="2"/>
  <c r="BK135" i="2"/>
  <c r="BJ135" i="2"/>
  <c r="AP135" i="2"/>
  <c r="AO135" i="2"/>
  <c r="AN135" i="2"/>
  <c r="AM135" i="2"/>
  <c r="H135" i="2"/>
  <c r="G135" i="2"/>
  <c r="F135" i="2"/>
  <c r="C135" i="2"/>
  <c r="L135" i="2" s="1"/>
  <c r="BM134" i="2"/>
  <c r="BL134" i="2"/>
  <c r="BK134" i="2"/>
  <c r="BJ134" i="2"/>
  <c r="AP134" i="2"/>
  <c r="AO134" i="2"/>
  <c r="AN134" i="2"/>
  <c r="AM134" i="2"/>
  <c r="I134" i="2"/>
  <c r="H134" i="2"/>
  <c r="D134" i="2"/>
  <c r="C134" i="2"/>
  <c r="BM133" i="2"/>
  <c r="BL133" i="2"/>
  <c r="BK133" i="2"/>
  <c r="BJ133" i="2"/>
  <c r="AP133" i="2"/>
  <c r="AO133" i="2"/>
  <c r="AN133" i="2"/>
  <c r="AM133" i="2"/>
  <c r="C133" i="2"/>
  <c r="BM132" i="2"/>
  <c r="BL132" i="2"/>
  <c r="BK132" i="2"/>
  <c r="BJ132" i="2"/>
  <c r="AP132" i="2"/>
  <c r="AO132" i="2"/>
  <c r="AN132" i="2"/>
  <c r="AM132" i="2"/>
  <c r="H132" i="2"/>
  <c r="G132" i="2"/>
  <c r="C132" i="2"/>
  <c r="BN131" i="2"/>
  <c r="BM131" i="2"/>
  <c r="BL131" i="2"/>
  <c r="BK131" i="2"/>
  <c r="BJ131" i="2"/>
  <c r="AQ131" i="2"/>
  <c r="AP131" i="2"/>
  <c r="AO131" i="2"/>
  <c r="AN131" i="2"/>
  <c r="AM131" i="2"/>
  <c r="M131" i="2"/>
  <c r="L131" i="2"/>
  <c r="K131" i="2"/>
  <c r="J131" i="2"/>
  <c r="I131" i="2"/>
  <c r="F131" i="2"/>
  <c r="E131" i="2"/>
  <c r="C131" i="2"/>
  <c r="H131" i="2" s="1"/>
  <c r="BN130" i="2"/>
  <c r="BM130" i="2"/>
  <c r="BL130" i="2"/>
  <c r="BK130" i="2"/>
  <c r="BJ130" i="2"/>
  <c r="AQ130" i="2"/>
  <c r="AP130" i="2"/>
  <c r="AO130" i="2"/>
  <c r="AN130" i="2"/>
  <c r="AM130" i="2"/>
  <c r="L130" i="2"/>
  <c r="S130" i="2" s="1"/>
  <c r="K130" i="2"/>
  <c r="R130" i="2" s="1"/>
  <c r="F130" i="2"/>
  <c r="E130" i="2"/>
  <c r="D130" i="2"/>
  <c r="C130" i="2"/>
  <c r="M130" i="2" s="1"/>
  <c r="T130" i="2" s="1"/>
  <c r="BN129" i="2"/>
  <c r="BM129" i="2"/>
  <c r="BL129" i="2"/>
  <c r="BK129" i="2"/>
  <c r="BJ129" i="2"/>
  <c r="AQ129" i="2"/>
  <c r="AP129" i="2"/>
  <c r="AO129" i="2"/>
  <c r="AN129" i="2"/>
  <c r="AM129" i="2"/>
  <c r="F129" i="2"/>
  <c r="E129" i="2"/>
  <c r="C129" i="2"/>
  <c r="BN128" i="2"/>
  <c r="BM128" i="2"/>
  <c r="BL128" i="2"/>
  <c r="BK128" i="2"/>
  <c r="BJ128" i="2"/>
  <c r="AQ128" i="2"/>
  <c r="AP128" i="2"/>
  <c r="AO128" i="2"/>
  <c r="AN128" i="2"/>
  <c r="AM128" i="2"/>
  <c r="H128" i="2"/>
  <c r="G128" i="2"/>
  <c r="C128" i="2"/>
  <c r="BN127" i="2"/>
  <c r="BM127" i="2"/>
  <c r="BL127" i="2"/>
  <c r="BK127" i="2"/>
  <c r="BJ127" i="2"/>
  <c r="AQ127" i="2"/>
  <c r="AP127" i="2"/>
  <c r="AO127" i="2"/>
  <c r="AN127" i="2"/>
  <c r="AM127" i="2"/>
  <c r="M127" i="2"/>
  <c r="J127" i="2"/>
  <c r="I127" i="2"/>
  <c r="C127" i="2"/>
  <c r="BN126" i="2"/>
  <c r="BM126" i="2"/>
  <c r="BL126" i="2"/>
  <c r="BK126" i="2"/>
  <c r="BJ126" i="2"/>
  <c r="AQ126" i="2"/>
  <c r="AP126" i="2"/>
  <c r="AO126" i="2"/>
  <c r="AN126" i="2"/>
  <c r="AM126" i="2"/>
  <c r="C126" i="2"/>
  <c r="BN125" i="2"/>
  <c r="BM125" i="2"/>
  <c r="BL125" i="2"/>
  <c r="BK125" i="2"/>
  <c r="BJ125" i="2"/>
  <c r="AQ125" i="2"/>
  <c r="AP125" i="2"/>
  <c r="AO125" i="2"/>
  <c r="AN125" i="2"/>
  <c r="AM125" i="2"/>
  <c r="Q125" i="2"/>
  <c r="P125" i="2"/>
  <c r="M125" i="2"/>
  <c r="L125" i="2"/>
  <c r="K125" i="2"/>
  <c r="J125" i="2"/>
  <c r="I125" i="2"/>
  <c r="H125" i="2"/>
  <c r="G125" i="2"/>
  <c r="F125" i="2"/>
  <c r="E125" i="2"/>
  <c r="C125" i="2"/>
  <c r="D125" i="2" s="1"/>
  <c r="R125" i="2" s="1"/>
  <c r="BN124" i="2"/>
  <c r="BM124" i="2"/>
  <c r="BL124" i="2"/>
  <c r="BK124" i="2"/>
  <c r="BJ124" i="2"/>
  <c r="AQ124" i="2"/>
  <c r="AP124" i="2"/>
  <c r="AO124" i="2"/>
  <c r="AN124" i="2"/>
  <c r="AM124" i="2"/>
  <c r="M124" i="2"/>
  <c r="L124" i="2"/>
  <c r="K124" i="2"/>
  <c r="H124" i="2"/>
  <c r="G124" i="2"/>
  <c r="C124" i="2"/>
  <c r="J124" i="2" s="1"/>
  <c r="BN123" i="2"/>
  <c r="BM123" i="2"/>
  <c r="BL123" i="2"/>
  <c r="BK123" i="2"/>
  <c r="BJ123" i="2"/>
  <c r="AQ123" i="2"/>
  <c r="AP123" i="2"/>
  <c r="AO123" i="2"/>
  <c r="AN123" i="2"/>
  <c r="AM123" i="2"/>
  <c r="M123" i="2"/>
  <c r="H123" i="2"/>
  <c r="G123" i="2"/>
  <c r="F123" i="2"/>
  <c r="C123" i="2"/>
  <c r="L123" i="2" s="1"/>
  <c r="BN122" i="2"/>
  <c r="BM122" i="2"/>
  <c r="BL122" i="2"/>
  <c r="BK122" i="2"/>
  <c r="BJ122" i="2"/>
  <c r="AQ122" i="2"/>
  <c r="AP122" i="2"/>
  <c r="AO122" i="2"/>
  <c r="AN122" i="2"/>
  <c r="AM122" i="2"/>
  <c r="M122" i="2"/>
  <c r="L122" i="2"/>
  <c r="S122" i="2" s="1"/>
  <c r="H122" i="2"/>
  <c r="E122" i="2"/>
  <c r="D122" i="2"/>
  <c r="C122" i="2"/>
  <c r="BN121" i="2"/>
  <c r="BM121" i="2"/>
  <c r="BL121" i="2"/>
  <c r="BK121" i="2"/>
  <c r="BJ121" i="2"/>
  <c r="AQ121" i="2"/>
  <c r="AP121" i="2"/>
  <c r="AO121" i="2"/>
  <c r="AN121" i="2"/>
  <c r="AM121" i="2"/>
  <c r="M121" i="2"/>
  <c r="L121" i="2"/>
  <c r="K121" i="2"/>
  <c r="J121" i="2"/>
  <c r="I121" i="2"/>
  <c r="F121" i="2"/>
  <c r="E121" i="2"/>
  <c r="C121" i="2"/>
  <c r="H121" i="2" s="1"/>
  <c r="BN120" i="2"/>
  <c r="BM120" i="2"/>
  <c r="BL120" i="2"/>
  <c r="BK120" i="2"/>
  <c r="BJ120" i="2"/>
  <c r="AQ120" i="2"/>
  <c r="AP120" i="2"/>
  <c r="AO120" i="2"/>
  <c r="AN120" i="2"/>
  <c r="AM120" i="2"/>
  <c r="T120" i="2"/>
  <c r="L120" i="2"/>
  <c r="S120" i="2" s="1"/>
  <c r="K120" i="2"/>
  <c r="F120" i="2"/>
  <c r="E120" i="2"/>
  <c r="D120" i="2"/>
  <c r="R120" i="2" s="1"/>
  <c r="C120" i="2"/>
  <c r="M120" i="2" s="1"/>
  <c r="BN119" i="2"/>
  <c r="BM119" i="2"/>
  <c r="BL119" i="2"/>
  <c r="BK119" i="2"/>
  <c r="BJ119" i="2"/>
  <c r="AQ119" i="2"/>
  <c r="AP119" i="2"/>
  <c r="AO119" i="2"/>
  <c r="AN119" i="2"/>
  <c r="AM119" i="2"/>
  <c r="J119" i="2"/>
  <c r="F119" i="2"/>
  <c r="C119" i="2"/>
  <c r="K119" i="2" s="1"/>
  <c r="BN118" i="2"/>
  <c r="BM118" i="2"/>
  <c r="BL118" i="2"/>
  <c r="BK118" i="2"/>
  <c r="BJ118" i="2"/>
  <c r="AQ118" i="2"/>
  <c r="AP118" i="2"/>
  <c r="AO118" i="2"/>
  <c r="AN118" i="2"/>
  <c r="AM118" i="2"/>
  <c r="L118" i="2"/>
  <c r="K118" i="2"/>
  <c r="I118" i="2"/>
  <c r="H118" i="2"/>
  <c r="C118" i="2"/>
  <c r="J118" i="2" s="1"/>
  <c r="BN117" i="2"/>
  <c r="BM117" i="2"/>
  <c r="BL117" i="2"/>
  <c r="BK117" i="2"/>
  <c r="BJ117" i="2"/>
  <c r="AQ117" i="2"/>
  <c r="AP117" i="2"/>
  <c r="AO117" i="2"/>
  <c r="AN117" i="2"/>
  <c r="AM117" i="2"/>
  <c r="M117" i="2"/>
  <c r="J117" i="2"/>
  <c r="C117" i="2"/>
  <c r="BN116" i="2"/>
  <c r="BM116" i="2"/>
  <c r="BL116" i="2"/>
  <c r="BK116" i="2"/>
  <c r="BJ116" i="2"/>
  <c r="AQ116" i="2"/>
  <c r="AP116" i="2"/>
  <c r="AO116" i="2"/>
  <c r="AN116" i="2"/>
  <c r="AM116" i="2"/>
  <c r="H116" i="2"/>
  <c r="D116" i="2"/>
  <c r="C116" i="2"/>
  <c r="BO115" i="2"/>
  <c r="BN115" i="2"/>
  <c r="BM115" i="2"/>
  <c r="BL115" i="2"/>
  <c r="BK115" i="2"/>
  <c r="BJ115" i="2"/>
  <c r="AR115" i="2"/>
  <c r="AQ115" i="2"/>
  <c r="AP115" i="2"/>
  <c r="AO115" i="2"/>
  <c r="AN115" i="2"/>
  <c r="AM115" i="2"/>
  <c r="N115" i="2"/>
  <c r="M115" i="2"/>
  <c r="L115" i="2"/>
  <c r="K115" i="2"/>
  <c r="J115" i="2"/>
  <c r="I115" i="2"/>
  <c r="F115" i="2"/>
  <c r="E115" i="2"/>
  <c r="C115" i="2"/>
  <c r="H115" i="2" s="1"/>
  <c r="BO114" i="2"/>
  <c r="BN114" i="2"/>
  <c r="BM114" i="2"/>
  <c r="BL114" i="2"/>
  <c r="BK114" i="2"/>
  <c r="BJ114" i="2"/>
  <c r="AR114" i="2"/>
  <c r="AQ114" i="2"/>
  <c r="AP114" i="2"/>
  <c r="AO114" i="2"/>
  <c r="AN114" i="2"/>
  <c r="AM114" i="2"/>
  <c r="J114" i="2"/>
  <c r="Q114" i="2" s="1"/>
  <c r="I114" i="2"/>
  <c r="D114" i="2"/>
  <c r="C114" i="2"/>
  <c r="BO113" i="2"/>
  <c r="BN113" i="2"/>
  <c r="BM113" i="2"/>
  <c r="BL113" i="2"/>
  <c r="BK113" i="2"/>
  <c r="BJ113" i="2"/>
  <c r="AR113" i="2"/>
  <c r="AQ113" i="2"/>
  <c r="AP113" i="2"/>
  <c r="AO113" i="2"/>
  <c r="AN113" i="2"/>
  <c r="AM113" i="2"/>
  <c r="N113" i="2"/>
  <c r="M113" i="2"/>
  <c r="L113" i="2"/>
  <c r="K113" i="2"/>
  <c r="J113" i="2"/>
  <c r="I113" i="2"/>
  <c r="F113" i="2"/>
  <c r="E113" i="2"/>
  <c r="C113" i="2"/>
  <c r="H113" i="2" s="1"/>
  <c r="BO112" i="2"/>
  <c r="BN112" i="2"/>
  <c r="BM112" i="2"/>
  <c r="BL112" i="2"/>
  <c r="BK112" i="2"/>
  <c r="BJ112" i="2"/>
  <c r="AR112" i="2"/>
  <c r="AQ112" i="2"/>
  <c r="AP112" i="2"/>
  <c r="AO112" i="2"/>
  <c r="AN112" i="2"/>
  <c r="AM112" i="2"/>
  <c r="D112" i="2"/>
  <c r="C112" i="2"/>
  <c r="BO111" i="2"/>
  <c r="BN111" i="2"/>
  <c r="BM111" i="2"/>
  <c r="BL111" i="2"/>
  <c r="BK111" i="2"/>
  <c r="BJ111" i="2"/>
  <c r="AR111" i="2"/>
  <c r="AQ111" i="2"/>
  <c r="AP111" i="2"/>
  <c r="AO111" i="2"/>
  <c r="AN111" i="2"/>
  <c r="AM111" i="2"/>
  <c r="N111" i="2"/>
  <c r="M111" i="2"/>
  <c r="L111" i="2"/>
  <c r="K111" i="2"/>
  <c r="J111" i="2"/>
  <c r="I111" i="2"/>
  <c r="F111" i="2"/>
  <c r="E111" i="2"/>
  <c r="C111" i="2"/>
  <c r="H111" i="2" s="1"/>
  <c r="BO110" i="2"/>
  <c r="BN110" i="2"/>
  <c r="BM110" i="2"/>
  <c r="BL110" i="2"/>
  <c r="BK110" i="2"/>
  <c r="BJ110" i="2"/>
  <c r="AR110" i="2"/>
  <c r="AQ110" i="2"/>
  <c r="AP110" i="2"/>
  <c r="AO110" i="2"/>
  <c r="AN110" i="2"/>
  <c r="AM110" i="2"/>
  <c r="E110" i="2"/>
  <c r="D110" i="2"/>
  <c r="C110" i="2"/>
  <c r="BO109" i="2"/>
  <c r="BN109" i="2"/>
  <c r="BM109" i="2"/>
  <c r="BL109" i="2"/>
  <c r="BK109" i="2"/>
  <c r="BJ109" i="2"/>
  <c r="AR109" i="2"/>
  <c r="AQ109" i="2"/>
  <c r="AP109" i="2"/>
  <c r="AO109" i="2"/>
  <c r="AN109" i="2"/>
  <c r="AM109" i="2"/>
  <c r="N109" i="2"/>
  <c r="M109" i="2"/>
  <c r="L109" i="2"/>
  <c r="K109" i="2"/>
  <c r="J109" i="2"/>
  <c r="I109" i="2"/>
  <c r="F109" i="2"/>
  <c r="E109" i="2"/>
  <c r="C109" i="2"/>
  <c r="H109" i="2" s="1"/>
  <c r="BO108" i="2"/>
  <c r="BN108" i="2"/>
  <c r="BM108" i="2"/>
  <c r="BL108" i="2"/>
  <c r="BK108" i="2"/>
  <c r="BJ108" i="2"/>
  <c r="AR108" i="2"/>
  <c r="AQ108" i="2"/>
  <c r="AP108" i="2"/>
  <c r="AO108" i="2"/>
  <c r="AN108" i="2"/>
  <c r="AM108" i="2"/>
  <c r="J108" i="2"/>
  <c r="Q108" i="2" s="1"/>
  <c r="E108" i="2"/>
  <c r="D108" i="2"/>
  <c r="C108" i="2"/>
  <c r="BO107" i="2"/>
  <c r="BN107" i="2"/>
  <c r="BM107" i="2"/>
  <c r="BL107" i="2"/>
  <c r="BK107" i="2"/>
  <c r="BJ107" i="2"/>
  <c r="AR107" i="2"/>
  <c r="AQ107" i="2"/>
  <c r="AP107" i="2"/>
  <c r="AO107" i="2"/>
  <c r="AN107" i="2"/>
  <c r="AM107" i="2"/>
  <c r="N107" i="2"/>
  <c r="M107" i="2"/>
  <c r="L107" i="2"/>
  <c r="K107" i="2"/>
  <c r="J107" i="2"/>
  <c r="I107" i="2"/>
  <c r="F107" i="2"/>
  <c r="E107" i="2"/>
  <c r="C107" i="2"/>
  <c r="H107" i="2" s="1"/>
  <c r="BO106" i="2"/>
  <c r="BN106" i="2"/>
  <c r="BM106" i="2"/>
  <c r="BL106" i="2"/>
  <c r="BK106" i="2"/>
  <c r="BJ106" i="2"/>
  <c r="AR106" i="2"/>
  <c r="AQ106" i="2"/>
  <c r="AP106" i="2"/>
  <c r="AO106" i="2"/>
  <c r="AN106" i="2"/>
  <c r="AM106" i="2"/>
  <c r="H106" i="2"/>
  <c r="E106" i="2"/>
  <c r="D106" i="2"/>
  <c r="C106" i="2"/>
  <c r="BO105" i="2"/>
  <c r="BN105" i="2"/>
  <c r="BM105" i="2"/>
  <c r="BL105" i="2"/>
  <c r="BK105" i="2"/>
  <c r="BJ105" i="2"/>
  <c r="AR105" i="2"/>
  <c r="AQ105" i="2"/>
  <c r="AP105" i="2"/>
  <c r="AO105" i="2"/>
  <c r="AN105" i="2"/>
  <c r="AM105" i="2"/>
  <c r="N105" i="2"/>
  <c r="M105" i="2"/>
  <c r="L105" i="2"/>
  <c r="K105" i="2"/>
  <c r="J105" i="2"/>
  <c r="I105" i="2"/>
  <c r="F105" i="2"/>
  <c r="E105" i="2"/>
  <c r="C105" i="2"/>
  <c r="H105" i="2" s="1"/>
  <c r="BO104" i="2"/>
  <c r="BN104" i="2"/>
  <c r="BM104" i="2"/>
  <c r="BL104" i="2"/>
  <c r="BK104" i="2"/>
  <c r="BJ104" i="2"/>
  <c r="AR104" i="2"/>
  <c r="AQ104" i="2"/>
  <c r="AP104" i="2"/>
  <c r="AO104" i="2"/>
  <c r="AN104" i="2"/>
  <c r="AM104" i="2"/>
  <c r="F104" i="2"/>
  <c r="D104" i="2"/>
  <c r="C104" i="2"/>
  <c r="BP103" i="2"/>
  <c r="BO103" i="2"/>
  <c r="BN103" i="2"/>
  <c r="BM103" i="2"/>
  <c r="BL103" i="2"/>
  <c r="BK103" i="2"/>
  <c r="BJ103" i="2"/>
  <c r="AW103" i="2"/>
  <c r="AS103" i="2"/>
  <c r="AR103" i="2"/>
  <c r="AQ103" i="2"/>
  <c r="AP103" i="2"/>
  <c r="AO103" i="2"/>
  <c r="AN103" i="2"/>
  <c r="AM103" i="2"/>
  <c r="Z103" i="2"/>
  <c r="BO102" i="2"/>
  <c r="BN102" i="2"/>
  <c r="BM102" i="2"/>
  <c r="BL102" i="2"/>
  <c r="BK102" i="2"/>
  <c r="BJ102" i="2"/>
  <c r="AR102" i="2"/>
  <c r="AQ102" i="2"/>
  <c r="AP102" i="2"/>
  <c r="AO102" i="2"/>
  <c r="AN102" i="2"/>
  <c r="AM102" i="2"/>
  <c r="N102" i="2"/>
  <c r="U102" i="2" s="1"/>
  <c r="L102" i="2"/>
  <c r="K102" i="2"/>
  <c r="J102" i="2"/>
  <c r="I102" i="2"/>
  <c r="H102" i="2"/>
  <c r="G102" i="2"/>
  <c r="F102" i="2"/>
  <c r="P102" i="2" s="1"/>
  <c r="E102" i="2"/>
  <c r="C102" i="2"/>
  <c r="D102" i="2" s="1"/>
  <c r="Q102" i="2" s="1"/>
  <c r="BO101" i="2"/>
  <c r="BN101" i="2"/>
  <c r="BM101" i="2"/>
  <c r="BL101" i="2"/>
  <c r="BK101" i="2"/>
  <c r="BJ101" i="2"/>
  <c r="AR101" i="2"/>
  <c r="AQ101" i="2"/>
  <c r="AP101" i="2"/>
  <c r="AO101" i="2"/>
  <c r="AN101" i="2"/>
  <c r="AM101" i="2"/>
  <c r="Q101" i="2"/>
  <c r="L101" i="2"/>
  <c r="S101" i="2" s="1"/>
  <c r="K101" i="2"/>
  <c r="J101" i="2"/>
  <c r="I101" i="2"/>
  <c r="F101" i="2"/>
  <c r="P101" i="2" s="1"/>
  <c r="E101" i="2"/>
  <c r="D101" i="2"/>
  <c r="R101" i="2" s="1"/>
  <c r="C101" i="2"/>
  <c r="N101" i="2" s="1"/>
  <c r="U101" i="2" s="1"/>
  <c r="BO100" i="2"/>
  <c r="BN100" i="2"/>
  <c r="BM100" i="2"/>
  <c r="BL100" i="2"/>
  <c r="BK100" i="2"/>
  <c r="BJ100" i="2"/>
  <c r="AR100" i="2"/>
  <c r="AQ100" i="2"/>
  <c r="AP100" i="2"/>
  <c r="AO100" i="2"/>
  <c r="AN100" i="2"/>
  <c r="AM100" i="2"/>
  <c r="N100" i="2"/>
  <c r="L100" i="2"/>
  <c r="K100" i="2"/>
  <c r="R100" i="2" s="1"/>
  <c r="J100" i="2"/>
  <c r="Q100" i="2" s="1"/>
  <c r="I100" i="2"/>
  <c r="H100" i="2"/>
  <c r="G100" i="2"/>
  <c r="F100" i="2"/>
  <c r="E100" i="2"/>
  <c r="C100" i="2"/>
  <c r="D100" i="2" s="1"/>
  <c r="P100" i="2" s="1"/>
  <c r="BP99" i="2"/>
  <c r="BO99" i="2"/>
  <c r="BN99" i="2"/>
  <c r="BM99" i="2"/>
  <c r="BL99" i="2"/>
  <c r="BK99" i="2"/>
  <c r="BJ99" i="2"/>
  <c r="AS99" i="2"/>
  <c r="AR99" i="2"/>
  <c r="AQ99" i="2"/>
  <c r="AP99" i="2"/>
  <c r="AO99" i="2"/>
  <c r="AN99" i="2"/>
  <c r="AM99" i="2"/>
  <c r="C99" i="2"/>
  <c r="BP98" i="2"/>
  <c r="BO98" i="2"/>
  <c r="BN98" i="2"/>
  <c r="BM98" i="2"/>
  <c r="BL98" i="2"/>
  <c r="BK98" i="2"/>
  <c r="BJ98" i="2"/>
  <c r="AS98" i="2"/>
  <c r="AR98" i="2"/>
  <c r="AQ98" i="2"/>
  <c r="AP98" i="2"/>
  <c r="AO98" i="2"/>
  <c r="AN98" i="2"/>
  <c r="AM98" i="2"/>
  <c r="C98" i="2"/>
  <c r="BP97" i="2"/>
  <c r="BO97" i="2"/>
  <c r="BN97" i="2"/>
  <c r="BM97" i="2"/>
  <c r="BL97" i="2"/>
  <c r="BK97" i="2"/>
  <c r="BJ97" i="2"/>
  <c r="AS97" i="2"/>
  <c r="AR97" i="2"/>
  <c r="AQ97" i="2"/>
  <c r="AP97" i="2"/>
  <c r="AO97" i="2"/>
  <c r="AN97" i="2"/>
  <c r="AM97" i="2"/>
  <c r="M97" i="2"/>
  <c r="T97" i="2" s="1"/>
  <c r="L97" i="2"/>
  <c r="S97" i="2" s="1"/>
  <c r="J97" i="2"/>
  <c r="Q97" i="2" s="1"/>
  <c r="I97" i="2"/>
  <c r="D97" i="2"/>
  <c r="C97" i="2"/>
  <c r="N97" i="2" s="1"/>
  <c r="U97" i="2" s="1"/>
  <c r="BP96" i="2"/>
  <c r="BO96" i="2"/>
  <c r="BN96" i="2"/>
  <c r="BM96" i="2"/>
  <c r="BL96" i="2"/>
  <c r="BK96" i="2"/>
  <c r="BJ96" i="2"/>
  <c r="AS96" i="2"/>
  <c r="AR96" i="2"/>
  <c r="AQ96" i="2"/>
  <c r="AP96" i="2"/>
  <c r="AO96" i="2"/>
  <c r="AN96" i="2"/>
  <c r="AM96" i="2"/>
  <c r="D96" i="2"/>
  <c r="C96" i="2"/>
  <c r="BP95" i="2"/>
  <c r="BO95" i="2"/>
  <c r="BN95" i="2"/>
  <c r="BM95" i="2"/>
  <c r="BL95" i="2"/>
  <c r="BK95" i="2"/>
  <c r="BJ95" i="2"/>
  <c r="AS95" i="2"/>
  <c r="AR95" i="2"/>
  <c r="AQ95" i="2"/>
  <c r="AP95" i="2"/>
  <c r="AO95" i="2"/>
  <c r="AN95" i="2"/>
  <c r="AM95" i="2"/>
  <c r="L95" i="2"/>
  <c r="S95" i="2" s="1"/>
  <c r="K95" i="2"/>
  <c r="R95" i="2" s="1"/>
  <c r="I95" i="2"/>
  <c r="G95" i="2"/>
  <c r="D95" i="2"/>
  <c r="C95" i="2"/>
  <c r="H95" i="2" s="1"/>
  <c r="BP94" i="2"/>
  <c r="BO94" i="2"/>
  <c r="BN94" i="2"/>
  <c r="BM94" i="2"/>
  <c r="BL94" i="2"/>
  <c r="BK94" i="2"/>
  <c r="BJ94" i="2"/>
  <c r="AS94" i="2"/>
  <c r="AR94" i="2"/>
  <c r="AQ94" i="2"/>
  <c r="AP94" i="2"/>
  <c r="AO94" i="2"/>
  <c r="AN94" i="2"/>
  <c r="AM94" i="2"/>
  <c r="V94" i="2"/>
  <c r="K94" i="2"/>
  <c r="J94" i="2"/>
  <c r="Q94" i="2" s="1"/>
  <c r="E94" i="2"/>
  <c r="D94" i="2"/>
  <c r="C94" i="2"/>
  <c r="O94" i="2" s="1"/>
  <c r="BP93" i="2"/>
  <c r="BO93" i="2"/>
  <c r="BN93" i="2"/>
  <c r="BM93" i="2"/>
  <c r="BL93" i="2"/>
  <c r="BK93" i="2"/>
  <c r="BJ93" i="2"/>
  <c r="AS93" i="2"/>
  <c r="AR93" i="2"/>
  <c r="AQ93" i="2"/>
  <c r="AP93" i="2"/>
  <c r="AO93" i="2"/>
  <c r="AN93" i="2"/>
  <c r="AM93" i="2"/>
  <c r="S93" i="2"/>
  <c r="R93" i="2"/>
  <c r="P93" i="2"/>
  <c r="O93" i="2"/>
  <c r="V93" i="2" s="1"/>
  <c r="L93" i="2"/>
  <c r="K93" i="2"/>
  <c r="F93" i="2"/>
  <c r="E93" i="2"/>
  <c r="D93" i="2"/>
  <c r="C93" i="2"/>
  <c r="N93" i="2" s="1"/>
  <c r="U93" i="2" s="1"/>
  <c r="BP92" i="2"/>
  <c r="BO92" i="2"/>
  <c r="BN92" i="2"/>
  <c r="BM92" i="2"/>
  <c r="BL92" i="2"/>
  <c r="BK92" i="2"/>
  <c r="BJ92" i="2"/>
  <c r="AS92" i="2"/>
  <c r="AR92" i="2"/>
  <c r="AQ92" i="2"/>
  <c r="AP92" i="2"/>
  <c r="AO92" i="2"/>
  <c r="AN92" i="2"/>
  <c r="AM92" i="2"/>
  <c r="O92" i="2"/>
  <c r="N92" i="2"/>
  <c r="M92" i="2"/>
  <c r="L92" i="2"/>
  <c r="K92" i="2"/>
  <c r="J92" i="2"/>
  <c r="I92" i="2"/>
  <c r="F92" i="2"/>
  <c r="E92" i="2"/>
  <c r="C92" i="2"/>
  <c r="H92" i="2" s="1"/>
  <c r="BP91" i="2"/>
  <c r="BO91" i="2"/>
  <c r="BN91" i="2"/>
  <c r="BM91" i="2"/>
  <c r="BL91" i="2"/>
  <c r="BK91" i="2"/>
  <c r="BJ91" i="2"/>
  <c r="AS91" i="2"/>
  <c r="AR91" i="2"/>
  <c r="AQ91" i="2"/>
  <c r="AP91" i="2"/>
  <c r="AO91" i="2"/>
  <c r="AN91" i="2"/>
  <c r="AM91" i="2"/>
  <c r="C91" i="2"/>
  <c r="BP90" i="2"/>
  <c r="BO90" i="2"/>
  <c r="BN90" i="2"/>
  <c r="BM90" i="2"/>
  <c r="BL90" i="2"/>
  <c r="BK90" i="2"/>
  <c r="BJ90" i="2"/>
  <c r="AS90" i="2"/>
  <c r="AR90" i="2"/>
  <c r="AQ90" i="2"/>
  <c r="AP90" i="2"/>
  <c r="AO90" i="2"/>
  <c r="AN90" i="2"/>
  <c r="AM90" i="2"/>
  <c r="U90" i="2"/>
  <c r="T90" i="2"/>
  <c r="N90" i="2"/>
  <c r="M90" i="2"/>
  <c r="H90" i="2"/>
  <c r="G90" i="2"/>
  <c r="F90" i="2"/>
  <c r="P90" i="2" s="1"/>
  <c r="D90" i="2"/>
  <c r="C90" i="2"/>
  <c r="BP89" i="2"/>
  <c r="BO89" i="2"/>
  <c r="BN89" i="2"/>
  <c r="BM89" i="2"/>
  <c r="BL89" i="2"/>
  <c r="BK89" i="2"/>
  <c r="BJ89" i="2"/>
  <c r="AW89" i="2"/>
  <c r="AS89" i="2"/>
  <c r="AR89" i="2"/>
  <c r="AQ89" i="2"/>
  <c r="AP89" i="2"/>
  <c r="AO89" i="2"/>
  <c r="AN89" i="2"/>
  <c r="AM89" i="2"/>
  <c r="Z89" i="2"/>
  <c r="L89" i="2" s="1"/>
  <c r="N89" i="2"/>
  <c r="M89" i="2"/>
  <c r="C89" i="2"/>
  <c r="BP88" i="2"/>
  <c r="BO88" i="2"/>
  <c r="BN88" i="2"/>
  <c r="BM88" i="2"/>
  <c r="BL88" i="2"/>
  <c r="BK88" i="2"/>
  <c r="BJ88" i="2"/>
  <c r="AS88" i="2"/>
  <c r="AR88" i="2"/>
  <c r="AQ88" i="2"/>
  <c r="AP88" i="2"/>
  <c r="AO88" i="2"/>
  <c r="AN88" i="2"/>
  <c r="AM88" i="2"/>
  <c r="K88" i="2"/>
  <c r="R88" i="2" s="1"/>
  <c r="J88" i="2"/>
  <c r="Q88" i="2" s="1"/>
  <c r="H88" i="2"/>
  <c r="G88" i="2"/>
  <c r="D88" i="2"/>
  <c r="C88" i="2"/>
  <c r="F88" i="2" s="1"/>
  <c r="P88" i="2" s="1"/>
  <c r="BP87" i="2"/>
  <c r="BO87" i="2"/>
  <c r="BN87" i="2"/>
  <c r="BM87" i="2"/>
  <c r="BL87" i="2"/>
  <c r="BK87" i="2"/>
  <c r="BJ87" i="2"/>
  <c r="AS87" i="2"/>
  <c r="AR87" i="2"/>
  <c r="AQ87" i="2"/>
  <c r="AP87" i="2"/>
  <c r="AO87" i="2"/>
  <c r="AN87" i="2"/>
  <c r="AM87" i="2"/>
  <c r="K87" i="2"/>
  <c r="J87" i="2"/>
  <c r="F87" i="2"/>
  <c r="E87" i="2"/>
  <c r="D87" i="2"/>
  <c r="C87" i="2"/>
  <c r="BJ78" i="2"/>
  <c r="BI78" i="2"/>
  <c r="BG78" i="2"/>
  <c r="BF78" i="2"/>
  <c r="BH78" i="2" s="1"/>
  <c r="BE78" i="2"/>
  <c r="BD78" i="2"/>
  <c r="BC78" i="2"/>
  <c r="BA78" i="2"/>
  <c r="AZ78" i="2"/>
  <c r="BB78" i="2" s="1"/>
  <c r="AY78" i="2"/>
  <c r="AX78" i="2"/>
  <c r="AU78" i="2"/>
  <c r="AT78" i="2"/>
  <c r="AS78" i="2"/>
  <c r="AW78" i="2" s="1"/>
  <c r="AO78" i="2"/>
  <c r="AN78" i="2"/>
  <c r="AM78" i="2"/>
  <c r="AL78" i="2"/>
  <c r="AK78" i="2"/>
  <c r="AJ78" i="2"/>
  <c r="AI78" i="2"/>
  <c r="AH78" i="2"/>
  <c r="AF78" i="2"/>
  <c r="AE78" i="2"/>
  <c r="AD78" i="2"/>
  <c r="AG78" i="2" s="1"/>
  <c r="AC78" i="2"/>
  <c r="AB78" i="2"/>
  <c r="AA78" i="2"/>
  <c r="Z78" i="2"/>
  <c r="Y78" i="2"/>
  <c r="X78" i="2"/>
  <c r="BJ77" i="2"/>
  <c r="BI77" i="2"/>
  <c r="BG77" i="2"/>
  <c r="BF77" i="2"/>
  <c r="BH77" i="2" s="1"/>
  <c r="BE77" i="2"/>
  <c r="BD77" i="2"/>
  <c r="BC77" i="2"/>
  <c r="BA77" i="2"/>
  <c r="AZ77" i="2"/>
  <c r="BB77" i="2" s="1"/>
  <c r="AY77" i="2"/>
  <c r="AU77" i="2"/>
  <c r="AT77" i="2"/>
  <c r="AX77" i="2" s="1"/>
  <c r="AS77" i="2"/>
  <c r="AW77" i="2" s="1"/>
  <c r="AO77" i="2"/>
  <c r="AN77" i="2"/>
  <c r="AL77" i="2"/>
  <c r="AK77" i="2"/>
  <c r="AM77" i="2" s="1"/>
  <c r="AJ77" i="2"/>
  <c r="AI77" i="2"/>
  <c r="AH77" i="2"/>
  <c r="AG77" i="2"/>
  <c r="AF77" i="2"/>
  <c r="AE77" i="2"/>
  <c r="AD77" i="2"/>
  <c r="AC77" i="2"/>
  <c r="AB77" i="2"/>
  <c r="Z77" i="2"/>
  <c r="Y77" i="2"/>
  <c r="X77" i="2"/>
  <c r="AA77" i="2" s="1"/>
  <c r="BJ76" i="2"/>
  <c r="BI76" i="2"/>
  <c r="BG76" i="2"/>
  <c r="BF76" i="2"/>
  <c r="BH76" i="2" s="1"/>
  <c r="BE76" i="2"/>
  <c r="BD76" i="2"/>
  <c r="BC76" i="2"/>
  <c r="BA76" i="2"/>
  <c r="AZ76" i="2"/>
  <c r="BB76" i="2" s="1"/>
  <c r="AY76" i="2"/>
  <c r="AX76" i="2"/>
  <c r="AW76" i="2"/>
  <c r="AU76" i="2"/>
  <c r="AT76" i="2"/>
  <c r="AV76" i="2" s="1"/>
  <c r="AS76" i="2"/>
  <c r="AO76" i="2"/>
  <c r="AN76" i="2"/>
  <c r="AL76" i="2"/>
  <c r="AK76" i="2"/>
  <c r="AM76" i="2" s="1"/>
  <c r="AJ76" i="2"/>
  <c r="AI76" i="2"/>
  <c r="AH76" i="2"/>
  <c r="AF76" i="2"/>
  <c r="AE76" i="2"/>
  <c r="AG76" i="2" s="1"/>
  <c r="AD76" i="2"/>
  <c r="AC76" i="2"/>
  <c r="AB76" i="2"/>
  <c r="AA76" i="2"/>
  <c r="Z76" i="2"/>
  <c r="Y76" i="2"/>
  <c r="X76" i="2"/>
  <c r="D76" i="2"/>
  <c r="C76" i="2"/>
  <c r="G76" i="2" s="1"/>
  <c r="BJ73" i="2"/>
  <c r="BI73" i="2"/>
  <c r="BG73" i="2"/>
  <c r="BG74" i="2" s="1"/>
  <c r="BF73" i="2"/>
  <c r="BH73" i="2" s="1"/>
  <c r="BE73" i="2"/>
  <c r="BD73" i="2"/>
  <c r="BC73" i="2"/>
  <c r="BA73" i="2"/>
  <c r="BA74" i="2" s="1"/>
  <c r="AZ73" i="2"/>
  <c r="BB73" i="2" s="1"/>
  <c r="AY73" i="2"/>
  <c r="AX73" i="2"/>
  <c r="AW73" i="2"/>
  <c r="AU73" i="2"/>
  <c r="AT73" i="2"/>
  <c r="AV73" i="2" s="1"/>
  <c r="AS73" i="2"/>
  <c r="AO73" i="2"/>
  <c r="AN73" i="2"/>
  <c r="AL73" i="2"/>
  <c r="AK73" i="2"/>
  <c r="AM73" i="2" s="1"/>
  <c r="AJ73" i="2"/>
  <c r="AI73" i="2"/>
  <c r="AH73" i="2"/>
  <c r="AF73" i="2"/>
  <c r="AE73" i="2"/>
  <c r="AD73" i="2"/>
  <c r="AC73" i="2"/>
  <c r="AB73" i="2"/>
  <c r="AA73" i="2"/>
  <c r="Z73" i="2"/>
  <c r="Y73" i="2"/>
  <c r="X73" i="2"/>
  <c r="R72" i="2"/>
  <c r="Q72" i="2"/>
  <c r="T72" i="2" s="1"/>
  <c r="P72" i="2"/>
  <c r="O72" i="2"/>
  <c r="K72" i="2"/>
  <c r="N72" i="2" s="1"/>
  <c r="J72" i="2"/>
  <c r="L72" i="2" s="1"/>
  <c r="I72" i="2"/>
  <c r="E72" i="2"/>
  <c r="D72" i="2"/>
  <c r="F72" i="2" s="1"/>
  <c r="C72" i="2"/>
  <c r="T71" i="2"/>
  <c r="S71" i="2"/>
  <c r="Q71" i="2"/>
  <c r="P71" i="2"/>
  <c r="R71" i="2" s="1"/>
  <c r="O71" i="2"/>
  <c r="K71" i="2"/>
  <c r="N71" i="2" s="1"/>
  <c r="J71" i="2"/>
  <c r="L71" i="2" s="1"/>
  <c r="I71" i="2"/>
  <c r="H71" i="2"/>
  <c r="E71" i="2"/>
  <c r="D71" i="2"/>
  <c r="C71" i="2"/>
  <c r="R70" i="2"/>
  <c r="Q70" i="2"/>
  <c r="S70" i="2" s="1"/>
  <c r="P70" i="2"/>
  <c r="O70" i="2"/>
  <c r="N70" i="2"/>
  <c r="M70" i="2"/>
  <c r="K70" i="2"/>
  <c r="J70" i="2"/>
  <c r="L70" i="2" s="1"/>
  <c r="I70" i="2"/>
  <c r="H70" i="2"/>
  <c r="G70" i="2"/>
  <c r="F70" i="2"/>
  <c r="E70" i="2"/>
  <c r="D70" i="2"/>
  <c r="C70" i="2"/>
  <c r="Q69" i="2"/>
  <c r="P69" i="2"/>
  <c r="R69" i="2" s="1"/>
  <c r="O69" i="2"/>
  <c r="S69" i="2" s="1"/>
  <c r="L69" i="2"/>
  <c r="K69" i="2"/>
  <c r="N69" i="2" s="1"/>
  <c r="J69" i="2"/>
  <c r="I69" i="2"/>
  <c r="E69" i="2"/>
  <c r="H69" i="2" s="1"/>
  <c r="D69" i="2"/>
  <c r="F69" i="2" s="1"/>
  <c r="C69" i="2"/>
  <c r="Q68" i="2"/>
  <c r="P68" i="2"/>
  <c r="R68" i="2" s="1"/>
  <c r="O68" i="2"/>
  <c r="N68" i="2"/>
  <c r="M68" i="2"/>
  <c r="K68" i="2"/>
  <c r="J68" i="2"/>
  <c r="L68" i="2" s="1"/>
  <c r="I68" i="2"/>
  <c r="E68" i="2"/>
  <c r="H68" i="2" s="1"/>
  <c r="D68" i="2"/>
  <c r="F68" i="2" s="1"/>
  <c r="C68" i="2"/>
  <c r="T67" i="2"/>
  <c r="Q67" i="2"/>
  <c r="P67" i="2"/>
  <c r="O67" i="2"/>
  <c r="N67" i="2"/>
  <c r="L67" i="2"/>
  <c r="K67" i="2"/>
  <c r="M67" i="2" s="1"/>
  <c r="J67" i="2"/>
  <c r="I67" i="2"/>
  <c r="H67" i="2"/>
  <c r="G67" i="2"/>
  <c r="F67" i="2"/>
  <c r="E67" i="2"/>
  <c r="D67" i="2"/>
  <c r="C67" i="2"/>
  <c r="T66" i="2"/>
  <c r="S66" i="2"/>
  <c r="R66" i="2"/>
  <c r="Q66" i="2"/>
  <c r="P66" i="2"/>
  <c r="O66" i="2"/>
  <c r="M66" i="2"/>
  <c r="K66" i="2"/>
  <c r="N66" i="2" s="1"/>
  <c r="J66" i="2"/>
  <c r="L66" i="2" s="1"/>
  <c r="I66" i="2"/>
  <c r="F66" i="2"/>
  <c r="E66" i="2"/>
  <c r="H66" i="2" s="1"/>
  <c r="D66" i="2"/>
  <c r="C66" i="2"/>
  <c r="Q65" i="2"/>
  <c r="T65" i="2" s="1"/>
  <c r="P65" i="2"/>
  <c r="R65" i="2" s="1"/>
  <c r="O65" i="2"/>
  <c r="K65" i="2"/>
  <c r="J65" i="2"/>
  <c r="L65" i="2" s="1"/>
  <c r="I65" i="2"/>
  <c r="H65" i="2"/>
  <c r="G65" i="2"/>
  <c r="E65" i="2"/>
  <c r="D65" i="2"/>
  <c r="F65" i="2" s="1"/>
  <c r="C65" i="2"/>
  <c r="Q64" i="2"/>
  <c r="S64" i="2" s="1"/>
  <c r="P64" i="2"/>
  <c r="T64" i="2" s="1"/>
  <c r="O64" i="2"/>
  <c r="N64" i="2"/>
  <c r="K64" i="2"/>
  <c r="J64" i="2"/>
  <c r="I64" i="2"/>
  <c r="H64" i="2"/>
  <c r="F64" i="2"/>
  <c r="E64" i="2"/>
  <c r="G64" i="2" s="1"/>
  <c r="D64" i="2"/>
  <c r="C64" i="2"/>
  <c r="T63" i="2"/>
  <c r="S63" i="2"/>
  <c r="Q63" i="2"/>
  <c r="P63" i="2"/>
  <c r="O63" i="2"/>
  <c r="R63" i="2" s="1"/>
  <c r="N63" i="2"/>
  <c r="M63" i="2"/>
  <c r="L63" i="2"/>
  <c r="K63" i="2"/>
  <c r="J63" i="2"/>
  <c r="I63" i="2"/>
  <c r="E63" i="2"/>
  <c r="D63" i="2"/>
  <c r="F63" i="2" s="1"/>
  <c r="C63" i="2"/>
  <c r="G63" i="2" s="1"/>
  <c r="R62" i="2"/>
  <c r="Q62" i="2"/>
  <c r="T62" i="2" s="1"/>
  <c r="P62" i="2"/>
  <c r="O62" i="2"/>
  <c r="K62" i="2"/>
  <c r="N62" i="2" s="1"/>
  <c r="J62" i="2"/>
  <c r="L62" i="2" s="1"/>
  <c r="I62" i="2"/>
  <c r="E62" i="2"/>
  <c r="D62" i="2"/>
  <c r="F62" i="2" s="1"/>
  <c r="C62" i="2"/>
  <c r="T61" i="2"/>
  <c r="S61" i="2"/>
  <c r="Q61" i="2"/>
  <c r="P61" i="2"/>
  <c r="R61" i="2" s="1"/>
  <c r="O61" i="2"/>
  <c r="K61" i="2"/>
  <c r="J61" i="2"/>
  <c r="N61" i="2" s="1"/>
  <c r="I61" i="2"/>
  <c r="M61" i="2" s="1"/>
  <c r="H61" i="2"/>
  <c r="E61" i="2"/>
  <c r="G61" i="2" s="1"/>
  <c r="D61" i="2"/>
  <c r="F61" i="2" s="1"/>
  <c r="C61" i="2"/>
  <c r="T60" i="2"/>
  <c r="R60" i="2"/>
  <c r="Q60" i="2"/>
  <c r="S60" i="2" s="1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Q59" i="2"/>
  <c r="P59" i="2"/>
  <c r="O59" i="2"/>
  <c r="S59" i="2" s="1"/>
  <c r="L59" i="2"/>
  <c r="K59" i="2"/>
  <c r="N59" i="2" s="1"/>
  <c r="J59" i="2"/>
  <c r="I59" i="2"/>
  <c r="E59" i="2"/>
  <c r="H59" i="2" s="1"/>
  <c r="D59" i="2"/>
  <c r="F59" i="2" s="1"/>
  <c r="C59" i="2"/>
  <c r="Q58" i="2"/>
  <c r="P58" i="2"/>
  <c r="R58" i="2" s="1"/>
  <c r="O58" i="2"/>
  <c r="N58" i="2"/>
  <c r="M58" i="2"/>
  <c r="K58" i="2"/>
  <c r="J58" i="2"/>
  <c r="L58" i="2" s="1"/>
  <c r="I58" i="2"/>
  <c r="E58" i="2"/>
  <c r="D58" i="2"/>
  <c r="H58" i="2" s="1"/>
  <c r="C58" i="2"/>
  <c r="G58" i="2" s="1"/>
  <c r="T57" i="2"/>
  <c r="Q57" i="2"/>
  <c r="S57" i="2" s="1"/>
  <c r="P57" i="2"/>
  <c r="O57" i="2"/>
  <c r="L57" i="2"/>
  <c r="K57" i="2"/>
  <c r="M57" i="2" s="1"/>
  <c r="J57" i="2"/>
  <c r="I57" i="2"/>
  <c r="H57" i="2"/>
  <c r="G57" i="2"/>
  <c r="E57" i="2"/>
  <c r="D57" i="2"/>
  <c r="C57" i="2"/>
  <c r="F57" i="2" s="1"/>
  <c r="T56" i="2"/>
  <c r="S56" i="2"/>
  <c r="R56" i="2"/>
  <c r="Q56" i="2"/>
  <c r="P56" i="2"/>
  <c r="O56" i="2"/>
  <c r="M56" i="2"/>
  <c r="L56" i="2"/>
  <c r="K56" i="2"/>
  <c r="J56" i="2"/>
  <c r="I56" i="2"/>
  <c r="F56" i="2"/>
  <c r="E56" i="2"/>
  <c r="H56" i="2" s="1"/>
  <c r="D56" i="2"/>
  <c r="C56" i="2"/>
  <c r="Q55" i="2"/>
  <c r="T55" i="2" s="1"/>
  <c r="P55" i="2"/>
  <c r="R55" i="2" s="1"/>
  <c r="O55" i="2"/>
  <c r="K55" i="2"/>
  <c r="J55" i="2"/>
  <c r="L55" i="2" s="1"/>
  <c r="I55" i="2"/>
  <c r="H55" i="2"/>
  <c r="G55" i="2"/>
  <c r="E55" i="2"/>
  <c r="D55" i="2"/>
  <c r="F55" i="2" s="1"/>
  <c r="C55" i="2"/>
  <c r="Q54" i="2"/>
  <c r="P54" i="2"/>
  <c r="T54" i="2" s="1"/>
  <c r="O54" i="2"/>
  <c r="S54" i="2" s="1"/>
  <c r="N54" i="2"/>
  <c r="K54" i="2"/>
  <c r="J54" i="2"/>
  <c r="I54" i="2"/>
  <c r="F54" i="2"/>
  <c r="E54" i="2"/>
  <c r="G54" i="2" s="1"/>
  <c r="D54" i="2"/>
  <c r="C54" i="2"/>
  <c r="T53" i="2"/>
  <c r="S53" i="2"/>
  <c r="R53" i="2"/>
  <c r="Q53" i="2"/>
  <c r="P53" i="2"/>
  <c r="O53" i="2"/>
  <c r="N53" i="2"/>
  <c r="M53" i="2"/>
  <c r="L53" i="2"/>
  <c r="K53" i="2"/>
  <c r="J53" i="2"/>
  <c r="I53" i="2"/>
  <c r="E53" i="2"/>
  <c r="D53" i="2"/>
  <c r="F53" i="2" s="1"/>
  <c r="C53" i="2"/>
  <c r="G53" i="2" s="1"/>
  <c r="R52" i="2"/>
  <c r="Q52" i="2"/>
  <c r="T52" i="2" s="1"/>
  <c r="P52" i="2"/>
  <c r="O52" i="2"/>
  <c r="K52" i="2"/>
  <c r="N52" i="2" s="1"/>
  <c r="J52" i="2"/>
  <c r="L52" i="2" s="1"/>
  <c r="I52" i="2"/>
  <c r="E52" i="2"/>
  <c r="D52" i="2"/>
  <c r="F52" i="2" s="1"/>
  <c r="C52" i="2"/>
  <c r="T51" i="2"/>
  <c r="S51" i="2"/>
  <c r="Q51" i="2"/>
  <c r="P51" i="2"/>
  <c r="R51" i="2" s="1"/>
  <c r="O51" i="2"/>
  <c r="K51" i="2"/>
  <c r="J51" i="2"/>
  <c r="N51" i="2" s="1"/>
  <c r="I51" i="2"/>
  <c r="M51" i="2" s="1"/>
  <c r="H51" i="2"/>
  <c r="E51" i="2"/>
  <c r="D51" i="2"/>
  <c r="C51" i="2"/>
  <c r="R50" i="2"/>
  <c r="Q50" i="2"/>
  <c r="S50" i="2" s="1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Q49" i="2"/>
  <c r="T49" i="2" s="1"/>
  <c r="P49" i="2"/>
  <c r="O49" i="2"/>
  <c r="S49" i="2" s="1"/>
  <c r="L49" i="2"/>
  <c r="K49" i="2"/>
  <c r="N49" i="2" s="1"/>
  <c r="J49" i="2"/>
  <c r="I49" i="2"/>
  <c r="E49" i="2"/>
  <c r="H49" i="2" s="1"/>
  <c r="D49" i="2"/>
  <c r="F49" i="2" s="1"/>
  <c r="C49" i="2"/>
  <c r="Q48" i="2"/>
  <c r="P48" i="2"/>
  <c r="R48" i="2" s="1"/>
  <c r="O48" i="2"/>
  <c r="N48" i="2"/>
  <c r="M48" i="2"/>
  <c r="K48" i="2"/>
  <c r="J48" i="2"/>
  <c r="L48" i="2" s="1"/>
  <c r="I48" i="2"/>
  <c r="E48" i="2"/>
  <c r="D48" i="2"/>
  <c r="H48" i="2" s="1"/>
  <c r="C48" i="2"/>
  <c r="G48" i="2" s="1"/>
  <c r="T47" i="2"/>
  <c r="Q47" i="2"/>
  <c r="S47" i="2" s="1"/>
  <c r="P47" i="2"/>
  <c r="R47" i="2" s="1"/>
  <c r="O47" i="2"/>
  <c r="L47" i="2"/>
  <c r="K47" i="2"/>
  <c r="M47" i="2" s="1"/>
  <c r="J47" i="2"/>
  <c r="I47" i="2"/>
  <c r="H47" i="2"/>
  <c r="G47" i="2"/>
  <c r="F47" i="2"/>
  <c r="E47" i="2"/>
  <c r="D47" i="2"/>
  <c r="C47" i="2"/>
  <c r="T46" i="2"/>
  <c r="S46" i="2"/>
  <c r="R46" i="2"/>
  <c r="Q46" i="2"/>
  <c r="P46" i="2"/>
  <c r="O46" i="2"/>
  <c r="M46" i="2"/>
  <c r="K46" i="2"/>
  <c r="N46" i="2" s="1"/>
  <c r="J46" i="2"/>
  <c r="I46" i="2"/>
  <c r="L46" i="2" s="1"/>
  <c r="F46" i="2"/>
  <c r="E46" i="2"/>
  <c r="H46" i="2" s="1"/>
  <c r="D46" i="2"/>
  <c r="C46" i="2"/>
  <c r="Q45" i="2"/>
  <c r="T45" i="2" s="1"/>
  <c r="P45" i="2"/>
  <c r="R45" i="2" s="1"/>
  <c r="O45" i="2"/>
  <c r="K45" i="2"/>
  <c r="J45" i="2"/>
  <c r="L45" i="2" s="1"/>
  <c r="I45" i="2"/>
  <c r="H45" i="2"/>
  <c r="G45" i="2"/>
  <c r="E45" i="2"/>
  <c r="D45" i="2"/>
  <c r="F45" i="2" s="1"/>
  <c r="C45" i="2"/>
  <c r="Q44" i="2"/>
  <c r="P44" i="2"/>
  <c r="T44" i="2" s="1"/>
  <c r="O44" i="2"/>
  <c r="S44" i="2" s="1"/>
  <c r="N44" i="2"/>
  <c r="K44" i="2"/>
  <c r="J44" i="2"/>
  <c r="I44" i="2"/>
  <c r="F44" i="2"/>
  <c r="E44" i="2"/>
  <c r="G44" i="2" s="1"/>
  <c r="D44" i="2"/>
  <c r="C44" i="2"/>
  <c r="T43" i="2"/>
  <c r="S43" i="2"/>
  <c r="R43" i="2"/>
  <c r="Q43" i="2"/>
  <c r="P43" i="2"/>
  <c r="O43" i="2"/>
  <c r="N43" i="2"/>
  <c r="M43" i="2"/>
  <c r="L43" i="2"/>
  <c r="K43" i="2"/>
  <c r="J43" i="2"/>
  <c r="I43" i="2"/>
  <c r="E43" i="2"/>
  <c r="H43" i="2" s="1"/>
  <c r="D43" i="2"/>
  <c r="F43" i="2" s="1"/>
  <c r="C43" i="2"/>
  <c r="G43" i="2" s="1"/>
  <c r="R42" i="2"/>
  <c r="Q42" i="2"/>
  <c r="T42" i="2" s="1"/>
  <c r="P42" i="2"/>
  <c r="O42" i="2"/>
  <c r="K42" i="2"/>
  <c r="N42" i="2" s="1"/>
  <c r="J42" i="2"/>
  <c r="L42" i="2" s="1"/>
  <c r="I42" i="2"/>
  <c r="E42" i="2"/>
  <c r="D42" i="2"/>
  <c r="F42" i="2" s="1"/>
  <c r="C42" i="2"/>
  <c r="T41" i="2"/>
  <c r="S41" i="2"/>
  <c r="Q41" i="2"/>
  <c r="P41" i="2"/>
  <c r="R41" i="2" s="1"/>
  <c r="O41" i="2"/>
  <c r="K41" i="2"/>
  <c r="J41" i="2"/>
  <c r="N41" i="2" s="1"/>
  <c r="I41" i="2"/>
  <c r="M41" i="2" s="1"/>
  <c r="H41" i="2"/>
  <c r="E41" i="2"/>
  <c r="G41" i="2" s="1"/>
  <c r="D41" i="2"/>
  <c r="F41" i="2" s="1"/>
  <c r="C41" i="2"/>
  <c r="T40" i="2"/>
  <c r="R40" i="2"/>
  <c r="Q40" i="2"/>
  <c r="S40" i="2" s="1"/>
  <c r="P40" i="2"/>
  <c r="O40" i="2"/>
  <c r="N40" i="2"/>
  <c r="M40" i="2"/>
  <c r="K40" i="2"/>
  <c r="J40" i="2"/>
  <c r="L40" i="2" s="1"/>
  <c r="I40" i="2"/>
  <c r="H40" i="2"/>
  <c r="G40" i="2"/>
  <c r="F40" i="2"/>
  <c r="E40" i="2"/>
  <c r="D40" i="2"/>
  <c r="C40" i="2"/>
  <c r="Q39" i="2"/>
  <c r="T39" i="2" s="1"/>
  <c r="P39" i="2"/>
  <c r="O39" i="2"/>
  <c r="S39" i="2" s="1"/>
  <c r="L39" i="2"/>
  <c r="K39" i="2"/>
  <c r="N39" i="2" s="1"/>
  <c r="J39" i="2"/>
  <c r="I39" i="2"/>
  <c r="E39" i="2"/>
  <c r="H39" i="2" s="1"/>
  <c r="D39" i="2"/>
  <c r="F39" i="2" s="1"/>
  <c r="C39" i="2"/>
  <c r="Q38" i="2"/>
  <c r="P38" i="2"/>
  <c r="R38" i="2" s="1"/>
  <c r="O38" i="2"/>
  <c r="N38" i="2"/>
  <c r="M38" i="2"/>
  <c r="K38" i="2"/>
  <c r="J38" i="2"/>
  <c r="L38" i="2" s="1"/>
  <c r="I38" i="2"/>
  <c r="E38" i="2"/>
  <c r="D38" i="2"/>
  <c r="H38" i="2" s="1"/>
  <c r="C38" i="2"/>
  <c r="G38" i="2" s="1"/>
  <c r="T37" i="2"/>
  <c r="Q37" i="2"/>
  <c r="S37" i="2" s="1"/>
  <c r="P37" i="2"/>
  <c r="O37" i="2"/>
  <c r="O78" i="2" s="1"/>
  <c r="L37" i="2"/>
  <c r="K37" i="2"/>
  <c r="J37" i="2"/>
  <c r="J78" i="2" s="1"/>
  <c r="I37" i="2"/>
  <c r="H37" i="2"/>
  <c r="G37" i="2"/>
  <c r="F37" i="2"/>
  <c r="E37" i="2"/>
  <c r="D37" i="2"/>
  <c r="C37" i="2"/>
  <c r="T36" i="2"/>
  <c r="S36" i="2"/>
  <c r="R36" i="2"/>
  <c r="Q36" i="2"/>
  <c r="P36" i="2"/>
  <c r="O36" i="2"/>
  <c r="M36" i="2"/>
  <c r="K36" i="2"/>
  <c r="J36" i="2"/>
  <c r="L36" i="2" s="1"/>
  <c r="I36" i="2"/>
  <c r="F36" i="2"/>
  <c r="E36" i="2"/>
  <c r="H36" i="2" s="1"/>
  <c r="D36" i="2"/>
  <c r="C36" i="2"/>
  <c r="Q35" i="2"/>
  <c r="T35" i="2" s="1"/>
  <c r="P35" i="2"/>
  <c r="R35" i="2" s="1"/>
  <c r="O35" i="2"/>
  <c r="K35" i="2"/>
  <c r="J35" i="2"/>
  <c r="L35" i="2" s="1"/>
  <c r="I35" i="2"/>
  <c r="H35" i="2"/>
  <c r="G35" i="2"/>
  <c r="E35" i="2"/>
  <c r="D35" i="2"/>
  <c r="F35" i="2" s="1"/>
  <c r="C35" i="2"/>
  <c r="Q34" i="2"/>
  <c r="P34" i="2"/>
  <c r="T34" i="2" s="1"/>
  <c r="O34" i="2"/>
  <c r="S34" i="2" s="1"/>
  <c r="N34" i="2"/>
  <c r="K34" i="2"/>
  <c r="J34" i="2"/>
  <c r="I34" i="2"/>
  <c r="F34" i="2"/>
  <c r="E34" i="2"/>
  <c r="G34" i="2" s="1"/>
  <c r="D34" i="2"/>
  <c r="C34" i="2"/>
  <c r="T33" i="2"/>
  <c r="S33" i="2"/>
  <c r="R33" i="2"/>
  <c r="Q33" i="2"/>
  <c r="P33" i="2"/>
  <c r="O33" i="2"/>
  <c r="N33" i="2"/>
  <c r="M33" i="2"/>
  <c r="L33" i="2"/>
  <c r="K33" i="2"/>
  <c r="J33" i="2"/>
  <c r="I33" i="2"/>
  <c r="G33" i="2"/>
  <c r="E33" i="2"/>
  <c r="D33" i="2"/>
  <c r="F33" i="2" s="1"/>
  <c r="C33" i="2"/>
  <c r="R32" i="2"/>
  <c r="Q32" i="2"/>
  <c r="T32" i="2" s="1"/>
  <c r="P32" i="2"/>
  <c r="O32" i="2"/>
  <c r="K32" i="2"/>
  <c r="N32" i="2" s="1"/>
  <c r="J32" i="2"/>
  <c r="L32" i="2" s="1"/>
  <c r="I32" i="2"/>
  <c r="E32" i="2"/>
  <c r="D32" i="2"/>
  <c r="F32" i="2" s="1"/>
  <c r="C32" i="2"/>
  <c r="T31" i="2"/>
  <c r="S31" i="2"/>
  <c r="Q31" i="2"/>
  <c r="P31" i="2"/>
  <c r="R31" i="2" s="1"/>
  <c r="O31" i="2"/>
  <c r="K31" i="2"/>
  <c r="N31" i="2" s="1"/>
  <c r="J31" i="2"/>
  <c r="L31" i="2" s="1"/>
  <c r="I31" i="2"/>
  <c r="H31" i="2"/>
  <c r="E31" i="2"/>
  <c r="D31" i="2"/>
  <c r="F31" i="2" s="1"/>
  <c r="C31" i="2"/>
  <c r="R30" i="2"/>
  <c r="Q30" i="2"/>
  <c r="S30" i="2" s="1"/>
  <c r="P30" i="2"/>
  <c r="O30" i="2"/>
  <c r="N30" i="2"/>
  <c r="M30" i="2"/>
  <c r="K30" i="2"/>
  <c r="J30" i="2"/>
  <c r="L30" i="2" s="1"/>
  <c r="I30" i="2"/>
  <c r="H30" i="2"/>
  <c r="G30" i="2"/>
  <c r="F30" i="2"/>
  <c r="E30" i="2"/>
  <c r="D30" i="2"/>
  <c r="C30" i="2"/>
  <c r="S29" i="2"/>
  <c r="Q29" i="2"/>
  <c r="T29" i="2" s="1"/>
  <c r="P29" i="2"/>
  <c r="R29" i="2" s="1"/>
  <c r="O29" i="2"/>
  <c r="L29" i="2"/>
  <c r="K29" i="2"/>
  <c r="N29" i="2" s="1"/>
  <c r="J29" i="2"/>
  <c r="I29" i="2"/>
  <c r="E29" i="2"/>
  <c r="H29" i="2" s="1"/>
  <c r="D29" i="2"/>
  <c r="F29" i="2" s="1"/>
  <c r="C29" i="2"/>
  <c r="Q28" i="2"/>
  <c r="P28" i="2"/>
  <c r="R28" i="2" s="1"/>
  <c r="O28" i="2"/>
  <c r="N28" i="2"/>
  <c r="M28" i="2"/>
  <c r="K28" i="2"/>
  <c r="J28" i="2"/>
  <c r="L28" i="2" s="1"/>
  <c r="I28" i="2"/>
  <c r="E28" i="2"/>
  <c r="H28" i="2" s="1"/>
  <c r="D28" i="2"/>
  <c r="F28" i="2" s="1"/>
  <c r="C28" i="2"/>
  <c r="T27" i="2"/>
  <c r="Q27" i="2"/>
  <c r="P27" i="2"/>
  <c r="O27" i="2"/>
  <c r="L27" i="2"/>
  <c r="K27" i="2"/>
  <c r="M27" i="2" s="1"/>
  <c r="J27" i="2"/>
  <c r="I27" i="2"/>
  <c r="H27" i="2"/>
  <c r="G27" i="2"/>
  <c r="F27" i="2"/>
  <c r="E27" i="2"/>
  <c r="D27" i="2"/>
  <c r="C27" i="2"/>
  <c r="T26" i="2"/>
  <c r="S26" i="2"/>
  <c r="R26" i="2"/>
  <c r="Q26" i="2"/>
  <c r="P26" i="2"/>
  <c r="O26" i="2"/>
  <c r="K26" i="2"/>
  <c r="J26" i="2"/>
  <c r="L26" i="2" s="1"/>
  <c r="I26" i="2"/>
  <c r="M26" i="2" s="1"/>
  <c r="F26" i="2"/>
  <c r="E26" i="2"/>
  <c r="H26" i="2" s="1"/>
  <c r="D26" i="2"/>
  <c r="C26" i="2"/>
  <c r="Q25" i="2"/>
  <c r="T25" i="2" s="1"/>
  <c r="P25" i="2"/>
  <c r="R25" i="2" s="1"/>
  <c r="O25" i="2"/>
  <c r="K25" i="2"/>
  <c r="J25" i="2"/>
  <c r="L25" i="2" s="1"/>
  <c r="I25" i="2"/>
  <c r="H25" i="2"/>
  <c r="G25" i="2"/>
  <c r="E25" i="2"/>
  <c r="D25" i="2"/>
  <c r="F25" i="2" s="1"/>
  <c r="C25" i="2"/>
  <c r="Q24" i="2"/>
  <c r="P24" i="2"/>
  <c r="T24" i="2" s="1"/>
  <c r="O24" i="2"/>
  <c r="S24" i="2" s="1"/>
  <c r="N24" i="2"/>
  <c r="K24" i="2"/>
  <c r="M24" i="2" s="1"/>
  <c r="J24" i="2"/>
  <c r="I24" i="2"/>
  <c r="H24" i="2"/>
  <c r="F24" i="2"/>
  <c r="E24" i="2"/>
  <c r="G24" i="2" s="1"/>
  <c r="D24" i="2"/>
  <c r="C24" i="2"/>
  <c r="T23" i="2"/>
  <c r="S23" i="2"/>
  <c r="R23" i="2"/>
  <c r="Q23" i="2"/>
  <c r="P23" i="2"/>
  <c r="O23" i="2"/>
  <c r="N23" i="2"/>
  <c r="M23" i="2"/>
  <c r="L23" i="2"/>
  <c r="K23" i="2"/>
  <c r="J23" i="2"/>
  <c r="I23" i="2"/>
  <c r="G23" i="2"/>
  <c r="E23" i="2"/>
  <c r="D23" i="2"/>
  <c r="F23" i="2" s="1"/>
  <c r="C23" i="2"/>
  <c r="R22" i="2"/>
  <c r="Q22" i="2"/>
  <c r="T22" i="2" s="1"/>
  <c r="P22" i="2"/>
  <c r="O22" i="2"/>
  <c r="K22" i="2"/>
  <c r="N22" i="2" s="1"/>
  <c r="J22" i="2"/>
  <c r="L22" i="2" s="1"/>
  <c r="I22" i="2"/>
  <c r="E22" i="2"/>
  <c r="D22" i="2"/>
  <c r="F22" i="2" s="1"/>
  <c r="C22" i="2"/>
  <c r="T21" i="2"/>
  <c r="S21" i="2"/>
  <c r="Q21" i="2"/>
  <c r="P21" i="2"/>
  <c r="R21" i="2" s="1"/>
  <c r="O21" i="2"/>
  <c r="K21" i="2"/>
  <c r="J21" i="2"/>
  <c r="N21" i="2" s="1"/>
  <c r="I21" i="2"/>
  <c r="M21" i="2" s="1"/>
  <c r="H21" i="2"/>
  <c r="E21" i="2"/>
  <c r="D21" i="2"/>
  <c r="F21" i="2" s="1"/>
  <c r="C21" i="2"/>
  <c r="R20" i="2"/>
  <c r="Q20" i="2"/>
  <c r="S20" i="2" s="1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R19" i="2"/>
  <c r="Q19" i="2"/>
  <c r="P19" i="2"/>
  <c r="O19" i="2"/>
  <c r="S19" i="2" s="1"/>
  <c r="L19" i="2"/>
  <c r="K19" i="2"/>
  <c r="N19" i="2" s="1"/>
  <c r="J19" i="2"/>
  <c r="I19" i="2"/>
  <c r="E19" i="2"/>
  <c r="H19" i="2" s="1"/>
  <c r="D19" i="2"/>
  <c r="F19" i="2" s="1"/>
  <c r="C19" i="2"/>
  <c r="Q18" i="2"/>
  <c r="P18" i="2"/>
  <c r="R18" i="2" s="1"/>
  <c r="O18" i="2"/>
  <c r="N18" i="2"/>
  <c r="M18" i="2"/>
  <c r="K18" i="2"/>
  <c r="J18" i="2"/>
  <c r="L18" i="2" s="1"/>
  <c r="I18" i="2"/>
  <c r="E18" i="2"/>
  <c r="D18" i="2"/>
  <c r="H18" i="2" s="1"/>
  <c r="C18" i="2"/>
  <c r="G18" i="2" s="1"/>
  <c r="T17" i="2"/>
  <c r="Q17" i="2"/>
  <c r="P17" i="2"/>
  <c r="R17" i="2" s="1"/>
  <c r="O17" i="2"/>
  <c r="N17" i="2"/>
  <c r="L17" i="2"/>
  <c r="K17" i="2"/>
  <c r="M17" i="2" s="1"/>
  <c r="J17" i="2"/>
  <c r="I17" i="2"/>
  <c r="H17" i="2"/>
  <c r="G17" i="2"/>
  <c r="F17" i="2"/>
  <c r="E17" i="2"/>
  <c r="D17" i="2"/>
  <c r="C17" i="2"/>
  <c r="T16" i="2"/>
  <c r="S16" i="2"/>
  <c r="R16" i="2"/>
  <c r="Q16" i="2"/>
  <c r="P16" i="2"/>
  <c r="O16" i="2"/>
  <c r="K16" i="2"/>
  <c r="J16" i="2"/>
  <c r="L16" i="2" s="1"/>
  <c r="I16" i="2"/>
  <c r="M16" i="2" s="1"/>
  <c r="F16" i="2"/>
  <c r="E16" i="2"/>
  <c r="H16" i="2" s="1"/>
  <c r="D16" i="2"/>
  <c r="C16" i="2"/>
  <c r="Q15" i="2"/>
  <c r="T15" i="2" s="1"/>
  <c r="P15" i="2"/>
  <c r="R15" i="2" s="1"/>
  <c r="O15" i="2"/>
  <c r="K15" i="2"/>
  <c r="J15" i="2"/>
  <c r="L15" i="2" s="1"/>
  <c r="I15" i="2"/>
  <c r="H15" i="2"/>
  <c r="G15" i="2"/>
  <c r="E15" i="2"/>
  <c r="D15" i="2"/>
  <c r="F15" i="2" s="1"/>
  <c r="C15" i="2"/>
  <c r="Q14" i="2"/>
  <c r="T14" i="2" s="1"/>
  <c r="P14" i="2"/>
  <c r="R14" i="2" s="1"/>
  <c r="O14" i="2"/>
  <c r="N14" i="2"/>
  <c r="K14" i="2"/>
  <c r="J14" i="2"/>
  <c r="I14" i="2"/>
  <c r="H14" i="2"/>
  <c r="F14" i="2"/>
  <c r="E14" i="2"/>
  <c r="G14" i="2" s="1"/>
  <c r="D14" i="2"/>
  <c r="C14" i="2"/>
  <c r="T13" i="2"/>
  <c r="S13" i="2"/>
  <c r="Q13" i="2"/>
  <c r="P13" i="2"/>
  <c r="R13" i="2" s="1"/>
  <c r="O13" i="2"/>
  <c r="N13" i="2"/>
  <c r="M13" i="2"/>
  <c r="L13" i="2"/>
  <c r="K13" i="2"/>
  <c r="J13" i="2"/>
  <c r="I13" i="2"/>
  <c r="G13" i="2"/>
  <c r="E13" i="2"/>
  <c r="D13" i="2"/>
  <c r="D73" i="2" s="1"/>
  <c r="C13" i="2"/>
  <c r="R12" i="2"/>
  <c r="Q12" i="2"/>
  <c r="T12" i="2" s="1"/>
  <c r="P12" i="2"/>
  <c r="O12" i="2"/>
  <c r="K12" i="2"/>
  <c r="N12" i="2" s="1"/>
  <c r="J12" i="2"/>
  <c r="L12" i="2" s="1"/>
  <c r="I12" i="2"/>
  <c r="E12" i="2"/>
  <c r="D12" i="2"/>
  <c r="F12" i="2" s="1"/>
  <c r="C12" i="2"/>
  <c r="T11" i="2"/>
  <c r="S11" i="2"/>
  <c r="Q11" i="2"/>
  <c r="P11" i="2"/>
  <c r="R11" i="2" s="1"/>
  <c r="O11" i="2"/>
  <c r="K11" i="2"/>
  <c r="N11" i="2" s="1"/>
  <c r="J11" i="2"/>
  <c r="L11" i="2" s="1"/>
  <c r="I11" i="2"/>
  <c r="H11" i="2"/>
  <c r="E11" i="2"/>
  <c r="G11" i="2" s="1"/>
  <c r="D11" i="2"/>
  <c r="F11" i="2" s="1"/>
  <c r="C11" i="2"/>
  <c r="C73" i="2" s="1"/>
  <c r="G73" i="2" s="1"/>
  <c r="R10" i="2"/>
  <c r="Q10" i="2"/>
  <c r="S10" i="2" s="1"/>
  <c r="P10" i="2"/>
  <c r="O10" i="2"/>
  <c r="N10" i="2"/>
  <c r="M10" i="2"/>
  <c r="K10" i="2"/>
  <c r="J10" i="2"/>
  <c r="I10" i="2"/>
  <c r="L10" i="2" s="1"/>
  <c r="H10" i="2"/>
  <c r="G10" i="2"/>
  <c r="F10" i="2"/>
  <c r="E10" i="2"/>
  <c r="D10" i="2"/>
  <c r="C10" i="2"/>
  <c r="S9" i="2"/>
  <c r="Q9" i="2"/>
  <c r="T9" i="2" s="1"/>
  <c r="P9" i="2"/>
  <c r="O9" i="2"/>
  <c r="R9" i="2" s="1"/>
  <c r="L9" i="2"/>
  <c r="K9" i="2"/>
  <c r="N9" i="2" s="1"/>
  <c r="J9" i="2"/>
  <c r="I9" i="2"/>
  <c r="E9" i="2"/>
  <c r="H9" i="2" s="1"/>
  <c r="D9" i="2"/>
  <c r="F9" i="2" s="1"/>
  <c r="C9" i="2"/>
  <c r="Q8" i="2"/>
  <c r="P8" i="2"/>
  <c r="R8" i="2" s="1"/>
  <c r="O8" i="2"/>
  <c r="N8" i="2"/>
  <c r="M8" i="2"/>
  <c r="K8" i="2"/>
  <c r="J8" i="2"/>
  <c r="L8" i="2" s="1"/>
  <c r="I8" i="2"/>
  <c r="E8" i="2"/>
  <c r="D8" i="2"/>
  <c r="H8" i="2" s="1"/>
  <c r="C8" i="2"/>
  <c r="G8" i="2" s="1"/>
  <c r="T7" i="2"/>
  <c r="Q7" i="2"/>
  <c r="P7" i="2"/>
  <c r="O7" i="2"/>
  <c r="L7" i="2"/>
  <c r="K7" i="2"/>
  <c r="M7" i="2" s="1"/>
  <c r="J7" i="2"/>
  <c r="I7" i="2"/>
  <c r="H7" i="2"/>
  <c r="G7" i="2"/>
  <c r="F7" i="2"/>
  <c r="E7" i="2"/>
  <c r="D7" i="2"/>
  <c r="C7" i="2"/>
  <c r="T6" i="2"/>
  <c r="S6" i="2"/>
  <c r="R6" i="2"/>
  <c r="Q6" i="2"/>
  <c r="P6" i="2"/>
  <c r="O6" i="2"/>
  <c r="K6" i="2"/>
  <c r="J6" i="2"/>
  <c r="J77" i="2" s="1"/>
  <c r="I6" i="2"/>
  <c r="M6" i="2" s="1"/>
  <c r="F6" i="2"/>
  <c r="E6" i="2"/>
  <c r="H6" i="2" s="1"/>
  <c r="D6" i="2"/>
  <c r="C6" i="2"/>
  <c r="Q5" i="2"/>
  <c r="T76" i="2" s="1"/>
  <c r="P5" i="2"/>
  <c r="R5" i="2" s="1"/>
  <c r="O5" i="2"/>
  <c r="K5" i="2"/>
  <c r="J5" i="2"/>
  <c r="L5" i="2" s="1"/>
  <c r="I5" i="2"/>
  <c r="H5" i="2"/>
  <c r="G5" i="2"/>
  <c r="E5" i="2"/>
  <c r="D5" i="2"/>
  <c r="F5" i="2" s="1"/>
  <c r="C5" i="2"/>
  <c r="Q4" i="2"/>
  <c r="Q76" i="2" s="1"/>
  <c r="P4" i="2"/>
  <c r="T4" i="2" s="1"/>
  <c r="O4" i="2"/>
  <c r="O76" i="2" s="1"/>
  <c r="N4" i="2"/>
  <c r="K4" i="2"/>
  <c r="J4" i="2"/>
  <c r="J76" i="2" s="1"/>
  <c r="I4" i="2"/>
  <c r="H4" i="2"/>
  <c r="F4" i="2"/>
  <c r="E4" i="2"/>
  <c r="D4" i="2"/>
  <c r="C4" i="2"/>
  <c r="U8" i="7" l="1"/>
  <c r="V69" i="7"/>
  <c r="U12" i="7"/>
  <c r="X28" i="7"/>
  <c r="R51" i="7"/>
  <c r="T68" i="7"/>
  <c r="W23" i="7"/>
  <c r="O12" i="7"/>
  <c r="V12" i="7" s="1"/>
  <c r="Q12" i="7"/>
  <c r="X12" i="7" s="1"/>
  <c r="M12" i="7"/>
  <c r="T12" i="7" s="1"/>
  <c r="K12" i="7"/>
  <c r="J12" i="7"/>
  <c r="I12" i="7"/>
  <c r="H12" i="7"/>
  <c r="G12" i="7"/>
  <c r="F12" i="7"/>
  <c r="S12" i="7" s="1"/>
  <c r="S18" i="7"/>
  <c r="P21" i="7"/>
  <c r="W21" i="7" s="1"/>
  <c r="O21" i="7"/>
  <c r="N21" i="7"/>
  <c r="G21" i="7"/>
  <c r="F21" i="7"/>
  <c r="T21" i="7" s="1"/>
  <c r="Q21" i="7"/>
  <c r="X21" i="7" s="1"/>
  <c r="L21" i="7"/>
  <c r="S21" i="7" s="1"/>
  <c r="J21" i="7"/>
  <c r="T23" i="7"/>
  <c r="U40" i="7"/>
  <c r="R44" i="7"/>
  <c r="U53" i="7"/>
  <c r="U60" i="7"/>
  <c r="U69" i="7"/>
  <c r="U76" i="7"/>
  <c r="R35" i="7"/>
  <c r="T40" i="7"/>
  <c r="S68" i="7"/>
  <c r="R86" i="7"/>
  <c r="W4" i="7"/>
  <c r="P19" i="7"/>
  <c r="G19" i="7"/>
  <c r="F19" i="7"/>
  <c r="Q19" i="7"/>
  <c r="X19" i="7" s="1"/>
  <c r="O19" i="7"/>
  <c r="V19" i="7" s="1"/>
  <c r="N19" i="7"/>
  <c r="U19" i="7" s="1"/>
  <c r="L19" i="7"/>
  <c r="S19" i="7" s="1"/>
  <c r="J19" i="7"/>
  <c r="G24" i="7"/>
  <c r="F24" i="7"/>
  <c r="M24" i="7"/>
  <c r="T24" i="7" s="1"/>
  <c r="I24" i="7"/>
  <c r="H24" i="7"/>
  <c r="R24" i="7" s="1"/>
  <c r="Q24" i="7"/>
  <c r="O24" i="7"/>
  <c r="L24" i="7"/>
  <c r="R39" i="7"/>
  <c r="V40" i="7"/>
  <c r="O48" i="7"/>
  <c r="N48" i="7"/>
  <c r="L48" i="7"/>
  <c r="H48" i="7"/>
  <c r="R48" i="7" s="1"/>
  <c r="G48" i="7"/>
  <c r="F48" i="7"/>
  <c r="T48" i="7" s="1"/>
  <c r="P48" i="7"/>
  <c r="W48" i="7" s="1"/>
  <c r="K48" i="7"/>
  <c r="R52" i="7"/>
  <c r="E104" i="7"/>
  <c r="E24" i="7"/>
  <c r="H19" i="7"/>
  <c r="R19" i="7" s="1"/>
  <c r="J24" i="7"/>
  <c r="R34" i="7"/>
  <c r="I48" i="7"/>
  <c r="E61" i="7"/>
  <c r="W12" i="7"/>
  <c r="O70" i="7"/>
  <c r="F70" i="7"/>
  <c r="P70" i="7"/>
  <c r="M70" i="7"/>
  <c r="T70" i="7" s="1"/>
  <c r="L70" i="7"/>
  <c r="S70" i="7" s="1"/>
  <c r="K70" i="7"/>
  <c r="G70" i="7"/>
  <c r="J70" i="7"/>
  <c r="I70" i="7"/>
  <c r="H70" i="7"/>
  <c r="I19" i="7"/>
  <c r="K24" i="7"/>
  <c r="R43" i="7"/>
  <c r="J48" i="7"/>
  <c r="R54" i="7"/>
  <c r="N70" i="7"/>
  <c r="T86" i="7"/>
  <c r="U92" i="7"/>
  <c r="W53" i="7"/>
  <c r="W76" i="7"/>
  <c r="V86" i="7"/>
  <c r="T4" i="7"/>
  <c r="R21" i="7"/>
  <c r="B120" i="7"/>
  <c r="B121" i="7"/>
  <c r="H8" i="7"/>
  <c r="R8" i="7" s="1"/>
  <c r="G8" i="7"/>
  <c r="F8" i="7"/>
  <c r="Q8" i="7"/>
  <c r="P8" i="7"/>
  <c r="W8" i="7" s="1"/>
  <c r="O8" i="7"/>
  <c r="V8" i="7" s="1"/>
  <c r="M8" i="7"/>
  <c r="T8" i="7" s="1"/>
  <c r="K8" i="7"/>
  <c r="M22" i="7"/>
  <c r="L22" i="7"/>
  <c r="O22" i="7"/>
  <c r="G22" i="7"/>
  <c r="F22" i="7"/>
  <c r="W22" i="7" s="1"/>
  <c r="Q22" i="7"/>
  <c r="X22" i="7" s="1"/>
  <c r="N22" i="7"/>
  <c r="J22" i="7"/>
  <c r="U24" i="7"/>
  <c r="S52" i="7"/>
  <c r="L73" i="7"/>
  <c r="S73" i="7" s="1"/>
  <c r="O73" i="7"/>
  <c r="V73" i="7" s="1"/>
  <c r="N73" i="7"/>
  <c r="U73" i="7" s="1"/>
  <c r="M73" i="7"/>
  <c r="H73" i="7"/>
  <c r="K73" i="7"/>
  <c r="J73" i="7"/>
  <c r="I73" i="7"/>
  <c r="G73" i="7"/>
  <c r="R92" i="7"/>
  <c r="S113" i="7"/>
  <c r="M19" i="7"/>
  <c r="T19" i="7" s="1"/>
  <c r="E22" i="7"/>
  <c r="P24" i="7"/>
  <c r="W24" i="7" s="1"/>
  <c r="E28" i="7"/>
  <c r="S43" i="7"/>
  <c r="Q48" i="7"/>
  <c r="X48" i="7" s="1"/>
  <c r="J75" i="7"/>
  <c r="I75" i="7"/>
  <c r="G75" i="7"/>
  <c r="F75" i="7"/>
  <c r="O75" i="7"/>
  <c r="P75" i="7"/>
  <c r="N75" i="7"/>
  <c r="L75" i="7"/>
  <c r="V81" i="7"/>
  <c r="S88" i="7"/>
  <c r="T101" i="7"/>
  <c r="Q5" i="7"/>
  <c r="P5" i="7"/>
  <c r="O5" i="7"/>
  <c r="N5" i="7"/>
  <c r="U5" i="7" s="1"/>
  <c r="K5" i="7"/>
  <c r="I5" i="7"/>
  <c r="H5" i="7"/>
  <c r="R5" i="7" s="1"/>
  <c r="G5" i="7"/>
  <c r="F5" i="7"/>
  <c r="S5" i="7" s="1"/>
  <c r="I8" i="7"/>
  <c r="O11" i="7"/>
  <c r="V11" i="7" s="1"/>
  <c r="M11" i="7"/>
  <c r="T11" i="7" s="1"/>
  <c r="L11" i="7"/>
  <c r="S11" i="7" s="1"/>
  <c r="K11" i="7"/>
  <c r="J11" i="7"/>
  <c r="I11" i="7"/>
  <c r="H11" i="7"/>
  <c r="F11" i="7"/>
  <c r="W11" i="7" s="1"/>
  <c r="L13" i="7"/>
  <c r="Q13" i="7"/>
  <c r="P13" i="7"/>
  <c r="O13" i="7"/>
  <c r="K13" i="7"/>
  <c r="I13" i="7"/>
  <c r="H13" i="7"/>
  <c r="R13" i="7" s="1"/>
  <c r="G13" i="7"/>
  <c r="F13" i="7"/>
  <c r="T13" i="7" s="1"/>
  <c r="R16" i="7"/>
  <c r="H22" i="7"/>
  <c r="T30" i="7"/>
  <c r="R42" i="7"/>
  <c r="R46" i="7"/>
  <c r="U52" i="7"/>
  <c r="F73" i="7"/>
  <c r="E75" i="7"/>
  <c r="H97" i="7"/>
  <c r="R97" i="7" s="1"/>
  <c r="G97" i="7"/>
  <c r="F97" i="7"/>
  <c r="N97" i="7"/>
  <c r="U97" i="7" s="1"/>
  <c r="M97" i="7"/>
  <c r="T97" i="7" s="1"/>
  <c r="L97" i="7"/>
  <c r="S97" i="7" s="1"/>
  <c r="K97" i="7"/>
  <c r="J97" i="7"/>
  <c r="I97" i="7"/>
  <c r="R107" i="7"/>
  <c r="X6" i="7"/>
  <c r="J8" i="7"/>
  <c r="I22" i="7"/>
  <c r="E26" i="7"/>
  <c r="T34" i="7"/>
  <c r="S35" i="7"/>
  <c r="V43" i="7"/>
  <c r="F51" i="7"/>
  <c r="P51" i="7"/>
  <c r="M51" i="7"/>
  <c r="T51" i="7" s="1"/>
  <c r="L51" i="7"/>
  <c r="S51" i="7" s="1"/>
  <c r="K51" i="7"/>
  <c r="J51" i="7"/>
  <c r="I51" i="7"/>
  <c r="Q51" i="7"/>
  <c r="X51" i="7" s="1"/>
  <c r="V52" i="7"/>
  <c r="V54" i="7"/>
  <c r="D124" i="7"/>
  <c r="E124" i="7" s="1"/>
  <c r="E63" i="7"/>
  <c r="W65" i="7"/>
  <c r="P73" i="7"/>
  <c r="W73" i="7" s="1"/>
  <c r="H75" i="7"/>
  <c r="U84" i="7"/>
  <c r="S107" i="7"/>
  <c r="T28" i="7"/>
  <c r="T75" i="7"/>
  <c r="L91" i="7"/>
  <c r="K91" i="7"/>
  <c r="G91" i="7"/>
  <c r="F91" i="7"/>
  <c r="O91" i="7"/>
  <c r="V91" i="7" s="1"/>
  <c r="N91" i="7"/>
  <c r="U91" i="7" s="1"/>
  <c r="J91" i="7"/>
  <c r="S16" i="7"/>
  <c r="H20" i="7"/>
  <c r="S34" i="7"/>
  <c r="R40" i="7"/>
  <c r="U42" i="7"/>
  <c r="I49" i="7"/>
  <c r="H108" i="7"/>
  <c r="R108" i="7" s="1"/>
  <c r="I108" i="7"/>
  <c r="L108" i="7"/>
  <c r="S108" i="7" s="1"/>
  <c r="K108" i="7"/>
  <c r="J108" i="7"/>
  <c r="G108" i="7"/>
  <c r="C120" i="7"/>
  <c r="T16" i="7"/>
  <c r="U34" i="7"/>
  <c r="U51" i="7"/>
  <c r="J53" i="7"/>
  <c r="K53" i="7"/>
  <c r="L53" i="7"/>
  <c r="S53" i="7" s="1"/>
  <c r="I53" i="7"/>
  <c r="H53" i="7"/>
  <c r="R53" i="7" s="1"/>
  <c r="G53" i="7"/>
  <c r="Q53" i="7"/>
  <c r="X53" i="7" s="1"/>
  <c r="O53" i="7"/>
  <c r="V53" i="7" s="1"/>
  <c r="I76" i="7"/>
  <c r="L76" i="7"/>
  <c r="S76" i="7" s="1"/>
  <c r="K76" i="7"/>
  <c r="J76" i="7"/>
  <c r="H76" i="7"/>
  <c r="G76" i="7"/>
  <c r="O76" i="7"/>
  <c r="E78" i="7"/>
  <c r="E85" i="7"/>
  <c r="E114" i="7"/>
  <c r="S8" i="7"/>
  <c r="O20" i="7"/>
  <c r="G20" i="7"/>
  <c r="F20" i="7"/>
  <c r="Q20" i="7"/>
  <c r="X20" i="7" s="1"/>
  <c r="P20" i="7"/>
  <c r="W20" i="7" s="1"/>
  <c r="N20" i="7"/>
  <c r="U20" i="7" s="1"/>
  <c r="L20" i="7"/>
  <c r="J20" i="7"/>
  <c r="L49" i="7"/>
  <c r="S49" i="7" s="1"/>
  <c r="K49" i="7"/>
  <c r="M49" i="7"/>
  <c r="T49" i="7" s="1"/>
  <c r="H49" i="7"/>
  <c r="R49" i="7" s="1"/>
  <c r="G49" i="7"/>
  <c r="F49" i="7"/>
  <c r="P49" i="7"/>
  <c r="N49" i="7"/>
  <c r="U49" i="7" s="1"/>
  <c r="W63" i="7"/>
  <c r="U16" i="7"/>
  <c r="H18" i="7"/>
  <c r="G18" i="7"/>
  <c r="F18" i="7"/>
  <c r="U18" i="7" s="1"/>
  <c r="Q18" i="7"/>
  <c r="X18" i="7" s="1"/>
  <c r="P18" i="7"/>
  <c r="W18" i="7" s="1"/>
  <c r="O18" i="7"/>
  <c r="V18" i="7" s="1"/>
  <c r="M18" i="7"/>
  <c r="T18" i="7" s="1"/>
  <c r="K18" i="7"/>
  <c r="K20" i="7"/>
  <c r="J23" i="7"/>
  <c r="I23" i="7"/>
  <c r="N23" i="7"/>
  <c r="U23" i="7" s="1"/>
  <c r="G23" i="7"/>
  <c r="F23" i="7"/>
  <c r="Q23" i="7"/>
  <c r="O23" i="7"/>
  <c r="V23" i="7" s="1"/>
  <c r="L23" i="7"/>
  <c r="S23" i="7" s="1"/>
  <c r="O49" i="7"/>
  <c r="V49" i="7" s="1"/>
  <c r="O51" i="7"/>
  <c r="V51" i="7" s="1"/>
  <c r="I60" i="7"/>
  <c r="K60" i="7"/>
  <c r="Q60" i="7"/>
  <c r="X60" i="7" s="1"/>
  <c r="P60" i="7"/>
  <c r="M60" i="7"/>
  <c r="T60" i="7" s="1"/>
  <c r="J60" i="7"/>
  <c r="H60" i="7"/>
  <c r="R60" i="7" s="1"/>
  <c r="G60" i="7"/>
  <c r="F60" i="7"/>
  <c r="V60" i="7" s="1"/>
  <c r="U65" i="7"/>
  <c r="V67" i="7"/>
  <c r="K80" i="7"/>
  <c r="H80" i="7"/>
  <c r="R80" i="7" s="1"/>
  <c r="G80" i="7"/>
  <c r="F80" i="7"/>
  <c r="T80" i="7" s="1"/>
  <c r="O80" i="7"/>
  <c r="V80" i="7" s="1"/>
  <c r="N80" i="7"/>
  <c r="U80" i="7" s="1"/>
  <c r="L80" i="7"/>
  <c r="S80" i="7" s="1"/>
  <c r="I91" i="7"/>
  <c r="U93" i="7"/>
  <c r="F108" i="7"/>
  <c r="H91" i="7"/>
  <c r="R91" i="7" s="1"/>
  <c r="V16" i="7"/>
  <c r="M20" i="7"/>
  <c r="T20" i="7" s="1"/>
  <c r="E23" i="7"/>
  <c r="S41" i="7"/>
  <c r="B123" i="7"/>
  <c r="E47" i="7"/>
  <c r="Q49" i="7"/>
  <c r="X49" i="7" s="1"/>
  <c r="W67" i="7"/>
  <c r="E80" i="7"/>
  <c r="M91" i="7"/>
  <c r="T91" i="7" s="1"/>
  <c r="B122" i="7"/>
  <c r="X9" i="7"/>
  <c r="I18" i="7"/>
  <c r="H23" i="7"/>
  <c r="R23" i="7" s="1"/>
  <c r="E29" i="7"/>
  <c r="U33" i="7"/>
  <c r="W44" i="7"/>
  <c r="F53" i="7"/>
  <c r="F76" i="7"/>
  <c r="I80" i="7"/>
  <c r="T93" i="7"/>
  <c r="R7" i="7"/>
  <c r="X16" i="7"/>
  <c r="J18" i="7"/>
  <c r="K23" i="7"/>
  <c r="V33" i="7"/>
  <c r="D123" i="7"/>
  <c r="E123" i="7" s="1"/>
  <c r="S39" i="7"/>
  <c r="M53" i="7"/>
  <c r="L60" i="7"/>
  <c r="R74" i="7"/>
  <c r="M76" i="7"/>
  <c r="J80" i="7"/>
  <c r="J103" i="7"/>
  <c r="I103" i="7"/>
  <c r="M103" i="7"/>
  <c r="G103" i="7"/>
  <c r="L103" i="7"/>
  <c r="S103" i="7" s="1"/>
  <c r="K103" i="7"/>
  <c r="H103" i="7"/>
  <c r="R103" i="7" s="1"/>
  <c r="F103" i="7"/>
  <c r="D122" i="7"/>
  <c r="I2" i="7"/>
  <c r="C122" i="7"/>
  <c r="J26" i="7"/>
  <c r="J27" i="7"/>
  <c r="J28" i="7"/>
  <c r="J29" i="7"/>
  <c r="L30" i="7"/>
  <c r="K31" i="7"/>
  <c r="R38" i="7"/>
  <c r="J47" i="7"/>
  <c r="L63" i="7"/>
  <c r="S63" i="7" s="1"/>
  <c r="K63" i="7"/>
  <c r="C124" i="7"/>
  <c r="M63" i="7"/>
  <c r="T63" i="7" s="1"/>
  <c r="K65" i="7"/>
  <c r="U66" i="7"/>
  <c r="E108" i="7"/>
  <c r="I110" i="7"/>
  <c r="H110" i="7"/>
  <c r="R110" i="7" s="1"/>
  <c r="K2" i="7"/>
  <c r="P7" i="7"/>
  <c r="W7" i="7" s="1"/>
  <c r="J9" i="7"/>
  <c r="W16" i="7"/>
  <c r="L26" i="7"/>
  <c r="S26" i="7" s="1"/>
  <c r="L27" i="7"/>
  <c r="L28" i="7"/>
  <c r="N29" i="7"/>
  <c r="N30" i="7"/>
  <c r="M31" i="7"/>
  <c r="T31" i="7" s="1"/>
  <c r="L44" i="7"/>
  <c r="S44" i="7" s="1"/>
  <c r="J46" i="7"/>
  <c r="M47" i="7"/>
  <c r="W52" i="7"/>
  <c r="P61" i="7"/>
  <c r="O61" i="7"/>
  <c r="F61" i="7"/>
  <c r="S61" i="7" s="1"/>
  <c r="K61" i="7"/>
  <c r="M65" i="7"/>
  <c r="T65" i="7" s="1"/>
  <c r="G85" i="7"/>
  <c r="L86" i="7"/>
  <c r="S86" i="7" s="1"/>
  <c r="J89" i="7"/>
  <c r="I89" i="7"/>
  <c r="M89" i="7"/>
  <c r="T89" i="7" s="1"/>
  <c r="G100" i="7"/>
  <c r="N100" i="7"/>
  <c r="U100" i="7" s="1"/>
  <c r="J105" i="7"/>
  <c r="G105" i="7"/>
  <c r="K106" i="7"/>
  <c r="M2" i="7"/>
  <c r="T2" i="7" s="1"/>
  <c r="G4" i="7"/>
  <c r="X4" i="7" s="1"/>
  <c r="N26" i="7"/>
  <c r="N27" i="7"/>
  <c r="P28" i="7"/>
  <c r="W28" i="7" s="1"/>
  <c r="P29" i="7"/>
  <c r="P30" i="7"/>
  <c r="W30" i="7" s="1"/>
  <c r="O31" i="7"/>
  <c r="V31" i="7" s="1"/>
  <c r="T37" i="7"/>
  <c r="T43" i="7"/>
  <c r="O44" i="7"/>
  <c r="V44" i="7" s="1"/>
  <c r="N46" i="7"/>
  <c r="U46" i="7" s="1"/>
  <c r="O47" i="7"/>
  <c r="L59" i="7"/>
  <c r="S59" i="7" s="1"/>
  <c r="J59" i="7"/>
  <c r="G63" i="7"/>
  <c r="O65" i="7"/>
  <c r="O84" i="7"/>
  <c r="M84" i="7"/>
  <c r="I85" i="7"/>
  <c r="N86" i="7"/>
  <c r="U86" i="7" s="1"/>
  <c r="S90" i="7"/>
  <c r="F93" i="7"/>
  <c r="G93" i="7"/>
  <c r="M106" i="7"/>
  <c r="T106" i="7" s="1"/>
  <c r="G110" i="7"/>
  <c r="G114" i="7"/>
  <c r="I114" i="7"/>
  <c r="H114" i="7"/>
  <c r="R114" i="7" s="1"/>
  <c r="N2" i="7"/>
  <c r="U2" i="7" s="1"/>
  <c r="H4" i="7"/>
  <c r="R4" i="7" s="1"/>
  <c r="O26" i="7"/>
  <c r="O27" i="7"/>
  <c r="P31" i="7"/>
  <c r="W31" i="7" s="1"/>
  <c r="S33" i="7"/>
  <c r="U36" i="7"/>
  <c r="S40" i="7"/>
  <c r="O46" i="7"/>
  <c r="V46" i="7" s="1"/>
  <c r="O58" i="7"/>
  <c r="K58" i="7"/>
  <c r="H63" i="7"/>
  <c r="R63" i="7" s="1"/>
  <c r="G68" i="7"/>
  <c r="F68" i="7"/>
  <c r="U74" i="7"/>
  <c r="E84" i="7"/>
  <c r="J85" i="7"/>
  <c r="J110" i="7"/>
  <c r="O2" i="7"/>
  <c r="V2" i="7" s="1"/>
  <c r="I4" i="7"/>
  <c r="N9" i="7"/>
  <c r="U9" i="7" s="1"/>
  <c r="P26" i="7"/>
  <c r="Q31" i="7"/>
  <c r="T33" i="7"/>
  <c r="V35" i="7"/>
  <c r="P46" i="7"/>
  <c r="W46" i="7" s="1"/>
  <c r="H57" i="7"/>
  <c r="R57" i="7" s="1"/>
  <c r="G57" i="7"/>
  <c r="L57" i="7"/>
  <c r="S57" i="7" s="1"/>
  <c r="E58" i="7"/>
  <c r="H61" i="7"/>
  <c r="I63" i="7"/>
  <c r="V74" i="7"/>
  <c r="G78" i="7"/>
  <c r="F84" i="7"/>
  <c r="S84" i="7" s="1"/>
  <c r="K85" i="7"/>
  <c r="G89" i="7"/>
  <c r="U94" i="7"/>
  <c r="H100" i="7"/>
  <c r="R100" i="7" s="1"/>
  <c r="H105" i="7"/>
  <c r="R105" i="7" s="1"/>
  <c r="K110" i="7"/>
  <c r="S106" i="7"/>
  <c r="P2" i="7"/>
  <c r="W2" i="7" s="1"/>
  <c r="J4" i="7"/>
  <c r="O9" i="7"/>
  <c r="V9" i="7" s="1"/>
  <c r="Q26" i="7"/>
  <c r="X26" i="7" s="1"/>
  <c r="V32" i="7"/>
  <c r="U39" i="7"/>
  <c r="K56" i="7"/>
  <c r="J56" i="7"/>
  <c r="L56" i="7"/>
  <c r="S56" i="7" s="1"/>
  <c r="F58" i="7"/>
  <c r="F59" i="7"/>
  <c r="U59" i="7" s="1"/>
  <c r="I61" i="7"/>
  <c r="J63" i="7"/>
  <c r="H77" i="7"/>
  <c r="R77" i="7" s="1"/>
  <c r="N77" i="7"/>
  <c r="U77" i="7" s="1"/>
  <c r="H78" i="7"/>
  <c r="R78" i="7" s="1"/>
  <c r="U79" i="7"/>
  <c r="G84" i="7"/>
  <c r="L85" i="7"/>
  <c r="S85" i="7" s="1"/>
  <c r="I88" i="7"/>
  <c r="H88" i="7"/>
  <c r="R88" i="7" s="1"/>
  <c r="G88" i="7"/>
  <c r="H89" i="7"/>
  <c r="R89" i="7" s="1"/>
  <c r="H93" i="7"/>
  <c r="R93" i="7" s="1"/>
  <c r="E96" i="7"/>
  <c r="I100" i="7"/>
  <c r="I105" i="7"/>
  <c r="J107" i="7"/>
  <c r="I107" i="7"/>
  <c r="K107" i="7"/>
  <c r="L110" i="7"/>
  <c r="S110" i="7" s="1"/>
  <c r="R112" i="7"/>
  <c r="F114" i="7"/>
  <c r="S114" i="7" s="1"/>
  <c r="Q2" i="7"/>
  <c r="X2" i="7" s="1"/>
  <c r="K4" i="7"/>
  <c r="P9" i="7"/>
  <c r="W9" i="7" s="1"/>
  <c r="U10" i="7"/>
  <c r="F14" i="7"/>
  <c r="T14" i="7" s="1"/>
  <c r="W32" i="7"/>
  <c r="V39" i="7"/>
  <c r="N55" i="7"/>
  <c r="U55" i="7" s="1"/>
  <c r="M55" i="7"/>
  <c r="T55" i="7" s="1"/>
  <c r="J55" i="7"/>
  <c r="G58" i="7"/>
  <c r="G59" i="7"/>
  <c r="J61" i="7"/>
  <c r="N63" i="7"/>
  <c r="U63" i="7" s="1"/>
  <c r="H67" i="7"/>
  <c r="G67" i="7"/>
  <c r="H68" i="7"/>
  <c r="R68" i="7" s="1"/>
  <c r="J78" i="7"/>
  <c r="V79" i="7"/>
  <c r="H84" i="7"/>
  <c r="R84" i="7" s="1"/>
  <c r="M85" i="7"/>
  <c r="T85" i="7" s="1"/>
  <c r="K89" i="7"/>
  <c r="I93" i="7"/>
  <c r="F96" i="7"/>
  <c r="R96" i="7" s="1"/>
  <c r="N99" i="7"/>
  <c r="U99" i="7" s="1"/>
  <c r="M99" i="7"/>
  <c r="T99" i="7" s="1"/>
  <c r="H99" i="7"/>
  <c r="J100" i="7"/>
  <c r="K105" i="7"/>
  <c r="J114" i="7"/>
  <c r="L4" i="7"/>
  <c r="S4" i="7" s="1"/>
  <c r="G14" i="7"/>
  <c r="X14" i="7" s="1"/>
  <c r="Q54" i="7"/>
  <c r="X54" i="7" s="1"/>
  <c r="P54" i="7"/>
  <c r="W54" i="7" s="1"/>
  <c r="G54" i="7"/>
  <c r="K54" i="7"/>
  <c r="H58" i="7"/>
  <c r="R58" i="7" s="1"/>
  <c r="O63" i="7"/>
  <c r="V63" i="7" s="1"/>
  <c r="I68" i="7"/>
  <c r="L81" i="7"/>
  <c r="S81" i="7" s="1"/>
  <c r="H81" i="7"/>
  <c r="R81" i="7" s="1"/>
  <c r="N85" i="7"/>
  <c r="U85" i="7" s="1"/>
  <c r="C121" i="7"/>
  <c r="N4" i="7"/>
  <c r="U4" i="7" s="1"/>
  <c r="H6" i="7"/>
  <c r="R6" i="7" s="1"/>
  <c r="J14" i="7"/>
  <c r="H15" i="7"/>
  <c r="R15" i="7" s="1"/>
  <c r="I50" i="7"/>
  <c r="H50" i="7"/>
  <c r="R50" i="7" s="1"/>
  <c r="M50" i="7"/>
  <c r="T50" i="7" s="1"/>
  <c r="E51" i="7"/>
  <c r="G56" i="7"/>
  <c r="J57" i="7"/>
  <c r="J58" i="7"/>
  <c r="K59" i="7"/>
  <c r="N61" i="7"/>
  <c r="I66" i="7"/>
  <c r="H66" i="7"/>
  <c r="R66" i="7" s="1"/>
  <c r="F67" i="7"/>
  <c r="K68" i="7"/>
  <c r="G77" i="7"/>
  <c r="M78" i="7"/>
  <c r="T78" i="7" s="1"/>
  <c r="K84" i="7"/>
  <c r="J88" i="7"/>
  <c r="O89" i="7"/>
  <c r="V89" i="7" s="1"/>
  <c r="L93" i="7"/>
  <c r="S93" i="7" s="1"/>
  <c r="I96" i="7"/>
  <c r="F99" i="7"/>
  <c r="M100" i="7"/>
  <c r="T100" i="7" s="1"/>
  <c r="H102" i="7"/>
  <c r="R102" i="7" s="1"/>
  <c r="G107" i="7"/>
  <c r="F109" i="7"/>
  <c r="S109" i="7" s="1"/>
  <c r="E18" i="7"/>
  <c r="Q27" i="7"/>
  <c r="X27" i="7" s="1"/>
  <c r="H27" i="7"/>
  <c r="O28" i="7"/>
  <c r="N28" i="7"/>
  <c r="U28" i="7" s="1"/>
  <c r="G28" i="7"/>
  <c r="L29" i="7"/>
  <c r="K29" i="7"/>
  <c r="F29" i="7"/>
  <c r="V29" i="7" s="1"/>
  <c r="I30" i="7"/>
  <c r="H30" i="7"/>
  <c r="R30" i="7" s="1"/>
  <c r="Q47" i="7"/>
  <c r="X47" i="7" s="1"/>
  <c r="H47" i="7"/>
  <c r="L47" i="7"/>
  <c r="E48" i="7"/>
  <c r="V59" i="7"/>
  <c r="J65" i="7"/>
  <c r="I65" i="7"/>
  <c r="J113" i="7"/>
  <c r="I113" i="7"/>
  <c r="K113" i="7"/>
  <c r="D121" i="7"/>
  <c r="D120" i="7"/>
  <c r="N14" i="7"/>
  <c r="E30" i="7"/>
  <c r="G44" i="7"/>
  <c r="F44" i="7"/>
  <c r="T44" i="7" s="1"/>
  <c r="Q44" i="7"/>
  <c r="X44" i="7" s="1"/>
  <c r="N44" i="7"/>
  <c r="U44" i="7" s="1"/>
  <c r="K46" i="7"/>
  <c r="L46" i="7"/>
  <c r="S46" i="7" s="1"/>
  <c r="U56" i="7"/>
  <c r="P58" i="7"/>
  <c r="W58" i="7" s="1"/>
  <c r="S67" i="7"/>
  <c r="S77" i="7"/>
  <c r="G86" i="7"/>
  <c r="F86" i="7"/>
  <c r="U88" i="7"/>
  <c r="J101" i="7"/>
  <c r="H101" i="7"/>
  <c r="R101" i="7" s="1"/>
  <c r="R104" i="7"/>
  <c r="J109" i="7"/>
  <c r="C123" i="7"/>
  <c r="E2" i="7"/>
  <c r="M6" i="7"/>
  <c r="T6" i="7" s="1"/>
  <c r="J7" i="7"/>
  <c r="O14" i="7"/>
  <c r="M15" i="7"/>
  <c r="T15" i="7" s="1"/>
  <c r="H17" i="7"/>
  <c r="R17" i="7" s="1"/>
  <c r="F30" i="7"/>
  <c r="V30" i="7" s="1"/>
  <c r="G31" i="7"/>
  <c r="Q34" i="7"/>
  <c r="X34" i="7" s="1"/>
  <c r="P34" i="7"/>
  <c r="W34" i="7" s="1"/>
  <c r="N35" i="7"/>
  <c r="U35" i="7" s="1"/>
  <c r="M35" i="7"/>
  <c r="T35" i="7" s="1"/>
  <c r="K36" i="7"/>
  <c r="J36" i="7"/>
  <c r="H37" i="7"/>
  <c r="R37" i="7" s="1"/>
  <c r="G37" i="7"/>
  <c r="P41" i="7"/>
  <c r="W41" i="7" s="1"/>
  <c r="O41" i="7"/>
  <c r="V41" i="7" s="1"/>
  <c r="N41" i="7"/>
  <c r="U41" i="7" s="1"/>
  <c r="M42" i="7"/>
  <c r="T42" i="7" s="1"/>
  <c r="L42" i="7"/>
  <c r="S42" i="7" s="1"/>
  <c r="O42" i="7"/>
  <c r="V42" i="7" s="1"/>
  <c r="J43" i="7"/>
  <c r="I43" i="7"/>
  <c r="N43" i="7"/>
  <c r="U43" i="7" s="1"/>
  <c r="J50" i="7"/>
  <c r="L54" i="7"/>
  <c r="S54" i="7" s="1"/>
  <c r="L55" i="7"/>
  <c r="S55" i="7" s="1"/>
  <c r="O56" i="7"/>
  <c r="V56" i="7" s="1"/>
  <c r="P57" i="7"/>
  <c r="W57" i="7" s="1"/>
  <c r="Q58" i="7"/>
  <c r="X58" i="7" s="1"/>
  <c r="Q59" i="7"/>
  <c r="X59" i="7" s="1"/>
  <c r="B124" i="7"/>
  <c r="J66" i="7"/>
  <c r="M67" i="7"/>
  <c r="T67" i="7" s="1"/>
  <c r="P68" i="7"/>
  <c r="W68" i="7" s="1"/>
  <c r="K74" i="7"/>
  <c r="G74" i="7"/>
  <c r="M77" i="7"/>
  <c r="T77" i="7" s="1"/>
  <c r="K81" i="7"/>
  <c r="O88" i="7"/>
  <c r="V88" i="7" s="1"/>
  <c r="H95" i="7"/>
  <c r="R95" i="7" s="1"/>
  <c r="L99" i="7"/>
  <c r="M102" i="7"/>
  <c r="T102" i="7" s="1"/>
  <c r="J104" i="7"/>
  <c r="K109" i="7"/>
  <c r="I111" i="7"/>
  <c r="P14" i="7"/>
  <c r="N15" i="7"/>
  <c r="U15" i="7" s="1"/>
  <c r="F26" i="7"/>
  <c r="R26" i="7" s="1"/>
  <c r="F27" i="7"/>
  <c r="T27" i="7" s="1"/>
  <c r="F28" i="7"/>
  <c r="R28" i="7" s="1"/>
  <c r="G29" i="7"/>
  <c r="X29" i="7" s="1"/>
  <c r="G30" i="7"/>
  <c r="X30" i="7" s="1"/>
  <c r="H31" i="7"/>
  <c r="R31" i="7" s="1"/>
  <c r="E38" i="7"/>
  <c r="F47" i="7"/>
  <c r="W47" i="7" s="1"/>
  <c r="K50" i="7"/>
  <c r="M54" i="7"/>
  <c r="T54" i="7" s="1"/>
  <c r="O55" i="7"/>
  <c r="V55" i="7" s="1"/>
  <c r="P56" i="7"/>
  <c r="W56" i="7" s="1"/>
  <c r="Q57" i="7"/>
  <c r="X57" i="7" s="1"/>
  <c r="K64" i="7"/>
  <c r="J64" i="7"/>
  <c r="O64" i="7"/>
  <c r="V64" i="7" s="1"/>
  <c r="F65" i="7"/>
  <c r="R65" i="7" s="1"/>
  <c r="K66" i="7"/>
  <c r="N67" i="7"/>
  <c r="U67" i="7" s="1"/>
  <c r="O77" i="7"/>
  <c r="V77" i="7" s="1"/>
  <c r="M81" i="7"/>
  <c r="T81" i="7" s="1"/>
  <c r="K90" i="7"/>
  <c r="J90" i="7"/>
  <c r="I94" i="7"/>
  <c r="M94" i="7"/>
  <c r="T94" i="7" s="1"/>
  <c r="I95" i="7"/>
  <c r="K104" i="7"/>
  <c r="J111" i="7"/>
  <c r="F113" i="7"/>
  <c r="R113" i="7" s="1"/>
  <c r="K98" i="7"/>
  <c r="J98" i="7"/>
  <c r="E31" i="7"/>
  <c r="F69" i="7"/>
  <c r="R69" i="7" s="1"/>
  <c r="P69" i="7"/>
  <c r="W69" i="7" s="1"/>
  <c r="H87" i="7"/>
  <c r="R87" i="7" s="1"/>
  <c r="G87" i="7"/>
  <c r="N98" i="7"/>
  <c r="U98" i="7" s="1"/>
  <c r="L62" i="7"/>
  <c r="S62" i="7" s="1"/>
  <c r="L92" i="7"/>
  <c r="S92" i="7" s="1"/>
  <c r="T57" i="6"/>
  <c r="T88" i="6"/>
  <c r="W3" i="6"/>
  <c r="U57" i="6"/>
  <c r="V27" i="6"/>
  <c r="U44" i="6"/>
  <c r="R68" i="6"/>
  <c r="V88" i="6"/>
  <c r="R24" i="6"/>
  <c r="E122" i="6"/>
  <c r="S88" i="6"/>
  <c r="S37" i="6"/>
  <c r="S24" i="6"/>
  <c r="T37" i="6"/>
  <c r="X10" i="6"/>
  <c r="T24" i="6"/>
  <c r="U37" i="6"/>
  <c r="R86" i="6"/>
  <c r="U3" i="6"/>
  <c r="S4" i="6"/>
  <c r="U24" i="6"/>
  <c r="V69" i="6"/>
  <c r="V90" i="6"/>
  <c r="V78" i="6"/>
  <c r="V86" i="6"/>
  <c r="S81" i="6"/>
  <c r="U6" i="6"/>
  <c r="M7" i="6"/>
  <c r="T7" i="6" s="1"/>
  <c r="L8" i="6"/>
  <c r="S8" i="6" s="1"/>
  <c r="M9" i="6"/>
  <c r="T9" i="6" s="1"/>
  <c r="L10" i="6"/>
  <c r="S10" i="6" s="1"/>
  <c r="J11" i="6"/>
  <c r="J21" i="6"/>
  <c r="U22" i="6"/>
  <c r="X23" i="6"/>
  <c r="K28" i="6"/>
  <c r="O29" i="6"/>
  <c r="I34" i="6"/>
  <c r="K35" i="6"/>
  <c r="W36" i="6"/>
  <c r="J41" i="6"/>
  <c r="U42" i="6"/>
  <c r="K48" i="6"/>
  <c r="I54" i="6"/>
  <c r="K55" i="6"/>
  <c r="W56" i="6"/>
  <c r="J61" i="6"/>
  <c r="H66" i="6"/>
  <c r="R66" i="6" s="1"/>
  <c r="G66" i="6"/>
  <c r="I66" i="6"/>
  <c r="F66" i="6"/>
  <c r="U66" i="6" s="1"/>
  <c r="M67" i="6"/>
  <c r="M74" i="6"/>
  <c r="T74" i="6" s="1"/>
  <c r="H81" i="6"/>
  <c r="N87" i="6"/>
  <c r="K93" i="6"/>
  <c r="J107" i="6"/>
  <c r="I107" i="6"/>
  <c r="H107" i="6"/>
  <c r="M107" i="6"/>
  <c r="S109" i="6"/>
  <c r="D120" i="6"/>
  <c r="E120" i="6" s="1"/>
  <c r="U39" i="6"/>
  <c r="K49" i="6"/>
  <c r="J49" i="6"/>
  <c r="X5" i="6"/>
  <c r="N7" i="6"/>
  <c r="U7" i="6" s="1"/>
  <c r="N8" i="6"/>
  <c r="U8" i="6" s="1"/>
  <c r="N9" i="6"/>
  <c r="U9" i="6" s="1"/>
  <c r="M10" i="6"/>
  <c r="T10" i="6" s="1"/>
  <c r="K11" i="6"/>
  <c r="R13" i="6"/>
  <c r="K21" i="6"/>
  <c r="V22" i="6"/>
  <c r="L28" i="6"/>
  <c r="P29" i="6"/>
  <c r="J34" i="6"/>
  <c r="N35" i="6"/>
  <c r="U35" i="6" s="1"/>
  <c r="K41" i="6"/>
  <c r="V42" i="6"/>
  <c r="L48" i="6"/>
  <c r="S48" i="6" s="1"/>
  <c r="P49" i="6"/>
  <c r="J54" i="6"/>
  <c r="N55" i="6"/>
  <c r="K61" i="6"/>
  <c r="U62" i="6"/>
  <c r="N67" i="6"/>
  <c r="M72" i="6"/>
  <c r="O72" i="6"/>
  <c r="N72" i="6"/>
  <c r="L72" i="6"/>
  <c r="N74" i="6"/>
  <c r="I81" i="6"/>
  <c r="L93" i="6"/>
  <c r="R95" i="6"/>
  <c r="J113" i="6"/>
  <c r="I113" i="6"/>
  <c r="H113" i="6"/>
  <c r="R113" i="6" s="1"/>
  <c r="L113" i="6"/>
  <c r="S113" i="6" s="1"/>
  <c r="F9" i="6"/>
  <c r="O7" i="6"/>
  <c r="V7" i="6" s="1"/>
  <c r="P8" i="6"/>
  <c r="W8" i="6" s="1"/>
  <c r="O9" i="6"/>
  <c r="V9" i="6" s="1"/>
  <c r="N10" i="6"/>
  <c r="U10" i="6" s="1"/>
  <c r="L11" i="6"/>
  <c r="S11" i="6" s="1"/>
  <c r="L21" i="6"/>
  <c r="S21" i="6" s="1"/>
  <c r="W22" i="6"/>
  <c r="U25" i="6"/>
  <c r="O28" i="6"/>
  <c r="Q29" i="6"/>
  <c r="K34" i="6"/>
  <c r="O35" i="6"/>
  <c r="V35" i="6" s="1"/>
  <c r="L41" i="6"/>
  <c r="W42" i="6"/>
  <c r="U45" i="6"/>
  <c r="O48" i="6"/>
  <c r="V48" i="6" s="1"/>
  <c r="Q49" i="6"/>
  <c r="X49" i="6" s="1"/>
  <c r="K54" i="6"/>
  <c r="O55" i="6"/>
  <c r="L61" i="6"/>
  <c r="V62" i="6"/>
  <c r="T63" i="6"/>
  <c r="O67" i="6"/>
  <c r="V67" i="6" s="1"/>
  <c r="O74" i="6"/>
  <c r="V74" i="6" s="1"/>
  <c r="T78" i="6"/>
  <c r="K80" i="6"/>
  <c r="O80" i="6"/>
  <c r="V80" i="6" s="1"/>
  <c r="J81" i="6"/>
  <c r="S83" i="6"/>
  <c r="N99" i="6"/>
  <c r="U99" i="6" s="1"/>
  <c r="M99" i="6"/>
  <c r="T99" i="6" s="1"/>
  <c r="L99" i="6"/>
  <c r="S99" i="6" s="1"/>
  <c r="Q7" i="6"/>
  <c r="P9" i="6"/>
  <c r="W9" i="6" s="1"/>
  <c r="O10" i="6"/>
  <c r="V10" i="6" s="1"/>
  <c r="M11" i="6"/>
  <c r="T11" i="6" s="1"/>
  <c r="J13" i="6"/>
  <c r="M21" i="6"/>
  <c r="T21" i="6" s="1"/>
  <c r="X22" i="6"/>
  <c r="K27" i="6"/>
  <c r="P28" i="6"/>
  <c r="W28" i="6" s="1"/>
  <c r="R33" i="6"/>
  <c r="L34" i="6"/>
  <c r="S34" i="6" s="1"/>
  <c r="P35" i="6"/>
  <c r="W35" i="6" s="1"/>
  <c r="V38" i="6"/>
  <c r="F39" i="6"/>
  <c r="M41" i="6"/>
  <c r="K47" i="6"/>
  <c r="P48" i="6"/>
  <c r="R53" i="6"/>
  <c r="L54" i="6"/>
  <c r="S54" i="6" s="1"/>
  <c r="P55" i="6"/>
  <c r="V58" i="6"/>
  <c r="F59" i="6"/>
  <c r="V59" i="6" s="1"/>
  <c r="M61" i="6"/>
  <c r="W62" i="6"/>
  <c r="K66" i="6"/>
  <c r="J73" i="6"/>
  <c r="P74" i="6"/>
  <c r="N78" i="6"/>
  <c r="K81" i="6"/>
  <c r="T83" i="6"/>
  <c r="F107" i="6"/>
  <c r="G109" i="6"/>
  <c r="R96" i="6"/>
  <c r="F3" i="6"/>
  <c r="T3" i="6" s="1"/>
  <c r="C122" i="6"/>
  <c r="P10" i="6"/>
  <c r="N11" i="6"/>
  <c r="U11" i="6" s="1"/>
  <c r="K13" i="6"/>
  <c r="P21" i="6"/>
  <c r="W21" i="6" s="1"/>
  <c r="L27" i="6"/>
  <c r="W31" i="6"/>
  <c r="F32" i="6"/>
  <c r="T32" i="6" s="1"/>
  <c r="M34" i="6"/>
  <c r="T34" i="6" s="1"/>
  <c r="G39" i="6"/>
  <c r="P41" i="6"/>
  <c r="L47" i="6"/>
  <c r="S47" i="6" s="1"/>
  <c r="W51" i="6"/>
  <c r="F52" i="6"/>
  <c r="T52" i="6" s="1"/>
  <c r="M54" i="6"/>
  <c r="T54" i="6" s="1"/>
  <c r="G59" i="6"/>
  <c r="P61" i="6"/>
  <c r="W61" i="6" s="1"/>
  <c r="B124" i="6"/>
  <c r="E65" i="6"/>
  <c r="L66" i="6"/>
  <c r="F72" i="6"/>
  <c r="W72" i="6" s="1"/>
  <c r="M81" i="6"/>
  <c r="U83" i="6"/>
  <c r="I85" i="6"/>
  <c r="H85" i="6"/>
  <c r="R85" i="6" s="1"/>
  <c r="G85" i="6"/>
  <c r="I88" i="6"/>
  <c r="H88" i="6"/>
  <c r="R88" i="6" s="1"/>
  <c r="G88" i="6"/>
  <c r="M104" i="6"/>
  <c r="T104" i="6" s="1"/>
  <c r="L104" i="6"/>
  <c r="S104" i="6" s="1"/>
  <c r="G107" i="6"/>
  <c r="H109" i="6"/>
  <c r="R109" i="6" s="1"/>
  <c r="F113" i="6"/>
  <c r="H3" i="6"/>
  <c r="R3" i="6" s="1"/>
  <c r="E4" i="6"/>
  <c r="P11" i="6"/>
  <c r="W11" i="6" s="1"/>
  <c r="T13" i="6"/>
  <c r="H32" i="6"/>
  <c r="R32" i="6" s="1"/>
  <c r="S33" i="6"/>
  <c r="G37" i="6"/>
  <c r="F37" i="6"/>
  <c r="H52" i="6"/>
  <c r="S53" i="6"/>
  <c r="Q54" i="6"/>
  <c r="X54" i="6" s="1"/>
  <c r="G57" i="6"/>
  <c r="F57" i="6"/>
  <c r="S57" i="6" s="1"/>
  <c r="H72" i="6"/>
  <c r="G76" i="6"/>
  <c r="G80" i="6"/>
  <c r="O81" i="6"/>
  <c r="V81" i="6" s="1"/>
  <c r="I94" i="6"/>
  <c r="H94" i="6"/>
  <c r="G94" i="6"/>
  <c r="F94" i="6"/>
  <c r="T94" i="6" s="1"/>
  <c r="G99" i="6"/>
  <c r="L107" i="6"/>
  <c r="K113" i="6"/>
  <c r="I3" i="6"/>
  <c r="F4" i="6"/>
  <c r="U4" i="6" s="1"/>
  <c r="Q11" i="6"/>
  <c r="N13" i="6"/>
  <c r="U13" i="6" s="1"/>
  <c r="G24" i="6"/>
  <c r="S26" i="6"/>
  <c r="H30" i="6"/>
  <c r="R30" i="6" s="1"/>
  <c r="G30" i="6"/>
  <c r="G31" i="6"/>
  <c r="I32" i="6"/>
  <c r="J39" i="6"/>
  <c r="G44" i="6"/>
  <c r="S46" i="6"/>
  <c r="H50" i="6"/>
  <c r="R50" i="6" s="1"/>
  <c r="G50" i="6"/>
  <c r="G51" i="6"/>
  <c r="I52" i="6"/>
  <c r="J59" i="6"/>
  <c r="O66" i="6"/>
  <c r="V66" i="6" s="1"/>
  <c r="F69" i="6"/>
  <c r="I72" i="6"/>
  <c r="H76" i="6"/>
  <c r="R76" i="6" s="1"/>
  <c r="H80" i="6"/>
  <c r="R80" i="6" s="1"/>
  <c r="J85" i="6"/>
  <c r="F88" i="6"/>
  <c r="U88" i="6" s="1"/>
  <c r="L91" i="6"/>
  <c r="S91" i="6" s="1"/>
  <c r="K91" i="6"/>
  <c r="J91" i="6"/>
  <c r="O91" i="6"/>
  <c r="V91" i="6" s="1"/>
  <c r="N91" i="6"/>
  <c r="U91" i="6" s="1"/>
  <c r="E94" i="6"/>
  <c r="H99" i="6"/>
  <c r="R99" i="6" s="1"/>
  <c r="G104" i="6"/>
  <c r="K109" i="6"/>
  <c r="E123" i="6"/>
  <c r="U59" i="6"/>
  <c r="T66" i="6"/>
  <c r="U81" i="6"/>
  <c r="J3" i="6"/>
  <c r="G4" i="6"/>
  <c r="O13" i="6"/>
  <c r="V13" i="6" s="1"/>
  <c r="N14" i="6"/>
  <c r="U14" i="6" s="1"/>
  <c r="O20" i="6"/>
  <c r="V20" i="6" s="1"/>
  <c r="I23" i="6"/>
  <c r="H23" i="6"/>
  <c r="R23" i="6" s="1"/>
  <c r="T26" i="6"/>
  <c r="H31" i="6"/>
  <c r="R31" i="6" s="1"/>
  <c r="J32" i="6"/>
  <c r="K39" i="6"/>
  <c r="O40" i="6"/>
  <c r="V40" i="6" s="1"/>
  <c r="I43" i="6"/>
  <c r="H43" i="6"/>
  <c r="R43" i="6" s="1"/>
  <c r="T46" i="6"/>
  <c r="H51" i="6"/>
  <c r="R51" i="6" s="1"/>
  <c r="J52" i="6"/>
  <c r="K59" i="6"/>
  <c r="O60" i="6"/>
  <c r="V60" i="6" s="1"/>
  <c r="K63" i="6"/>
  <c r="C124" i="6"/>
  <c r="J63" i="6"/>
  <c r="P66" i="6"/>
  <c r="J72" i="6"/>
  <c r="J76" i="6"/>
  <c r="S77" i="6"/>
  <c r="I80" i="6"/>
  <c r="K85" i="6"/>
  <c r="J88" i="6"/>
  <c r="V89" i="6"/>
  <c r="J94" i="6"/>
  <c r="U97" i="6"/>
  <c r="I99" i="6"/>
  <c r="H104" i="6"/>
  <c r="R104" i="6" s="1"/>
  <c r="O11" i="6"/>
  <c r="V11" i="6" s="1"/>
  <c r="F24" i="6"/>
  <c r="Q24" i="6"/>
  <c r="X24" i="6" s="1"/>
  <c r="F44" i="6"/>
  <c r="R44" i="6" s="1"/>
  <c r="Q44" i="6"/>
  <c r="X44" i="6" s="1"/>
  <c r="P69" i="6"/>
  <c r="W69" i="6" s="1"/>
  <c r="N69" i="6"/>
  <c r="U69" i="6" s="1"/>
  <c r="M69" i="6"/>
  <c r="T69" i="6" s="1"/>
  <c r="L69" i="6"/>
  <c r="H4" i="6"/>
  <c r="R4" i="6" s="1"/>
  <c r="P13" i="6"/>
  <c r="W13" i="6" s="1"/>
  <c r="T19" i="6"/>
  <c r="I24" i="6"/>
  <c r="I31" i="6"/>
  <c r="K32" i="6"/>
  <c r="V33" i="6"/>
  <c r="J36" i="6"/>
  <c r="I36" i="6"/>
  <c r="H37" i="6"/>
  <c r="R37" i="6" s="1"/>
  <c r="M39" i="6"/>
  <c r="T39" i="6" s="1"/>
  <c r="I44" i="6"/>
  <c r="I51" i="6"/>
  <c r="K52" i="6"/>
  <c r="V53" i="6"/>
  <c r="J56" i="6"/>
  <c r="I56" i="6"/>
  <c r="H57" i="6"/>
  <c r="R57" i="6" s="1"/>
  <c r="M59" i="6"/>
  <c r="T59" i="6" s="1"/>
  <c r="D124" i="6"/>
  <c r="H69" i="6"/>
  <c r="R69" i="6" s="1"/>
  <c r="K72" i="6"/>
  <c r="F75" i="6"/>
  <c r="R75" i="6" s="1"/>
  <c r="K76" i="6"/>
  <c r="J79" i="6"/>
  <c r="M79" i="6"/>
  <c r="T79" i="6" s="1"/>
  <c r="L79" i="6"/>
  <c r="S79" i="6" s="1"/>
  <c r="K79" i="6"/>
  <c r="J80" i="6"/>
  <c r="L85" i="6"/>
  <c r="S85" i="6" s="1"/>
  <c r="K88" i="6"/>
  <c r="K94" i="6"/>
  <c r="J99" i="6"/>
  <c r="S102" i="6"/>
  <c r="I104" i="6"/>
  <c r="M35" i="6"/>
  <c r="T35" i="6" s="1"/>
  <c r="L35" i="6"/>
  <c r="S35" i="6" s="1"/>
  <c r="C123" i="6"/>
  <c r="M55" i="6"/>
  <c r="L55" i="6"/>
  <c r="W59" i="6"/>
  <c r="G68" i="6"/>
  <c r="R91" i="6"/>
  <c r="F7" i="6"/>
  <c r="W7" i="6" s="1"/>
  <c r="I10" i="6"/>
  <c r="G10" i="6"/>
  <c r="N28" i="6"/>
  <c r="U28" i="6" s="1"/>
  <c r="M28" i="6"/>
  <c r="T28" i="6" s="1"/>
  <c r="F29" i="6"/>
  <c r="T29" i="6" s="1"/>
  <c r="W32" i="6"/>
  <c r="N48" i="6"/>
  <c r="U48" i="6" s="1"/>
  <c r="M48" i="6"/>
  <c r="F49" i="6"/>
  <c r="V49" i="6" s="1"/>
  <c r="W52" i="6"/>
  <c r="N93" i="6"/>
  <c r="F93" i="6"/>
  <c r="T93" i="6" s="1"/>
  <c r="K98" i="6"/>
  <c r="J98" i="6"/>
  <c r="I98" i="6"/>
  <c r="N98" i="6"/>
  <c r="U98" i="6" s="1"/>
  <c r="M98" i="6"/>
  <c r="L98" i="6"/>
  <c r="H98" i="6"/>
  <c r="F68" i="6"/>
  <c r="M68" i="6"/>
  <c r="L68" i="6"/>
  <c r="K68" i="6"/>
  <c r="O8" i="6"/>
  <c r="V8" i="6" s="1"/>
  <c r="M8" i="6"/>
  <c r="T8" i="6" s="1"/>
  <c r="U32" i="6"/>
  <c r="U52" i="6"/>
  <c r="L9" i="6"/>
  <c r="S9" i="6" s="1"/>
  <c r="J9" i="6"/>
  <c r="V32" i="6"/>
  <c r="W39" i="6"/>
  <c r="V52" i="6"/>
  <c r="G7" i="6"/>
  <c r="F8" i="6"/>
  <c r="O21" i="6"/>
  <c r="V21" i="6" s="1"/>
  <c r="N21" i="6"/>
  <c r="F21" i="6"/>
  <c r="E28" i="6"/>
  <c r="G29" i="6"/>
  <c r="S30" i="6"/>
  <c r="E35" i="6"/>
  <c r="O41" i="6"/>
  <c r="N41" i="6"/>
  <c r="F41" i="6"/>
  <c r="E48" i="6"/>
  <c r="G49" i="6"/>
  <c r="S50" i="6"/>
  <c r="O61" i="6"/>
  <c r="N61" i="6"/>
  <c r="F61" i="6"/>
  <c r="I68" i="6"/>
  <c r="F74" i="6"/>
  <c r="S75" i="6"/>
  <c r="H87" i="6"/>
  <c r="R87" i="6" s="1"/>
  <c r="K90" i="6"/>
  <c r="J90" i="6"/>
  <c r="I90" i="6"/>
  <c r="L90" i="6"/>
  <c r="S90" i="6" s="1"/>
  <c r="H90" i="6"/>
  <c r="R90" i="6" s="1"/>
  <c r="G90" i="6"/>
  <c r="R108" i="6"/>
  <c r="F48" i="6"/>
  <c r="F55" i="6"/>
  <c r="G67" i="6"/>
  <c r="F67" i="6"/>
  <c r="W67" i="6" s="1"/>
  <c r="K67" i="6"/>
  <c r="J67" i="6"/>
  <c r="I67" i="6"/>
  <c r="J68" i="6"/>
  <c r="G74" i="6"/>
  <c r="T75" i="6"/>
  <c r="I87" i="6"/>
  <c r="I7" i="6"/>
  <c r="H8" i="6"/>
  <c r="R8" i="6" s="1"/>
  <c r="G9" i="6"/>
  <c r="X9" i="6" s="1"/>
  <c r="F10" i="6"/>
  <c r="T23" i="6"/>
  <c r="P24" i="6"/>
  <c r="Q27" i="6"/>
  <c r="X27" i="6" s="1"/>
  <c r="P27" i="6"/>
  <c r="H27" i="6"/>
  <c r="G28" i="6"/>
  <c r="X28" i="6" s="1"/>
  <c r="I29" i="6"/>
  <c r="X31" i="6"/>
  <c r="G35" i="6"/>
  <c r="O37" i="6"/>
  <c r="V37" i="6" s="1"/>
  <c r="T43" i="6"/>
  <c r="P44" i="6"/>
  <c r="Q47" i="6"/>
  <c r="X47" i="6" s="1"/>
  <c r="P47" i="6"/>
  <c r="W47" i="6" s="1"/>
  <c r="H47" i="6"/>
  <c r="R47" i="6" s="1"/>
  <c r="G48" i="6"/>
  <c r="I49" i="6"/>
  <c r="G55" i="6"/>
  <c r="O57" i="6"/>
  <c r="V57" i="6" s="1"/>
  <c r="N68" i="6"/>
  <c r="L73" i="6"/>
  <c r="P73" i="6"/>
  <c r="O73" i="6"/>
  <c r="H74" i="6"/>
  <c r="N75" i="6"/>
  <c r="U75" i="6" s="1"/>
  <c r="I78" i="6"/>
  <c r="H78" i="6"/>
  <c r="R78" i="6" s="1"/>
  <c r="G78" i="6"/>
  <c r="F78" i="6"/>
  <c r="S78" i="6" s="1"/>
  <c r="U79" i="6"/>
  <c r="G93" i="6"/>
  <c r="L95" i="6"/>
  <c r="S95" i="6" s="1"/>
  <c r="N95" i="6"/>
  <c r="U95" i="6" s="1"/>
  <c r="M95" i="6"/>
  <c r="T95" i="6" s="1"/>
  <c r="K95" i="6"/>
  <c r="F98" i="6"/>
  <c r="R116" i="6"/>
  <c r="E36" i="6"/>
  <c r="V39" i="6"/>
  <c r="G87" i="6"/>
  <c r="F87" i="6"/>
  <c r="O87" i="6"/>
  <c r="V87" i="6" s="1"/>
  <c r="F28" i="6"/>
  <c r="F35" i="6"/>
  <c r="H49" i="6"/>
  <c r="P4" i="6"/>
  <c r="M5" i="6"/>
  <c r="T5" i="6" s="1"/>
  <c r="J7" i="6"/>
  <c r="I8" i="6"/>
  <c r="H9" i="6"/>
  <c r="R9" i="6" s="1"/>
  <c r="H10" i="6"/>
  <c r="R10" i="6" s="1"/>
  <c r="G11" i="6"/>
  <c r="Q14" i="6"/>
  <c r="X14" i="6" s="1"/>
  <c r="O14" i="6"/>
  <c r="V14" i="6" s="1"/>
  <c r="Q20" i="6"/>
  <c r="X20" i="6" s="1"/>
  <c r="I20" i="6"/>
  <c r="G21" i="6"/>
  <c r="X21" i="6" s="1"/>
  <c r="H28" i="6"/>
  <c r="R28" i="6" s="1"/>
  <c r="L29" i="6"/>
  <c r="O30" i="6"/>
  <c r="V30" i="6" s="1"/>
  <c r="H35" i="6"/>
  <c r="P37" i="6"/>
  <c r="W37" i="6" s="1"/>
  <c r="Q40" i="6"/>
  <c r="X40" i="6" s="1"/>
  <c r="I40" i="6"/>
  <c r="G41" i="6"/>
  <c r="H48" i="6"/>
  <c r="R48" i="6" s="1"/>
  <c r="L49" i="6"/>
  <c r="S49" i="6" s="1"/>
  <c r="O50" i="6"/>
  <c r="V50" i="6" s="1"/>
  <c r="H55" i="6"/>
  <c r="P57" i="6"/>
  <c r="W57" i="6" s="1"/>
  <c r="Q60" i="6"/>
  <c r="X60" i="6" s="1"/>
  <c r="I60" i="6"/>
  <c r="G61" i="6"/>
  <c r="O68" i="6"/>
  <c r="V68" i="6" s="1"/>
  <c r="T71" i="6"/>
  <c r="I74" i="6"/>
  <c r="O75" i="6"/>
  <c r="V75" i="6" s="1"/>
  <c r="K87" i="6"/>
  <c r="F90" i="6"/>
  <c r="H93" i="6"/>
  <c r="T96" i="6"/>
  <c r="G98" i="6"/>
  <c r="E119" i="6"/>
  <c r="H7" i="6"/>
  <c r="O24" i="6"/>
  <c r="V24" i="6" s="1"/>
  <c r="H29" i="6"/>
  <c r="P34" i="6"/>
  <c r="W34" i="6" s="1"/>
  <c r="O34" i="6"/>
  <c r="V34" i="6" s="1"/>
  <c r="G34" i="6"/>
  <c r="C120" i="6"/>
  <c r="Q4" i="6"/>
  <c r="N5" i="6"/>
  <c r="U5" i="6" s="1"/>
  <c r="L6" i="6"/>
  <c r="S6" i="6" s="1"/>
  <c r="K7" i="6"/>
  <c r="J8" i="6"/>
  <c r="I9" i="6"/>
  <c r="J10" i="6"/>
  <c r="H11" i="6"/>
  <c r="R11" i="6" s="1"/>
  <c r="N15" i="6"/>
  <c r="U15" i="6" s="1"/>
  <c r="L15" i="6"/>
  <c r="S15" i="6" s="1"/>
  <c r="H21" i="6"/>
  <c r="R21" i="6" s="1"/>
  <c r="O23" i="6"/>
  <c r="V23" i="6" s="1"/>
  <c r="I28" i="6"/>
  <c r="P30" i="6"/>
  <c r="W30" i="6" s="1"/>
  <c r="F34" i="6"/>
  <c r="U34" i="6" s="1"/>
  <c r="I35" i="6"/>
  <c r="N36" i="6"/>
  <c r="U36" i="6" s="1"/>
  <c r="Q37" i="6"/>
  <c r="X37" i="6" s="1"/>
  <c r="H41" i="6"/>
  <c r="O43" i="6"/>
  <c r="V43" i="6" s="1"/>
  <c r="I48" i="6"/>
  <c r="M49" i="6"/>
  <c r="T49" i="6" s="1"/>
  <c r="P50" i="6"/>
  <c r="W50" i="6" s="1"/>
  <c r="I55" i="6"/>
  <c r="N56" i="6"/>
  <c r="U56" i="6" s="1"/>
  <c r="Q57" i="6"/>
  <c r="X57" i="6" s="1"/>
  <c r="H61" i="6"/>
  <c r="O63" i="6"/>
  <c r="V63" i="6" s="1"/>
  <c r="H67" i="6"/>
  <c r="P68" i="6"/>
  <c r="J74" i="6"/>
  <c r="P75" i="6"/>
  <c r="W75" i="6" s="1"/>
  <c r="F81" i="6"/>
  <c r="F86" i="6"/>
  <c r="U86" i="6" s="1"/>
  <c r="M86" i="6"/>
  <c r="T86" i="6" s="1"/>
  <c r="L86" i="6"/>
  <c r="S86" i="6" s="1"/>
  <c r="K86" i="6"/>
  <c r="L87" i="6"/>
  <c r="S87" i="6" s="1"/>
  <c r="M90" i="6"/>
  <c r="T90" i="6" s="1"/>
  <c r="I93" i="6"/>
  <c r="U96" i="6"/>
  <c r="R100" i="6"/>
  <c r="S101" i="6"/>
  <c r="S108" i="6"/>
  <c r="G119" i="6"/>
  <c r="K29" i="6"/>
  <c r="J29" i="6"/>
  <c r="G8" i="6"/>
  <c r="X8" i="6" s="1"/>
  <c r="O44" i="6"/>
  <c r="P54" i="6"/>
  <c r="W54" i="6" s="1"/>
  <c r="O54" i="6"/>
  <c r="V54" i="6" s="1"/>
  <c r="G54" i="6"/>
  <c r="L7" i="6"/>
  <c r="K8" i="6"/>
  <c r="K9" i="6"/>
  <c r="K10" i="6"/>
  <c r="I11" i="6"/>
  <c r="K16" i="6"/>
  <c r="J16" i="6"/>
  <c r="I16" i="6"/>
  <c r="H17" i="6"/>
  <c r="G17" i="6"/>
  <c r="X17" i="6" s="1"/>
  <c r="F17" i="6"/>
  <c r="I21" i="6"/>
  <c r="P23" i="6"/>
  <c r="W23" i="6" s="1"/>
  <c r="F27" i="6"/>
  <c r="J28" i="6"/>
  <c r="N29" i="6"/>
  <c r="Q30" i="6"/>
  <c r="H34" i="6"/>
  <c r="J35" i="6"/>
  <c r="O36" i="6"/>
  <c r="V36" i="6" s="1"/>
  <c r="I41" i="6"/>
  <c r="P43" i="6"/>
  <c r="W43" i="6" s="1"/>
  <c r="F47" i="6"/>
  <c r="J48" i="6"/>
  <c r="N49" i="6"/>
  <c r="U49" i="6" s="1"/>
  <c r="Q50" i="6"/>
  <c r="X50" i="6" s="1"/>
  <c r="H54" i="6"/>
  <c r="R54" i="6" s="1"/>
  <c r="J55" i="6"/>
  <c r="O56" i="6"/>
  <c r="V56" i="6" s="1"/>
  <c r="I61" i="6"/>
  <c r="P63" i="6"/>
  <c r="W63" i="6" s="1"/>
  <c r="L67" i="6"/>
  <c r="S67" i="6" s="1"/>
  <c r="F73" i="6"/>
  <c r="R73" i="6" s="1"/>
  <c r="L74" i="6"/>
  <c r="S74" i="6" s="1"/>
  <c r="J78" i="6"/>
  <c r="G81" i="6"/>
  <c r="E86" i="6"/>
  <c r="M87" i="6"/>
  <c r="T87" i="6" s="1"/>
  <c r="N90" i="6"/>
  <c r="U90" i="6" s="1"/>
  <c r="J93" i="6"/>
  <c r="F95" i="6"/>
  <c r="I65" i="6"/>
  <c r="H65" i="6"/>
  <c r="R65" i="6" s="1"/>
  <c r="J103" i="6"/>
  <c r="I103" i="6"/>
  <c r="H103" i="6"/>
  <c r="R103" i="6" s="1"/>
  <c r="M103" i="6"/>
  <c r="T103" i="6" s="1"/>
  <c r="R77" i="6"/>
  <c r="J89" i="6"/>
  <c r="I89" i="6"/>
  <c r="H89" i="6"/>
  <c r="R89" i="6" s="1"/>
  <c r="E108" i="6"/>
  <c r="I110" i="6"/>
  <c r="H110" i="6"/>
  <c r="R110" i="6" s="1"/>
  <c r="G110" i="6"/>
  <c r="L110" i="6"/>
  <c r="S110" i="6" s="1"/>
  <c r="J64" i="6"/>
  <c r="I64" i="6"/>
  <c r="H97" i="6"/>
  <c r="G97" i="6"/>
  <c r="F97" i="6"/>
  <c r="K97" i="6"/>
  <c r="K22" i="6"/>
  <c r="K42" i="6"/>
  <c r="D123" i="5"/>
  <c r="F3" i="5"/>
  <c r="F5" i="5"/>
  <c r="F7" i="5"/>
  <c r="F9" i="5"/>
  <c r="F11" i="5"/>
  <c r="F13" i="5"/>
  <c r="F15" i="5"/>
  <c r="F17" i="5"/>
  <c r="F19" i="5"/>
  <c r="F21" i="5"/>
  <c r="F23" i="5"/>
  <c r="F25" i="5"/>
  <c r="F27" i="5"/>
  <c r="F29" i="5"/>
  <c r="F31" i="5"/>
  <c r="F33" i="5"/>
  <c r="F35" i="5"/>
  <c r="F37" i="5"/>
  <c r="F39" i="5"/>
  <c r="F41" i="5"/>
  <c r="F43" i="5"/>
  <c r="F45" i="5"/>
  <c r="F47" i="5"/>
  <c r="F49" i="5"/>
  <c r="F51" i="5"/>
  <c r="F53" i="5"/>
  <c r="F55" i="5"/>
  <c r="F57" i="5"/>
  <c r="F59" i="5"/>
  <c r="F61" i="5"/>
  <c r="F63" i="5"/>
  <c r="F65" i="5"/>
  <c r="F67" i="5"/>
  <c r="F69" i="5"/>
  <c r="F71" i="5"/>
  <c r="F73" i="5"/>
  <c r="F75" i="5"/>
  <c r="F77" i="5"/>
  <c r="F79" i="5"/>
  <c r="F81" i="5"/>
  <c r="F83" i="5"/>
  <c r="F85" i="5"/>
  <c r="F87" i="5"/>
  <c r="F89" i="5"/>
  <c r="F91" i="5"/>
  <c r="F93" i="5"/>
  <c r="F95" i="5"/>
  <c r="F97" i="5"/>
  <c r="F99" i="5"/>
  <c r="F101" i="5"/>
  <c r="F103" i="5"/>
  <c r="F105" i="5"/>
  <c r="F107" i="5"/>
  <c r="F109" i="5"/>
  <c r="F111" i="5"/>
  <c r="F113" i="5"/>
  <c r="F115" i="5"/>
  <c r="F117" i="5"/>
  <c r="F119" i="5"/>
  <c r="F121" i="5"/>
  <c r="F123" i="5"/>
  <c r="D121" i="5"/>
  <c r="G121" i="5"/>
  <c r="G123" i="5"/>
  <c r="H3" i="5"/>
  <c r="H5" i="5"/>
  <c r="H7" i="5"/>
  <c r="H9" i="5"/>
  <c r="H11" i="5"/>
  <c r="H13" i="5"/>
  <c r="H15" i="5"/>
  <c r="H17" i="5"/>
  <c r="H19" i="5"/>
  <c r="H21" i="5"/>
  <c r="H23" i="5"/>
  <c r="H25" i="5"/>
  <c r="H27" i="5"/>
  <c r="H29" i="5"/>
  <c r="H31" i="5"/>
  <c r="H33" i="5"/>
  <c r="H35" i="5"/>
  <c r="H37" i="5"/>
  <c r="H39" i="5"/>
  <c r="H41" i="5"/>
  <c r="H43" i="5"/>
  <c r="H45" i="5"/>
  <c r="H47" i="5"/>
  <c r="H49" i="5"/>
  <c r="H51" i="5"/>
  <c r="H53" i="5"/>
  <c r="H55" i="5"/>
  <c r="H57" i="5"/>
  <c r="H59" i="5"/>
  <c r="H61" i="5"/>
  <c r="H63" i="5"/>
  <c r="H65" i="5"/>
  <c r="H67" i="5"/>
  <c r="H69" i="5"/>
  <c r="H71" i="5"/>
  <c r="H73" i="5"/>
  <c r="H75" i="5"/>
  <c r="H77" i="5"/>
  <c r="H79" i="5"/>
  <c r="H81" i="5"/>
  <c r="H83" i="5"/>
  <c r="H85" i="5"/>
  <c r="H87" i="5"/>
  <c r="H89" i="5"/>
  <c r="H91" i="5"/>
  <c r="H93" i="5"/>
  <c r="H95" i="5"/>
  <c r="H97" i="5"/>
  <c r="H99" i="5"/>
  <c r="H101" i="5"/>
  <c r="H103" i="5"/>
  <c r="H105" i="5"/>
  <c r="H107" i="5"/>
  <c r="H109" i="5"/>
  <c r="H111" i="5"/>
  <c r="H113" i="5"/>
  <c r="H115" i="5"/>
  <c r="H117" i="5"/>
  <c r="H119" i="5"/>
  <c r="H121" i="5"/>
  <c r="H123" i="5"/>
  <c r="B123" i="5"/>
  <c r="D5" i="5"/>
  <c r="I123" i="5"/>
  <c r="J3" i="5"/>
  <c r="J5" i="5"/>
  <c r="J7" i="5"/>
  <c r="J9" i="5"/>
  <c r="J11" i="5"/>
  <c r="J13" i="5"/>
  <c r="J15" i="5"/>
  <c r="J17" i="5"/>
  <c r="J19" i="5"/>
  <c r="J21" i="5"/>
  <c r="J23" i="5"/>
  <c r="J25" i="5"/>
  <c r="J27" i="5"/>
  <c r="J29" i="5"/>
  <c r="J31" i="5"/>
  <c r="J33" i="5"/>
  <c r="J35" i="5"/>
  <c r="J37" i="5"/>
  <c r="J39" i="5"/>
  <c r="J41" i="5"/>
  <c r="J43" i="5"/>
  <c r="J45" i="5"/>
  <c r="J47" i="5"/>
  <c r="J49" i="5"/>
  <c r="J51" i="5"/>
  <c r="J53" i="5"/>
  <c r="J55" i="5"/>
  <c r="J57" i="5"/>
  <c r="J59" i="5"/>
  <c r="J61" i="5"/>
  <c r="J63" i="5"/>
  <c r="J65" i="5"/>
  <c r="J67" i="5"/>
  <c r="J69" i="5"/>
  <c r="J71" i="5"/>
  <c r="J73" i="5"/>
  <c r="J75" i="5"/>
  <c r="J77" i="5"/>
  <c r="J79" i="5"/>
  <c r="J81" i="5"/>
  <c r="J83" i="5"/>
  <c r="J85" i="5"/>
  <c r="J87" i="5"/>
  <c r="J89" i="5"/>
  <c r="J91" i="5"/>
  <c r="J93" i="5"/>
  <c r="J95" i="5"/>
  <c r="J97" i="5"/>
  <c r="J99" i="5"/>
  <c r="J101" i="5"/>
  <c r="J103" i="5"/>
  <c r="J105" i="5"/>
  <c r="J107" i="5"/>
  <c r="J109" i="5"/>
  <c r="J111" i="5"/>
  <c r="J113" i="5"/>
  <c r="J115" i="5"/>
  <c r="J117" i="5"/>
  <c r="J119" i="5"/>
  <c r="K3" i="5"/>
  <c r="K63" i="5"/>
  <c r="D63" i="5"/>
  <c r="B120" i="5"/>
  <c r="B122" i="5"/>
  <c r="J122" i="5" s="1"/>
  <c r="B124" i="5"/>
  <c r="J124" i="5" s="1"/>
  <c r="D3" i="5"/>
  <c r="D120" i="5"/>
  <c r="D124" i="5"/>
  <c r="E120" i="5"/>
  <c r="E122" i="5"/>
  <c r="F120" i="5"/>
  <c r="F122" i="5"/>
  <c r="F124" i="5"/>
  <c r="G120" i="5"/>
  <c r="G122" i="5"/>
  <c r="G124" i="5"/>
  <c r="H4" i="5"/>
  <c r="H110" i="5"/>
  <c r="H112" i="5"/>
  <c r="H114" i="5"/>
  <c r="H116" i="5"/>
  <c r="H118" i="5"/>
  <c r="H120" i="5"/>
  <c r="H122" i="5"/>
  <c r="I120" i="5"/>
  <c r="J120" i="5" s="1"/>
  <c r="D3" i="4"/>
  <c r="D5" i="4"/>
  <c r="D7" i="4"/>
  <c r="D9" i="4"/>
  <c r="D11" i="4"/>
  <c r="D13" i="4"/>
  <c r="D15" i="4"/>
  <c r="D17" i="4"/>
  <c r="D19" i="4"/>
  <c r="D21" i="4"/>
  <c r="D23" i="4"/>
  <c r="D25" i="4"/>
  <c r="D27" i="4"/>
  <c r="D29" i="4"/>
  <c r="D31" i="4"/>
  <c r="D33" i="4"/>
  <c r="D35" i="4"/>
  <c r="D37" i="4"/>
  <c r="D39" i="4"/>
  <c r="D41" i="4"/>
  <c r="D43" i="4"/>
  <c r="D45" i="4"/>
  <c r="D47" i="4"/>
  <c r="D49" i="4"/>
  <c r="D51" i="4"/>
  <c r="D53" i="4"/>
  <c r="D55" i="4"/>
  <c r="D57" i="4"/>
  <c r="D59" i="4"/>
  <c r="D61" i="4"/>
  <c r="D63" i="4"/>
  <c r="D65" i="4"/>
  <c r="D67" i="4"/>
  <c r="D69" i="4"/>
  <c r="D71" i="4"/>
  <c r="D73" i="4"/>
  <c r="D75" i="4"/>
  <c r="D77" i="4"/>
  <c r="D79" i="4"/>
  <c r="D81" i="4"/>
  <c r="D83" i="4"/>
  <c r="D85" i="4"/>
  <c r="D87" i="4"/>
  <c r="D89" i="4"/>
  <c r="D91" i="4"/>
  <c r="D93" i="4"/>
  <c r="D95" i="4"/>
  <c r="D97" i="4"/>
  <c r="D99" i="4"/>
  <c r="D101" i="4"/>
  <c r="D103" i="4"/>
  <c r="D105" i="4"/>
  <c r="D107" i="4"/>
  <c r="D109" i="4"/>
  <c r="D111" i="4"/>
  <c r="D113" i="4"/>
  <c r="D115" i="4"/>
  <c r="D117" i="4"/>
  <c r="D119" i="4"/>
  <c r="D121" i="4"/>
  <c r="D123" i="4"/>
  <c r="B120" i="4"/>
  <c r="J120" i="4" s="1"/>
  <c r="F3" i="4"/>
  <c r="F5" i="4"/>
  <c r="F7" i="4"/>
  <c r="F9" i="4"/>
  <c r="F11" i="4"/>
  <c r="F13" i="4"/>
  <c r="F15" i="4"/>
  <c r="F17" i="4"/>
  <c r="F19" i="4"/>
  <c r="F21" i="4"/>
  <c r="F23" i="4"/>
  <c r="F25" i="4"/>
  <c r="F27" i="4"/>
  <c r="F29" i="4"/>
  <c r="F31" i="4"/>
  <c r="F33" i="4"/>
  <c r="F35" i="4"/>
  <c r="F37" i="4"/>
  <c r="F39" i="4"/>
  <c r="F41" i="4"/>
  <c r="F43" i="4"/>
  <c r="F45" i="4"/>
  <c r="F47" i="4"/>
  <c r="F49" i="4"/>
  <c r="F51" i="4"/>
  <c r="F53" i="4"/>
  <c r="F55" i="4"/>
  <c r="F57" i="4"/>
  <c r="F59" i="4"/>
  <c r="F61" i="4"/>
  <c r="F63" i="4"/>
  <c r="F65" i="4"/>
  <c r="F67" i="4"/>
  <c r="F69" i="4"/>
  <c r="F71" i="4"/>
  <c r="F73" i="4"/>
  <c r="F75" i="4"/>
  <c r="F77" i="4"/>
  <c r="F79" i="4"/>
  <c r="F81" i="4"/>
  <c r="F83" i="4"/>
  <c r="F85" i="4"/>
  <c r="F87" i="4"/>
  <c r="F89" i="4"/>
  <c r="F91" i="4"/>
  <c r="F93" i="4"/>
  <c r="F95" i="4"/>
  <c r="F97" i="4"/>
  <c r="F99" i="4"/>
  <c r="F101" i="4"/>
  <c r="F103" i="4"/>
  <c r="F105" i="4"/>
  <c r="F107" i="4"/>
  <c r="F109" i="4"/>
  <c r="F111" i="4"/>
  <c r="F113" i="4"/>
  <c r="F115" i="4"/>
  <c r="F117" i="4"/>
  <c r="F119" i="4"/>
  <c r="F121" i="4"/>
  <c r="F123" i="4"/>
  <c r="G123" i="4"/>
  <c r="H35" i="4"/>
  <c r="H63" i="4"/>
  <c r="H121" i="4"/>
  <c r="J3" i="4"/>
  <c r="J5" i="4"/>
  <c r="J7" i="4"/>
  <c r="J9" i="4"/>
  <c r="J11" i="4"/>
  <c r="J13" i="4"/>
  <c r="J15" i="4"/>
  <c r="J17" i="4"/>
  <c r="J19" i="4"/>
  <c r="J21" i="4"/>
  <c r="J23" i="4"/>
  <c r="J25" i="4"/>
  <c r="J27" i="4"/>
  <c r="J29" i="4"/>
  <c r="J31" i="4"/>
  <c r="J33" i="4"/>
  <c r="J35" i="4"/>
  <c r="J37" i="4"/>
  <c r="J39" i="4"/>
  <c r="J41" i="4"/>
  <c r="J43" i="4"/>
  <c r="J45" i="4"/>
  <c r="J47" i="4"/>
  <c r="J49" i="4"/>
  <c r="J51" i="4"/>
  <c r="J53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1" i="4"/>
  <c r="J93" i="4"/>
  <c r="J95" i="4"/>
  <c r="J97" i="4"/>
  <c r="J99" i="4"/>
  <c r="J101" i="4"/>
  <c r="J103" i="4"/>
  <c r="J105" i="4"/>
  <c r="J107" i="4"/>
  <c r="J109" i="4"/>
  <c r="J111" i="4"/>
  <c r="J113" i="4"/>
  <c r="J115" i="4"/>
  <c r="J117" i="4"/>
  <c r="J119" i="4"/>
  <c r="B121" i="4"/>
  <c r="J121" i="4" s="1"/>
  <c r="K121" i="4"/>
  <c r="D2" i="4"/>
  <c r="D4" i="4"/>
  <c r="D6" i="4"/>
  <c r="D8" i="4"/>
  <c r="D10" i="4"/>
  <c r="D12" i="4"/>
  <c r="D14" i="4"/>
  <c r="D16" i="4"/>
  <c r="D18" i="4"/>
  <c r="D20" i="4"/>
  <c r="D22" i="4"/>
  <c r="D24" i="4"/>
  <c r="D26" i="4"/>
  <c r="D28" i="4"/>
  <c r="D30" i="4"/>
  <c r="D32" i="4"/>
  <c r="D34" i="4"/>
  <c r="D36" i="4"/>
  <c r="D38" i="4"/>
  <c r="D40" i="4"/>
  <c r="D42" i="4"/>
  <c r="D44" i="4"/>
  <c r="D46" i="4"/>
  <c r="D48" i="4"/>
  <c r="D50" i="4"/>
  <c r="D52" i="4"/>
  <c r="D54" i="4"/>
  <c r="D56" i="4"/>
  <c r="D58" i="4"/>
  <c r="D60" i="4"/>
  <c r="D62" i="4"/>
  <c r="D64" i="4"/>
  <c r="D66" i="4"/>
  <c r="D68" i="4"/>
  <c r="D70" i="4"/>
  <c r="D72" i="4"/>
  <c r="D74" i="4"/>
  <c r="D76" i="4"/>
  <c r="D78" i="4"/>
  <c r="D80" i="4"/>
  <c r="D82" i="4"/>
  <c r="D84" i="4"/>
  <c r="D86" i="4"/>
  <c r="D88" i="4"/>
  <c r="D90" i="4"/>
  <c r="D92" i="4"/>
  <c r="D94" i="4"/>
  <c r="D96" i="4"/>
  <c r="D98" i="4"/>
  <c r="D100" i="4"/>
  <c r="D102" i="4"/>
  <c r="D104" i="4"/>
  <c r="D106" i="4"/>
  <c r="D108" i="4"/>
  <c r="D110" i="4"/>
  <c r="D112" i="4"/>
  <c r="D114" i="4"/>
  <c r="D116" i="4"/>
  <c r="D118" i="4"/>
  <c r="D120" i="4"/>
  <c r="D122" i="4"/>
  <c r="D124" i="4"/>
  <c r="F2" i="4"/>
  <c r="F4" i="4"/>
  <c r="F6" i="4"/>
  <c r="F8" i="4"/>
  <c r="F10" i="4"/>
  <c r="F12" i="4"/>
  <c r="F14" i="4"/>
  <c r="F16" i="4"/>
  <c r="F18" i="4"/>
  <c r="F20" i="4"/>
  <c r="F22" i="4"/>
  <c r="F24" i="4"/>
  <c r="F26" i="4"/>
  <c r="F28" i="4"/>
  <c r="F30" i="4"/>
  <c r="F32" i="4"/>
  <c r="F34" i="4"/>
  <c r="F36" i="4"/>
  <c r="F38" i="4"/>
  <c r="F40" i="4"/>
  <c r="F42" i="4"/>
  <c r="F44" i="4"/>
  <c r="F46" i="4"/>
  <c r="F48" i="4"/>
  <c r="F50" i="4"/>
  <c r="F52" i="4"/>
  <c r="F54" i="4"/>
  <c r="F56" i="4"/>
  <c r="F58" i="4"/>
  <c r="F60" i="4"/>
  <c r="F62" i="4"/>
  <c r="F64" i="4"/>
  <c r="F66" i="4"/>
  <c r="F68" i="4"/>
  <c r="F70" i="4"/>
  <c r="F72" i="4"/>
  <c r="F74" i="4"/>
  <c r="F76" i="4"/>
  <c r="F78" i="4"/>
  <c r="F80" i="4"/>
  <c r="F82" i="4"/>
  <c r="F84" i="4"/>
  <c r="F86" i="4"/>
  <c r="F88" i="4"/>
  <c r="F90" i="4"/>
  <c r="F92" i="4"/>
  <c r="F94" i="4"/>
  <c r="F96" i="4"/>
  <c r="F98" i="4"/>
  <c r="F100" i="4"/>
  <c r="F102" i="4"/>
  <c r="F104" i="4"/>
  <c r="F106" i="4"/>
  <c r="F108" i="4"/>
  <c r="F110" i="4"/>
  <c r="F112" i="4"/>
  <c r="F114" i="4"/>
  <c r="F116" i="4"/>
  <c r="F118" i="4"/>
  <c r="F120" i="4"/>
  <c r="F122" i="4"/>
  <c r="F124" i="4"/>
  <c r="G122" i="4"/>
  <c r="G124" i="4"/>
  <c r="B122" i="4"/>
  <c r="J122" i="4" s="1"/>
  <c r="H2" i="4"/>
  <c r="H4" i="4"/>
  <c r="I124" i="4"/>
  <c r="J124" i="4" s="1"/>
  <c r="J2" i="4"/>
  <c r="J4" i="4"/>
  <c r="J6" i="4"/>
  <c r="J8" i="4"/>
  <c r="J10" i="4"/>
  <c r="J12" i="4"/>
  <c r="J14" i="4"/>
  <c r="J16" i="4"/>
  <c r="J18" i="4"/>
  <c r="J20" i="4"/>
  <c r="J22" i="4"/>
  <c r="J24" i="4"/>
  <c r="J26" i="4"/>
  <c r="J28" i="4"/>
  <c r="J30" i="4"/>
  <c r="J32" i="4"/>
  <c r="J34" i="4"/>
  <c r="J36" i="4"/>
  <c r="J38" i="4"/>
  <c r="J40" i="4"/>
  <c r="J42" i="4"/>
  <c r="J44" i="4"/>
  <c r="J46" i="4"/>
  <c r="J48" i="4"/>
  <c r="J50" i="4"/>
  <c r="J52" i="4"/>
  <c r="J54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90" i="4"/>
  <c r="J92" i="4"/>
  <c r="J94" i="4"/>
  <c r="J96" i="4"/>
  <c r="J98" i="4"/>
  <c r="J100" i="4"/>
  <c r="J102" i="4"/>
  <c r="J104" i="4"/>
  <c r="J106" i="4"/>
  <c r="J108" i="4"/>
  <c r="J110" i="4"/>
  <c r="J112" i="4"/>
  <c r="J114" i="4"/>
  <c r="J116" i="4"/>
  <c r="J118" i="4"/>
  <c r="K2" i="4"/>
  <c r="H73" i="2"/>
  <c r="F73" i="2"/>
  <c r="S78" i="2"/>
  <c r="O91" i="2"/>
  <c r="N91" i="2"/>
  <c r="M91" i="2"/>
  <c r="L91" i="2"/>
  <c r="S91" i="2" s="1"/>
  <c r="K91" i="2"/>
  <c r="J91" i="2"/>
  <c r="Q91" i="2" s="1"/>
  <c r="I91" i="2"/>
  <c r="H91" i="2"/>
  <c r="E91" i="2"/>
  <c r="P92" i="2"/>
  <c r="N76" i="2"/>
  <c r="H23" i="2"/>
  <c r="R39" i="2"/>
  <c r="T48" i="2"/>
  <c r="S48" i="2"/>
  <c r="D91" i="2"/>
  <c r="X218" i="2"/>
  <c r="W218" i="2"/>
  <c r="AD218" i="2" s="1"/>
  <c r="V218" i="2"/>
  <c r="S218" i="2"/>
  <c r="AC218" i="2" s="1"/>
  <c r="R218" i="2"/>
  <c r="Y218" i="2"/>
  <c r="U218" i="2"/>
  <c r="H12" i="2"/>
  <c r="G12" i="2"/>
  <c r="N7" i="2"/>
  <c r="L24" i="2"/>
  <c r="H32" i="2"/>
  <c r="G32" i="2"/>
  <c r="H44" i="2"/>
  <c r="T59" i="2"/>
  <c r="F91" i="2"/>
  <c r="P91" i="2" s="1"/>
  <c r="N104" i="2"/>
  <c r="U104" i="2" s="1"/>
  <c r="M104" i="2"/>
  <c r="T104" i="2" s="1"/>
  <c r="L104" i="2"/>
  <c r="S104" i="2" s="1"/>
  <c r="K104" i="2"/>
  <c r="R104" i="2" s="1"/>
  <c r="C158" i="2"/>
  <c r="G104" i="2"/>
  <c r="J104" i="2"/>
  <c r="Q104" i="2" s="1"/>
  <c r="I104" i="2"/>
  <c r="E104" i="2"/>
  <c r="Y216" i="2"/>
  <c r="X216" i="2"/>
  <c r="W216" i="2"/>
  <c r="T216" i="2"/>
  <c r="S216" i="2"/>
  <c r="AC216" i="2" s="1"/>
  <c r="U216" i="2"/>
  <c r="R216" i="2"/>
  <c r="Z216" i="2"/>
  <c r="T218" i="2"/>
  <c r="L76" i="2"/>
  <c r="R59" i="2"/>
  <c r="L6" i="2"/>
  <c r="R7" i="2"/>
  <c r="N27" i="2"/>
  <c r="L44" i="2"/>
  <c r="I77" i="2"/>
  <c r="L77" i="2" s="1"/>
  <c r="P104" i="2"/>
  <c r="T109" i="2"/>
  <c r="K145" i="2"/>
  <c r="R145" i="2" s="1"/>
  <c r="H145" i="2"/>
  <c r="G145" i="2"/>
  <c r="F145" i="2"/>
  <c r="P145" i="2" s="1"/>
  <c r="E145" i="2"/>
  <c r="D145" i="2"/>
  <c r="J145" i="2"/>
  <c r="Q145" i="2" s="1"/>
  <c r="T68" i="2"/>
  <c r="S68" i="2"/>
  <c r="S118" i="2"/>
  <c r="R124" i="2"/>
  <c r="S7" i="2"/>
  <c r="T10" i="2"/>
  <c r="N26" i="2"/>
  <c r="C78" i="2"/>
  <c r="G78" i="2" s="1"/>
  <c r="M44" i="2"/>
  <c r="H52" i="2"/>
  <c r="G52" i="2"/>
  <c r="AG73" i="2"/>
  <c r="L98" i="2"/>
  <c r="S98" i="2" s="1"/>
  <c r="K98" i="2"/>
  <c r="R98" i="2" s="1"/>
  <c r="H98" i="2"/>
  <c r="G98" i="2"/>
  <c r="F98" i="2"/>
  <c r="P98" i="2" s="1"/>
  <c r="E98" i="2"/>
  <c r="O98" i="2"/>
  <c r="V98" i="2" s="1"/>
  <c r="N98" i="2"/>
  <c r="U98" i="2" s="1"/>
  <c r="M98" i="2"/>
  <c r="T98" i="2" s="1"/>
  <c r="J98" i="2"/>
  <c r="Q98" i="2" s="1"/>
  <c r="I98" i="2"/>
  <c r="H104" i="2"/>
  <c r="I145" i="2"/>
  <c r="O77" i="2"/>
  <c r="R27" i="2"/>
  <c r="N35" i="2"/>
  <c r="M35" i="2"/>
  <c r="N47" i="2"/>
  <c r="H63" i="2"/>
  <c r="L64" i="2"/>
  <c r="H72" i="2"/>
  <c r="G72" i="2"/>
  <c r="D98" i="2"/>
  <c r="P77" i="2"/>
  <c r="R77" i="2" s="1"/>
  <c r="T18" i="2"/>
  <c r="S18" i="2"/>
  <c r="S27" i="2"/>
  <c r="T30" i="2"/>
  <c r="M64" i="2"/>
  <c r="M77" i="2"/>
  <c r="V92" i="2"/>
  <c r="P131" i="2"/>
  <c r="AL74" i="2"/>
  <c r="AF74" i="2"/>
  <c r="N77" i="2"/>
  <c r="N15" i="2"/>
  <c r="M15" i="2"/>
  <c r="G91" i="2"/>
  <c r="T77" i="2"/>
  <c r="N55" i="2"/>
  <c r="M55" i="2"/>
  <c r="H13" i="2"/>
  <c r="L14" i="2"/>
  <c r="G31" i="2"/>
  <c r="T38" i="2"/>
  <c r="S38" i="2"/>
  <c r="T78" i="2"/>
  <c r="Q78" i="2"/>
  <c r="T50" i="2"/>
  <c r="R67" i="2"/>
  <c r="H76" i="2"/>
  <c r="R94" i="2"/>
  <c r="F13" i="2"/>
  <c r="M14" i="2"/>
  <c r="H22" i="2"/>
  <c r="G22" i="2"/>
  <c r="H34" i="2"/>
  <c r="I78" i="2"/>
  <c r="L78" i="2" s="1"/>
  <c r="S67" i="2"/>
  <c r="T70" i="2"/>
  <c r="F76" i="2"/>
  <c r="Q127" i="2"/>
  <c r="H33" i="2"/>
  <c r="R49" i="2"/>
  <c r="F51" i="2"/>
  <c r="T58" i="2"/>
  <c r="S58" i="2"/>
  <c r="T131" i="2"/>
  <c r="F142" i="2"/>
  <c r="E142" i="2"/>
  <c r="K142" i="2"/>
  <c r="R142" i="2" s="1"/>
  <c r="J142" i="2"/>
  <c r="Q142" i="2" s="1"/>
  <c r="H142" i="2"/>
  <c r="I142" i="2"/>
  <c r="D142" i="2"/>
  <c r="AD199" i="2"/>
  <c r="M76" i="2"/>
  <c r="M73" i="2"/>
  <c r="N5" i="2"/>
  <c r="M5" i="2"/>
  <c r="N16" i="2"/>
  <c r="L34" i="2"/>
  <c r="N78" i="2"/>
  <c r="M78" i="2"/>
  <c r="K78" i="2"/>
  <c r="M37" i="2"/>
  <c r="H42" i="2"/>
  <c r="G42" i="2"/>
  <c r="G51" i="2"/>
  <c r="T69" i="2"/>
  <c r="F71" i="2"/>
  <c r="G142" i="2"/>
  <c r="M34" i="2"/>
  <c r="H54" i="2"/>
  <c r="G71" i="2"/>
  <c r="R119" i="2"/>
  <c r="S121" i="2"/>
  <c r="L133" i="2"/>
  <c r="S133" i="2" s="1"/>
  <c r="I133" i="2"/>
  <c r="H133" i="2"/>
  <c r="G133" i="2"/>
  <c r="K133" i="2"/>
  <c r="F133" i="2"/>
  <c r="J133" i="2"/>
  <c r="Q133" i="2" s="1"/>
  <c r="D133" i="2"/>
  <c r="S17" i="2"/>
  <c r="N25" i="2"/>
  <c r="M25" i="2"/>
  <c r="N37" i="2"/>
  <c r="H53" i="2"/>
  <c r="P87" i="2"/>
  <c r="E133" i="2"/>
  <c r="AC200" i="2"/>
  <c r="E76" i="2"/>
  <c r="E73" i="2"/>
  <c r="G4" i="2"/>
  <c r="T20" i="2"/>
  <c r="N36" i="2"/>
  <c r="L54" i="2"/>
  <c r="H62" i="2"/>
  <c r="G62" i="2"/>
  <c r="Q87" i="2"/>
  <c r="Q119" i="2"/>
  <c r="C77" i="2"/>
  <c r="G77" i="2" s="1"/>
  <c r="S77" i="2"/>
  <c r="T8" i="2"/>
  <c r="S8" i="2"/>
  <c r="T19" i="2"/>
  <c r="R37" i="2"/>
  <c r="N45" i="2"/>
  <c r="M45" i="2"/>
  <c r="M54" i="2"/>
  <c r="N57" i="2"/>
  <c r="R87" i="2"/>
  <c r="R144" i="2"/>
  <c r="D77" i="2"/>
  <c r="P78" i="2"/>
  <c r="R78" i="2" s="1"/>
  <c r="I76" i="2"/>
  <c r="I73" i="2"/>
  <c r="G21" i="2"/>
  <c r="T28" i="2"/>
  <c r="S28" i="2"/>
  <c r="N56" i="2"/>
  <c r="R57" i="2"/>
  <c r="N65" i="2"/>
  <c r="M65" i="2"/>
  <c r="AV78" i="2"/>
  <c r="S111" i="2"/>
  <c r="Q118" i="2"/>
  <c r="K77" i="2"/>
  <c r="C161" i="2"/>
  <c r="I88" i="2"/>
  <c r="O89" i="2"/>
  <c r="J95" i="2"/>
  <c r="Q95" i="2" s="1"/>
  <c r="K97" i="2"/>
  <c r="R97" i="2" s="1"/>
  <c r="N110" i="2"/>
  <c r="U110" i="2" s="1"/>
  <c r="M110" i="2"/>
  <c r="T110" i="2" s="1"/>
  <c r="L110" i="2"/>
  <c r="S110" i="2" s="1"/>
  <c r="K110" i="2"/>
  <c r="R110" i="2" s="1"/>
  <c r="G110" i="2"/>
  <c r="F110" i="2"/>
  <c r="P110" i="2" s="1"/>
  <c r="M116" i="2"/>
  <c r="T116" i="2" s="1"/>
  <c r="L116" i="2"/>
  <c r="S116" i="2" s="1"/>
  <c r="K116" i="2"/>
  <c r="R116" i="2" s="1"/>
  <c r="J116" i="2"/>
  <c r="Q116" i="2" s="1"/>
  <c r="G116" i="2"/>
  <c r="F116" i="2"/>
  <c r="P116" i="2" s="1"/>
  <c r="E116" i="2"/>
  <c r="T122" i="2"/>
  <c r="I162" i="2"/>
  <c r="M162" i="2"/>
  <c r="E162" i="2"/>
  <c r="AC178" i="2"/>
  <c r="AD190" i="2"/>
  <c r="K209" i="2"/>
  <c r="J209" i="2"/>
  <c r="I209" i="2"/>
  <c r="P209" i="2" s="1"/>
  <c r="G209" i="2"/>
  <c r="F209" i="2"/>
  <c r="E209" i="2"/>
  <c r="O209" i="2" s="1"/>
  <c r="L209" i="2"/>
  <c r="H209" i="2"/>
  <c r="N6" i="2"/>
  <c r="L88" i="2"/>
  <c r="S88" i="2" s="1"/>
  <c r="F94" i="2"/>
  <c r="P94" i="2" s="1"/>
  <c r="M95" i="2"/>
  <c r="T95" i="2" s="1"/>
  <c r="S100" i="2"/>
  <c r="H110" i="2"/>
  <c r="I116" i="2"/>
  <c r="K132" i="2"/>
  <c r="J132" i="2"/>
  <c r="I132" i="2"/>
  <c r="AD178" i="2"/>
  <c r="AA195" i="2"/>
  <c r="Z195" i="2"/>
  <c r="W195" i="2"/>
  <c r="V195" i="2"/>
  <c r="U195" i="2"/>
  <c r="T195" i="2"/>
  <c r="S195" i="2"/>
  <c r="Z198" i="2"/>
  <c r="Y198" i="2"/>
  <c r="X198" i="2"/>
  <c r="U198" i="2"/>
  <c r="T198" i="2"/>
  <c r="S198" i="2"/>
  <c r="AC198" i="2" s="1"/>
  <c r="AA198" i="2"/>
  <c r="K223" i="2"/>
  <c r="J223" i="2"/>
  <c r="I223" i="2"/>
  <c r="F223" i="2"/>
  <c r="E223" i="2"/>
  <c r="D223" i="2"/>
  <c r="H223" i="2"/>
  <c r="AC204" i="2"/>
  <c r="G87" i="2"/>
  <c r="M88" i="2"/>
  <c r="T88" i="2" s="1"/>
  <c r="C103" i="2"/>
  <c r="L103" i="2" s="1"/>
  <c r="C162" i="2"/>
  <c r="J162" i="2" s="1"/>
  <c r="G94" i="2"/>
  <c r="N95" i="2"/>
  <c r="U95" i="2" s="1"/>
  <c r="U100" i="2"/>
  <c r="I110" i="2"/>
  <c r="D132" i="2"/>
  <c r="P136" i="2"/>
  <c r="P156" i="2"/>
  <c r="AC173" i="2"/>
  <c r="M174" i="2"/>
  <c r="L174" i="2"/>
  <c r="H174" i="2"/>
  <c r="K174" i="2"/>
  <c r="J174" i="2"/>
  <c r="I174" i="2"/>
  <c r="G174" i="2"/>
  <c r="D174" i="2"/>
  <c r="R195" i="2"/>
  <c r="R198" i="2"/>
  <c r="AD200" i="2"/>
  <c r="AD202" i="2"/>
  <c r="G223" i="2"/>
  <c r="T243" i="2"/>
  <c r="Y243" i="2"/>
  <c r="W243" i="2"/>
  <c r="S243" i="2"/>
  <c r="L4" i="2"/>
  <c r="J73" i="2"/>
  <c r="L73" i="2" s="1"/>
  <c r="H87" i="2"/>
  <c r="N88" i="2"/>
  <c r="U88" i="2" s="1"/>
  <c r="H94" i="2"/>
  <c r="O95" i="2"/>
  <c r="V95" i="2" s="1"/>
  <c r="J110" i="2"/>
  <c r="Q110" i="2" s="1"/>
  <c r="F128" i="2"/>
  <c r="E128" i="2"/>
  <c r="M128" i="2"/>
  <c r="M129" i="2"/>
  <c r="L129" i="2"/>
  <c r="S129" i="2" s="1"/>
  <c r="I129" i="2"/>
  <c r="H129" i="2"/>
  <c r="G129" i="2"/>
  <c r="E132" i="2"/>
  <c r="X195" i="2"/>
  <c r="V198" i="2"/>
  <c r="Y213" i="2"/>
  <c r="X213" i="2"/>
  <c r="W213" i="2"/>
  <c r="AD213" i="2" s="1"/>
  <c r="U213" i="2"/>
  <c r="T213" i="2"/>
  <c r="S213" i="2"/>
  <c r="AC213" i="2" s="1"/>
  <c r="Z213" i="2"/>
  <c r="V213" i="2"/>
  <c r="M4" i="2"/>
  <c r="K73" i="2"/>
  <c r="K74" i="2" s="1"/>
  <c r="K76" i="2"/>
  <c r="Q77" i="2"/>
  <c r="I87" i="2"/>
  <c r="O88" i="2"/>
  <c r="V88" i="2" s="1"/>
  <c r="E90" i="2"/>
  <c r="I94" i="2"/>
  <c r="N106" i="2"/>
  <c r="U106" i="2" s="1"/>
  <c r="M106" i="2"/>
  <c r="T106" i="2" s="1"/>
  <c r="L106" i="2"/>
  <c r="S106" i="2" s="1"/>
  <c r="K106" i="2"/>
  <c r="R106" i="2" s="1"/>
  <c r="G106" i="2"/>
  <c r="F106" i="2"/>
  <c r="P106" i="2" s="1"/>
  <c r="L127" i="2"/>
  <c r="K127" i="2"/>
  <c r="H127" i="2"/>
  <c r="G127" i="2"/>
  <c r="F127" i="2"/>
  <c r="E127" i="2"/>
  <c r="D127" i="2"/>
  <c r="T127" i="2" s="1"/>
  <c r="D128" i="2"/>
  <c r="D129" i="2"/>
  <c r="P130" i="2"/>
  <c r="F132" i="2"/>
  <c r="P141" i="2"/>
  <c r="Q149" i="2"/>
  <c r="Y195" i="2"/>
  <c r="W198" i="2"/>
  <c r="AD198" i="2" s="1"/>
  <c r="R213" i="2"/>
  <c r="S223" i="2"/>
  <c r="AC223" i="2" s="1"/>
  <c r="Y223" i="2"/>
  <c r="X223" i="2"/>
  <c r="W223" i="2"/>
  <c r="AD223" i="2" s="1"/>
  <c r="T223" i="2"/>
  <c r="R223" i="2"/>
  <c r="V223" i="2"/>
  <c r="U223" i="2"/>
  <c r="D78" i="2"/>
  <c r="O96" i="2"/>
  <c r="V96" i="2" s="1"/>
  <c r="N96" i="2"/>
  <c r="U96" i="2" s="1"/>
  <c r="M96" i="2"/>
  <c r="T96" i="2" s="1"/>
  <c r="I96" i="2"/>
  <c r="N112" i="2"/>
  <c r="U112" i="2" s="1"/>
  <c r="M112" i="2"/>
  <c r="T112" i="2" s="1"/>
  <c r="L112" i="2"/>
  <c r="S112" i="2" s="1"/>
  <c r="K112" i="2"/>
  <c r="R112" i="2" s="1"/>
  <c r="G112" i="2"/>
  <c r="F112" i="2"/>
  <c r="P112" i="2" s="1"/>
  <c r="Q131" i="2"/>
  <c r="R136" i="2"/>
  <c r="D161" i="2"/>
  <c r="M189" i="2"/>
  <c r="K189" i="2"/>
  <c r="J189" i="2"/>
  <c r="I189" i="2"/>
  <c r="P189" i="2" s="1"/>
  <c r="C243" i="2"/>
  <c r="F243" i="2" s="1"/>
  <c r="F189" i="2"/>
  <c r="L189" i="2"/>
  <c r="H189" i="2"/>
  <c r="D189" i="2"/>
  <c r="Y203" i="2"/>
  <c r="X203" i="2"/>
  <c r="W203" i="2"/>
  <c r="AD203" i="2" s="1"/>
  <c r="U203" i="2"/>
  <c r="T203" i="2"/>
  <c r="S203" i="2"/>
  <c r="AC203" i="2" s="1"/>
  <c r="Z203" i="2"/>
  <c r="V203" i="2"/>
  <c r="E78" i="2"/>
  <c r="N99" i="2"/>
  <c r="U99" i="2" s="1"/>
  <c r="M99" i="2"/>
  <c r="L99" i="2"/>
  <c r="S99" i="2" s="1"/>
  <c r="K99" i="2"/>
  <c r="R99" i="2" s="1"/>
  <c r="G99" i="2"/>
  <c r="P129" i="2"/>
  <c r="R131" i="2"/>
  <c r="F140" i="2"/>
  <c r="P140" i="2" s="1"/>
  <c r="E140" i="2"/>
  <c r="L140" i="2"/>
  <c r="J152" i="2"/>
  <c r="Q152" i="2" s="1"/>
  <c r="I152" i="2"/>
  <c r="H152" i="2"/>
  <c r="E152" i="2"/>
  <c r="E163" i="2"/>
  <c r="O189" i="2"/>
  <c r="AA197" i="2"/>
  <c r="Z197" i="2"/>
  <c r="X197" i="2"/>
  <c r="W197" i="2"/>
  <c r="V197" i="2"/>
  <c r="T197" i="2"/>
  <c r="S197" i="2"/>
  <c r="AC197" i="2" s="1"/>
  <c r="R197" i="2"/>
  <c r="Y197" i="2"/>
  <c r="U197" i="2"/>
  <c r="I238" i="2"/>
  <c r="H238" i="2"/>
  <c r="F238" i="2"/>
  <c r="E238" i="2"/>
  <c r="G238" i="2"/>
  <c r="N73" i="2"/>
  <c r="L87" i="2"/>
  <c r="S87" i="2" s="1"/>
  <c r="D89" i="2"/>
  <c r="T89" i="2" s="1"/>
  <c r="L94" i="2"/>
  <c r="S94" i="2" s="1"/>
  <c r="E96" i="2"/>
  <c r="D99" i="2"/>
  <c r="E112" i="2"/>
  <c r="I128" i="2"/>
  <c r="J129" i="2"/>
  <c r="S131" i="2"/>
  <c r="L132" i="2"/>
  <c r="D140" i="2"/>
  <c r="D152" i="2"/>
  <c r="G189" i="2"/>
  <c r="J215" i="2"/>
  <c r="I215" i="2"/>
  <c r="L215" i="2"/>
  <c r="K215" i="2"/>
  <c r="H215" i="2"/>
  <c r="G215" i="2"/>
  <c r="D215" i="2"/>
  <c r="K217" i="2"/>
  <c r="J217" i="2"/>
  <c r="I217" i="2"/>
  <c r="P217" i="2" s="1"/>
  <c r="F217" i="2"/>
  <c r="E217" i="2"/>
  <c r="O217" i="2" s="1"/>
  <c r="H217" i="2"/>
  <c r="G217" i="2"/>
  <c r="D217" i="2"/>
  <c r="K221" i="2"/>
  <c r="J221" i="2"/>
  <c r="I221" i="2"/>
  <c r="F221" i="2"/>
  <c r="E221" i="2"/>
  <c r="O221" i="2" s="1"/>
  <c r="D221" i="2"/>
  <c r="H221" i="2"/>
  <c r="G221" i="2"/>
  <c r="O226" i="2"/>
  <c r="D238" i="2"/>
  <c r="G247" i="2"/>
  <c r="Y247" i="2"/>
  <c r="E247" i="2"/>
  <c r="X247" i="2"/>
  <c r="W247" i="2"/>
  <c r="I247" i="2"/>
  <c r="Z247" i="2"/>
  <c r="U247" i="2"/>
  <c r="S5" i="2"/>
  <c r="G9" i="2"/>
  <c r="M12" i="2"/>
  <c r="S15" i="2"/>
  <c r="G19" i="2"/>
  <c r="M22" i="2"/>
  <c r="S25" i="2"/>
  <c r="G29" i="2"/>
  <c r="M32" i="2"/>
  <c r="S35" i="2"/>
  <c r="G39" i="2"/>
  <c r="M42" i="2"/>
  <c r="S45" i="2"/>
  <c r="G49" i="2"/>
  <c r="M52" i="2"/>
  <c r="S55" i="2"/>
  <c r="G59" i="2"/>
  <c r="M62" i="2"/>
  <c r="S65" i="2"/>
  <c r="G69" i="2"/>
  <c r="M72" i="2"/>
  <c r="O73" i="2"/>
  <c r="M87" i="2"/>
  <c r="T87" i="2" s="1"/>
  <c r="E89" i="2"/>
  <c r="I90" i="2"/>
  <c r="G93" i="2"/>
  <c r="M94" i="2"/>
  <c r="T94" i="2" s="1"/>
  <c r="F96" i="2"/>
  <c r="P96" i="2" s="1"/>
  <c r="E99" i="2"/>
  <c r="I106" i="2"/>
  <c r="H112" i="2"/>
  <c r="M126" i="2"/>
  <c r="T126" i="2" s="1"/>
  <c r="L126" i="2"/>
  <c r="S126" i="2" s="1"/>
  <c r="K126" i="2"/>
  <c r="R126" i="2" s="1"/>
  <c r="J126" i="2"/>
  <c r="Q126" i="2" s="1"/>
  <c r="G126" i="2"/>
  <c r="F126" i="2"/>
  <c r="P126" i="2" s="1"/>
  <c r="E126" i="2"/>
  <c r="J128" i="2"/>
  <c r="K129" i="2"/>
  <c r="G140" i="2"/>
  <c r="Q141" i="2"/>
  <c r="F152" i="2"/>
  <c r="D157" i="2"/>
  <c r="Y208" i="2"/>
  <c r="X208" i="2"/>
  <c r="W208" i="2"/>
  <c r="U208" i="2"/>
  <c r="T208" i="2"/>
  <c r="S208" i="2"/>
  <c r="V208" i="2"/>
  <c r="R208" i="2"/>
  <c r="E215" i="2"/>
  <c r="O215" i="2" s="1"/>
  <c r="S221" i="2"/>
  <c r="AC221" i="2" s="1"/>
  <c r="Y221" i="2"/>
  <c r="X221" i="2"/>
  <c r="W221" i="2"/>
  <c r="AD221" i="2" s="1"/>
  <c r="V221" i="2"/>
  <c r="U221" i="2"/>
  <c r="T221" i="2"/>
  <c r="V238" i="2"/>
  <c r="T238" i="2"/>
  <c r="S238" i="2"/>
  <c r="R238" i="2"/>
  <c r="W238" i="2"/>
  <c r="M163" i="2"/>
  <c r="R4" i="2"/>
  <c r="T5" i="2"/>
  <c r="F8" i="2"/>
  <c r="F18" i="2"/>
  <c r="L21" i="2"/>
  <c r="R24" i="2"/>
  <c r="R34" i="2"/>
  <c r="F38" i="2"/>
  <c r="L41" i="2"/>
  <c r="R44" i="2"/>
  <c r="F48" i="2"/>
  <c r="L51" i="2"/>
  <c r="R54" i="2"/>
  <c r="F58" i="2"/>
  <c r="L61" i="2"/>
  <c r="R64" i="2"/>
  <c r="P73" i="2"/>
  <c r="R73" i="2" s="1"/>
  <c r="P76" i="2"/>
  <c r="R76" i="2" s="1"/>
  <c r="AV77" i="2"/>
  <c r="N87" i="2"/>
  <c r="U87" i="2" s="1"/>
  <c r="F89" i="2"/>
  <c r="J90" i="2"/>
  <c r="Q90" i="2" s="1"/>
  <c r="H93" i="2"/>
  <c r="N94" i="2"/>
  <c r="U94" i="2" s="1"/>
  <c r="G96" i="2"/>
  <c r="F99" i="2"/>
  <c r="P99" i="2" s="1"/>
  <c r="J106" i="2"/>
  <c r="Q106" i="2" s="1"/>
  <c r="I112" i="2"/>
  <c r="D126" i="2"/>
  <c r="K128" i="2"/>
  <c r="H140" i="2"/>
  <c r="G152" i="2"/>
  <c r="F157" i="2"/>
  <c r="M180" i="2"/>
  <c r="L180" i="2"/>
  <c r="H180" i="2"/>
  <c r="N180" i="2"/>
  <c r="K180" i="2"/>
  <c r="G180" i="2"/>
  <c r="F180" i="2"/>
  <c r="E180" i="2"/>
  <c r="D180" i="2"/>
  <c r="P180" i="2" s="1"/>
  <c r="AC185" i="2"/>
  <c r="Z208" i="2"/>
  <c r="F215" i="2"/>
  <c r="R221" i="2"/>
  <c r="U238" i="2"/>
  <c r="S4" i="2"/>
  <c r="M11" i="2"/>
  <c r="S14" i="2"/>
  <c r="G28" i="2"/>
  <c r="M31" i="2"/>
  <c r="G68" i="2"/>
  <c r="M71" i="2"/>
  <c r="Q73" i="2"/>
  <c r="Q74" i="2" s="1"/>
  <c r="O87" i="2"/>
  <c r="V87" i="2" s="1"/>
  <c r="G89" i="2"/>
  <c r="K90" i="2"/>
  <c r="R90" i="2" s="1"/>
  <c r="I93" i="2"/>
  <c r="H96" i="2"/>
  <c r="H99" i="2"/>
  <c r="R102" i="2"/>
  <c r="K103" i="2"/>
  <c r="J112" i="2"/>
  <c r="Q112" i="2" s="1"/>
  <c r="H126" i="2"/>
  <c r="L128" i="2"/>
  <c r="I140" i="2"/>
  <c r="G157" i="2"/>
  <c r="H89" i="2"/>
  <c r="L90" i="2"/>
  <c r="S90" i="2" s="1"/>
  <c r="D92" i="2"/>
  <c r="R92" i="2" s="1"/>
  <c r="J93" i="2"/>
  <c r="Q93" i="2" s="1"/>
  <c r="J96" i="2"/>
  <c r="Q96" i="2" s="1"/>
  <c r="I99" i="2"/>
  <c r="S102" i="2"/>
  <c r="N108" i="2"/>
  <c r="U108" i="2" s="1"/>
  <c r="M108" i="2"/>
  <c r="T108" i="2" s="1"/>
  <c r="L108" i="2"/>
  <c r="S108" i="2" s="1"/>
  <c r="K108" i="2"/>
  <c r="R108" i="2" s="1"/>
  <c r="G108" i="2"/>
  <c r="F108" i="2"/>
  <c r="P108" i="2" s="1"/>
  <c r="K122" i="2"/>
  <c r="R122" i="2" s="1"/>
  <c r="J122" i="2"/>
  <c r="Q122" i="2" s="1"/>
  <c r="I122" i="2"/>
  <c r="S124" i="2"/>
  <c r="I126" i="2"/>
  <c r="L134" i="2"/>
  <c r="S134" i="2" s="1"/>
  <c r="K134" i="2"/>
  <c r="R134" i="2" s="1"/>
  <c r="J134" i="2"/>
  <c r="Q134" i="2" s="1"/>
  <c r="G134" i="2"/>
  <c r="F134" i="2"/>
  <c r="P134" i="2" s="1"/>
  <c r="E134" i="2"/>
  <c r="J140" i="2"/>
  <c r="Q140" i="2" s="1"/>
  <c r="R146" i="2"/>
  <c r="J148" i="2"/>
  <c r="G148" i="2"/>
  <c r="F148" i="2"/>
  <c r="P148" i="2" s="1"/>
  <c r="E148" i="2"/>
  <c r="D148" i="2"/>
  <c r="R230" i="2"/>
  <c r="X230" i="2"/>
  <c r="W230" i="2"/>
  <c r="V230" i="2"/>
  <c r="U230" i="2"/>
  <c r="T230" i="2"/>
  <c r="S230" i="2"/>
  <c r="AC230" i="2" s="1"/>
  <c r="S73" i="2"/>
  <c r="S76" i="2"/>
  <c r="E77" i="2"/>
  <c r="I89" i="2"/>
  <c r="K96" i="2"/>
  <c r="R96" i="2" s="1"/>
  <c r="F97" i="2"/>
  <c r="P97" i="2" s="1"/>
  <c r="E97" i="2"/>
  <c r="O97" i="2"/>
  <c r="V97" i="2" s="1"/>
  <c r="J99" i="2"/>
  <c r="Q99" i="2" s="1"/>
  <c r="N114" i="2"/>
  <c r="U114" i="2" s="1"/>
  <c r="M114" i="2"/>
  <c r="T114" i="2" s="1"/>
  <c r="L114" i="2"/>
  <c r="S114" i="2" s="1"/>
  <c r="K114" i="2"/>
  <c r="R114" i="2" s="1"/>
  <c r="G114" i="2"/>
  <c r="F114" i="2"/>
  <c r="P114" i="2" s="1"/>
  <c r="K140" i="2"/>
  <c r="R140" i="2" s="1"/>
  <c r="K178" i="2"/>
  <c r="I178" i="2"/>
  <c r="E178" i="2"/>
  <c r="O178" i="2" s="1"/>
  <c r="D178" i="2"/>
  <c r="M178" i="2"/>
  <c r="L178" i="2"/>
  <c r="J178" i="2"/>
  <c r="H178" i="2"/>
  <c r="G178" i="2"/>
  <c r="AB184" i="2"/>
  <c r="AA184" i="2"/>
  <c r="X184" i="2"/>
  <c r="Z184" i="2"/>
  <c r="Y184" i="2"/>
  <c r="U184" i="2"/>
  <c r="T184" i="2"/>
  <c r="S184" i="2"/>
  <c r="AC184" i="2" s="1"/>
  <c r="R184" i="2"/>
  <c r="T73" i="2"/>
  <c r="J89" i="2"/>
  <c r="L96" i="2"/>
  <c r="S96" i="2" s="1"/>
  <c r="O99" i="2"/>
  <c r="V99" i="2" s="1"/>
  <c r="F118" i="2"/>
  <c r="P118" i="2" s="1"/>
  <c r="E118" i="2"/>
  <c r="M118" i="2"/>
  <c r="T118" i="2" s="1"/>
  <c r="M119" i="2"/>
  <c r="T119" i="2" s="1"/>
  <c r="L119" i="2"/>
  <c r="S119" i="2" s="1"/>
  <c r="I119" i="2"/>
  <c r="H119" i="2"/>
  <c r="G119" i="2"/>
  <c r="M179" i="2"/>
  <c r="K179" i="2"/>
  <c r="I179" i="2"/>
  <c r="P179" i="2" s="1"/>
  <c r="H179" i="2"/>
  <c r="D179" i="2"/>
  <c r="F179" i="2"/>
  <c r="E179" i="2"/>
  <c r="L179" i="2"/>
  <c r="M196" i="2"/>
  <c r="L196" i="2"/>
  <c r="K196" i="2"/>
  <c r="H196" i="2"/>
  <c r="J196" i="2"/>
  <c r="I196" i="2"/>
  <c r="P196" i="2" s="1"/>
  <c r="E196" i="2"/>
  <c r="O196" i="2" s="1"/>
  <c r="K214" i="2"/>
  <c r="J214" i="2"/>
  <c r="I214" i="2"/>
  <c r="G214" i="2"/>
  <c r="F214" i="2"/>
  <c r="E214" i="2"/>
  <c r="O214" i="2" s="1"/>
  <c r="D214" i="2"/>
  <c r="G6" i="2"/>
  <c r="M9" i="2"/>
  <c r="S12" i="2"/>
  <c r="G16" i="2"/>
  <c r="M19" i="2"/>
  <c r="S22" i="2"/>
  <c r="G26" i="2"/>
  <c r="M29" i="2"/>
  <c r="S32" i="2"/>
  <c r="G36" i="2"/>
  <c r="M39" i="2"/>
  <c r="S42" i="2"/>
  <c r="G46" i="2"/>
  <c r="M49" i="2"/>
  <c r="S52" i="2"/>
  <c r="G56" i="2"/>
  <c r="M59" i="2"/>
  <c r="S62" i="2"/>
  <c r="G66" i="2"/>
  <c r="M69" i="2"/>
  <c r="S72" i="2"/>
  <c r="E88" i="2"/>
  <c r="K89" i="2"/>
  <c r="O90" i="2"/>
  <c r="V90" i="2" s="1"/>
  <c r="G92" i="2"/>
  <c r="M93" i="2"/>
  <c r="T93" i="2" s="1"/>
  <c r="E95" i="2"/>
  <c r="G97" i="2"/>
  <c r="H108" i="2"/>
  <c r="E114" i="2"/>
  <c r="L117" i="2"/>
  <c r="S117" i="2" s="1"/>
  <c r="K117" i="2"/>
  <c r="R117" i="2" s="1"/>
  <c r="H117" i="2"/>
  <c r="G117" i="2"/>
  <c r="F117" i="2"/>
  <c r="E117" i="2"/>
  <c r="D117" i="2"/>
  <c r="Q117" i="2" s="1"/>
  <c r="D118" i="2"/>
  <c r="R118" i="2" s="1"/>
  <c r="D119" i="2"/>
  <c r="P119" i="2" s="1"/>
  <c r="P120" i="2"/>
  <c r="F122" i="2"/>
  <c r="P122" i="2" s="1"/>
  <c r="S125" i="2"/>
  <c r="K162" i="2"/>
  <c r="C163" i="2"/>
  <c r="K163" i="2" s="1"/>
  <c r="E174" i="2"/>
  <c r="O174" i="2" s="1"/>
  <c r="C188" i="2"/>
  <c r="G177" i="2"/>
  <c r="E177" i="2"/>
  <c r="M177" i="2"/>
  <c r="L177" i="2"/>
  <c r="K177" i="2"/>
  <c r="J177" i="2"/>
  <c r="F177" i="2"/>
  <c r="N178" i="2"/>
  <c r="G179" i="2"/>
  <c r="W184" i="2"/>
  <c r="D196" i="2"/>
  <c r="J210" i="2"/>
  <c r="I210" i="2"/>
  <c r="K210" i="2"/>
  <c r="H210" i="2"/>
  <c r="G210" i="2"/>
  <c r="F210" i="2"/>
  <c r="E210" i="2"/>
  <c r="O210" i="2" s="1"/>
  <c r="H214" i="2"/>
  <c r="K225" i="2"/>
  <c r="J225" i="2"/>
  <c r="I225" i="2"/>
  <c r="P225" i="2" s="1"/>
  <c r="F225" i="2"/>
  <c r="E225" i="2"/>
  <c r="O225" i="2" s="1"/>
  <c r="D225" i="2"/>
  <c r="H225" i="2"/>
  <c r="AC236" i="2"/>
  <c r="F95" i="2"/>
  <c r="P95" i="2" s="1"/>
  <c r="H97" i="2"/>
  <c r="I108" i="2"/>
  <c r="H114" i="2"/>
  <c r="I117" i="2"/>
  <c r="G118" i="2"/>
  <c r="E119" i="2"/>
  <c r="G122" i="2"/>
  <c r="T125" i="2"/>
  <c r="L137" i="2"/>
  <c r="K137" i="2"/>
  <c r="R137" i="2" s="1"/>
  <c r="H137" i="2"/>
  <c r="G137" i="2"/>
  <c r="F137" i="2"/>
  <c r="P137" i="2" s="1"/>
  <c r="E137" i="2"/>
  <c r="D137" i="2"/>
  <c r="Q137" i="2" s="1"/>
  <c r="R143" i="2"/>
  <c r="F163" i="2"/>
  <c r="F174" i="2"/>
  <c r="D177" i="2"/>
  <c r="P177" i="2" s="1"/>
  <c r="J179" i="2"/>
  <c r="AA183" i="2"/>
  <c r="Y183" i="2"/>
  <c r="X183" i="2"/>
  <c r="W183" i="2"/>
  <c r="AD183" i="2" s="1"/>
  <c r="T183" i="2"/>
  <c r="Z183" i="2"/>
  <c r="V183" i="2"/>
  <c r="U183" i="2"/>
  <c r="S183" i="2"/>
  <c r="AC183" i="2" s="1"/>
  <c r="F196" i="2"/>
  <c r="S199" i="2"/>
  <c r="AC199" i="2" s="1"/>
  <c r="R199" i="2"/>
  <c r="AA199" i="2"/>
  <c r="U199" i="2"/>
  <c r="T199" i="2"/>
  <c r="X199" i="2"/>
  <c r="K202" i="2"/>
  <c r="J202" i="2"/>
  <c r="I202" i="2"/>
  <c r="P202" i="2" s="1"/>
  <c r="F202" i="2"/>
  <c r="L202" i="2"/>
  <c r="H202" i="2"/>
  <c r="G202" i="2"/>
  <c r="E202" i="2"/>
  <c r="O202" i="2" s="1"/>
  <c r="D210" i="2"/>
  <c r="L214" i="2"/>
  <c r="O224" i="2"/>
  <c r="G225" i="2"/>
  <c r="C246" i="2"/>
  <c r="AA246" i="2" s="1"/>
  <c r="K172" i="2"/>
  <c r="E172" i="2"/>
  <c r="D172" i="2"/>
  <c r="AB173" i="2"/>
  <c r="X173" i="2"/>
  <c r="M185" i="2"/>
  <c r="L185" i="2"/>
  <c r="K185" i="2"/>
  <c r="H185" i="2"/>
  <c r="M192" i="2"/>
  <c r="L192" i="2"/>
  <c r="K192" i="2"/>
  <c r="I192" i="2"/>
  <c r="P192" i="2" s="1"/>
  <c r="H192" i="2"/>
  <c r="G192" i="2"/>
  <c r="D192" i="2"/>
  <c r="O192" i="2" s="1"/>
  <c r="F155" i="2"/>
  <c r="P155" i="2" s="1"/>
  <c r="H172" i="2"/>
  <c r="T173" i="2"/>
  <c r="AB179" i="2"/>
  <c r="X179" i="2"/>
  <c r="M193" i="2"/>
  <c r="J193" i="2"/>
  <c r="Y211" i="2"/>
  <c r="X211" i="2"/>
  <c r="W211" i="2"/>
  <c r="T211" i="2"/>
  <c r="S211" i="2"/>
  <c r="AC211" i="2" s="1"/>
  <c r="P213" i="2"/>
  <c r="X214" i="2"/>
  <c r="W214" i="2"/>
  <c r="H227" i="2"/>
  <c r="G227" i="2"/>
  <c r="F227" i="2"/>
  <c r="D227" i="2"/>
  <c r="J227" i="2"/>
  <c r="I227" i="2"/>
  <c r="G155" i="2"/>
  <c r="I172" i="2"/>
  <c r="P172" i="2" s="1"/>
  <c r="U173" i="2"/>
  <c r="R179" i="2"/>
  <c r="G185" i="2"/>
  <c r="D193" i="2"/>
  <c r="C248" i="2"/>
  <c r="U248" i="2" s="1"/>
  <c r="K207" i="2"/>
  <c r="J207" i="2"/>
  <c r="I207" i="2"/>
  <c r="F207" i="2"/>
  <c r="E207" i="2"/>
  <c r="R211" i="2"/>
  <c r="R214" i="2"/>
  <c r="E227" i="2"/>
  <c r="D123" i="2"/>
  <c r="P123" i="2" s="1"/>
  <c r="D135" i="2"/>
  <c r="S135" i="2" s="1"/>
  <c r="D147" i="2"/>
  <c r="R147" i="2" s="1"/>
  <c r="D151" i="2"/>
  <c r="Q151" i="2" s="1"/>
  <c r="H155" i="2"/>
  <c r="J172" i="2"/>
  <c r="V173" i="2"/>
  <c r="S179" i="2"/>
  <c r="AC179" i="2" s="1"/>
  <c r="I185" i="2"/>
  <c r="P185" i="2" s="1"/>
  <c r="Q243" i="2"/>
  <c r="X243" i="2" s="1"/>
  <c r="S189" i="2"/>
  <c r="AC189" i="2" s="1"/>
  <c r="R189" i="2"/>
  <c r="AD189" i="2" s="1"/>
  <c r="AA189" i="2"/>
  <c r="E193" i="2"/>
  <c r="O193" i="2" s="1"/>
  <c r="D207" i="2"/>
  <c r="U211" i="2"/>
  <c r="S214" i="2"/>
  <c r="AC233" i="2"/>
  <c r="M100" i="2"/>
  <c r="T100" i="2" s="1"/>
  <c r="M102" i="2"/>
  <c r="T102" i="2" s="1"/>
  <c r="E123" i="2"/>
  <c r="E135" i="2"/>
  <c r="E147" i="2"/>
  <c r="E151" i="2"/>
  <c r="L172" i="2"/>
  <c r="W173" i="2"/>
  <c r="AD173" i="2" s="1"/>
  <c r="T179" i="2"/>
  <c r="J185" i="2"/>
  <c r="T189" i="2"/>
  <c r="AA191" i="2"/>
  <c r="Z191" i="2"/>
  <c r="X191" i="2"/>
  <c r="W191" i="2"/>
  <c r="AD191" i="2" s="1"/>
  <c r="V191" i="2"/>
  <c r="S191" i="2"/>
  <c r="AC191" i="2" s="1"/>
  <c r="F193" i="2"/>
  <c r="G207" i="2"/>
  <c r="O208" i="2"/>
  <c r="V211" i="2"/>
  <c r="AD212" i="2"/>
  <c r="T214" i="2"/>
  <c r="O231" i="2"/>
  <c r="AA173" i="2"/>
  <c r="AA177" i="2"/>
  <c r="Y177" i="2"/>
  <c r="U177" i="2"/>
  <c r="T177" i="2"/>
  <c r="W179" i="2"/>
  <c r="AD179" i="2" s="1"/>
  <c r="I193" i="2"/>
  <c r="M199" i="2"/>
  <c r="K199" i="2"/>
  <c r="J199" i="2"/>
  <c r="I199" i="2"/>
  <c r="F199" i="2"/>
  <c r="Y214" i="2"/>
  <c r="G101" i="2"/>
  <c r="G103" i="2"/>
  <c r="G120" i="2"/>
  <c r="I123" i="2"/>
  <c r="G130" i="2"/>
  <c r="I135" i="2"/>
  <c r="G136" i="2"/>
  <c r="G146" i="2"/>
  <c r="I147" i="2"/>
  <c r="I151" i="2"/>
  <c r="G154" i="2"/>
  <c r="I173" i="2"/>
  <c r="P173" i="2" s="1"/>
  <c r="H173" i="2"/>
  <c r="D173" i="2"/>
  <c r="P176" i="2"/>
  <c r="R177" i="2"/>
  <c r="Y179" i="2"/>
  <c r="P182" i="2"/>
  <c r="X189" i="2"/>
  <c r="Y191" i="2"/>
  <c r="K193" i="2"/>
  <c r="AD196" i="2"/>
  <c r="D199" i="2"/>
  <c r="Z214" i="2"/>
  <c r="V240" i="2"/>
  <c r="U240" i="2"/>
  <c r="T240" i="2"/>
  <c r="G246" i="2"/>
  <c r="X246" i="2"/>
  <c r="S246" i="2"/>
  <c r="AB246" i="2"/>
  <c r="U246" i="2"/>
  <c r="N246" i="2"/>
  <c r="M246" i="2"/>
  <c r="H101" i="2"/>
  <c r="H103" i="2"/>
  <c r="H120" i="2"/>
  <c r="J123" i="2"/>
  <c r="D124" i="2"/>
  <c r="T124" i="2" s="1"/>
  <c r="H130" i="2"/>
  <c r="J135" i="2"/>
  <c r="Q135" i="2" s="1"/>
  <c r="H136" i="2"/>
  <c r="D138" i="2"/>
  <c r="D144" i="2"/>
  <c r="Q144" i="2" s="1"/>
  <c r="H146" i="2"/>
  <c r="J147" i="2"/>
  <c r="D150" i="2"/>
  <c r="Q150" i="2" s="1"/>
  <c r="H154" i="2"/>
  <c r="D156" i="2"/>
  <c r="Q246" i="2"/>
  <c r="Q174" i="2"/>
  <c r="T174" i="2" s="1"/>
  <c r="Y172" i="2"/>
  <c r="X172" i="2"/>
  <c r="T172" i="2"/>
  <c r="E173" i="2"/>
  <c r="O173" i="2" s="1"/>
  <c r="S177" i="2"/>
  <c r="AC177" i="2" s="1"/>
  <c r="Z179" i="2"/>
  <c r="AD185" i="2"/>
  <c r="Y189" i="2"/>
  <c r="AD192" i="2"/>
  <c r="L193" i="2"/>
  <c r="E199" i="2"/>
  <c r="Y206" i="2"/>
  <c r="X206" i="2"/>
  <c r="W206" i="2"/>
  <c r="AD206" i="2" s="1"/>
  <c r="T206" i="2"/>
  <c r="S206" i="2"/>
  <c r="AC206" i="2" s="1"/>
  <c r="P208" i="2"/>
  <c r="X209" i="2"/>
  <c r="W209" i="2"/>
  <c r="AD209" i="2" s="1"/>
  <c r="P226" i="2"/>
  <c r="R240" i="2"/>
  <c r="I103" i="2"/>
  <c r="I120" i="2"/>
  <c r="K123" i="2"/>
  <c r="E124" i="2"/>
  <c r="I130" i="2"/>
  <c r="K135" i="2"/>
  <c r="R135" i="2" s="1"/>
  <c r="I136" i="2"/>
  <c r="E144" i="2"/>
  <c r="I146" i="2"/>
  <c r="E150" i="2"/>
  <c r="I154" i="2"/>
  <c r="E156" i="2"/>
  <c r="F173" i="2"/>
  <c r="U174" i="2"/>
  <c r="V177" i="2"/>
  <c r="AA179" i="2"/>
  <c r="Z189" i="2"/>
  <c r="W193" i="2"/>
  <c r="AD193" i="2" s="1"/>
  <c r="V193" i="2"/>
  <c r="T193" i="2"/>
  <c r="S193" i="2"/>
  <c r="AC193" i="2" s="1"/>
  <c r="R193" i="2"/>
  <c r="G199" i="2"/>
  <c r="S240" i="2"/>
  <c r="J103" i="2"/>
  <c r="D105" i="2"/>
  <c r="Q105" i="2" s="1"/>
  <c r="D107" i="2"/>
  <c r="D109" i="2"/>
  <c r="D111" i="2"/>
  <c r="U111" i="2" s="1"/>
  <c r="D113" i="2"/>
  <c r="D115" i="2"/>
  <c r="U115" i="2" s="1"/>
  <c r="J120" i="2"/>
  <c r="Q120" i="2" s="1"/>
  <c r="D121" i="2"/>
  <c r="Q121" i="2" s="1"/>
  <c r="F124" i="2"/>
  <c r="P124" i="2" s="1"/>
  <c r="J130" i="2"/>
  <c r="Q130" i="2" s="1"/>
  <c r="D131" i="2"/>
  <c r="D143" i="2"/>
  <c r="F144" i="2"/>
  <c r="P144" i="2" s="1"/>
  <c r="F150" i="2"/>
  <c r="P150" i="2" s="1"/>
  <c r="G173" i="2"/>
  <c r="V174" i="2"/>
  <c r="C247" i="2"/>
  <c r="L247" i="2" s="1"/>
  <c r="M175" i="2"/>
  <c r="L175" i="2"/>
  <c r="H175" i="2"/>
  <c r="W177" i="2"/>
  <c r="AD177" i="2" s="1"/>
  <c r="H199" i="2"/>
  <c r="Y201" i="2"/>
  <c r="X201" i="2"/>
  <c r="W201" i="2"/>
  <c r="AD201" i="2" s="1"/>
  <c r="T201" i="2"/>
  <c r="K204" i="2"/>
  <c r="J204" i="2"/>
  <c r="I204" i="2"/>
  <c r="P204" i="2" s="1"/>
  <c r="G204" i="2"/>
  <c r="F204" i="2"/>
  <c r="E204" i="2"/>
  <c r="O204" i="2" s="1"/>
  <c r="J205" i="2"/>
  <c r="I205" i="2"/>
  <c r="P205" i="2" s="1"/>
  <c r="K219" i="2"/>
  <c r="J219" i="2"/>
  <c r="I219" i="2"/>
  <c r="P219" i="2" s="1"/>
  <c r="F219" i="2"/>
  <c r="E219" i="2"/>
  <c r="O219" i="2" s="1"/>
  <c r="AD227" i="2"/>
  <c r="S239" i="2"/>
  <c r="AC239" i="2" s="1"/>
  <c r="W239" i="2"/>
  <c r="AD239" i="2" s="1"/>
  <c r="I243" i="2"/>
  <c r="M101" i="2"/>
  <c r="T101" i="2" s="1"/>
  <c r="M103" i="2"/>
  <c r="G105" i="2"/>
  <c r="G107" i="2"/>
  <c r="G109" i="2"/>
  <c r="G111" i="2"/>
  <c r="G113" i="2"/>
  <c r="G115" i="2"/>
  <c r="G121" i="2"/>
  <c r="I124" i="2"/>
  <c r="G131" i="2"/>
  <c r="I138" i="2"/>
  <c r="G139" i="2"/>
  <c r="G143" i="2"/>
  <c r="I144" i="2"/>
  <c r="I150" i="2"/>
  <c r="G153" i="2"/>
  <c r="L173" i="2"/>
  <c r="F175" i="2"/>
  <c r="AB177" i="2"/>
  <c r="AA186" i="2"/>
  <c r="Z186" i="2"/>
  <c r="X186" i="2"/>
  <c r="W186" i="2"/>
  <c r="V186" i="2"/>
  <c r="T186" i="2"/>
  <c r="S186" i="2"/>
  <c r="AC186" i="2" s="1"/>
  <c r="R186" i="2"/>
  <c r="Z187" i="2"/>
  <c r="Y187" i="2"/>
  <c r="X187" i="2"/>
  <c r="U187" i="2"/>
  <c r="Z193" i="2"/>
  <c r="M195" i="2"/>
  <c r="K195" i="2"/>
  <c r="J195" i="2"/>
  <c r="I195" i="2"/>
  <c r="G195" i="2"/>
  <c r="F195" i="2"/>
  <c r="E195" i="2"/>
  <c r="O195" i="2" s="1"/>
  <c r="U201" i="2"/>
  <c r="P203" i="2"/>
  <c r="L204" i="2"/>
  <c r="F205" i="2"/>
  <c r="V209" i="2"/>
  <c r="K212" i="2"/>
  <c r="J212" i="2"/>
  <c r="I212" i="2"/>
  <c r="F212" i="2"/>
  <c r="E212" i="2"/>
  <c r="H219" i="2"/>
  <c r="S225" i="2"/>
  <c r="AC225" i="2" s="1"/>
  <c r="Y225" i="2"/>
  <c r="X225" i="2"/>
  <c r="W225" i="2"/>
  <c r="AD225" i="2" s="1"/>
  <c r="V225" i="2"/>
  <c r="U225" i="2"/>
  <c r="T225" i="2"/>
  <c r="J229" i="2"/>
  <c r="H229" i="2"/>
  <c r="G229" i="2"/>
  <c r="E229" i="2"/>
  <c r="D229" i="2"/>
  <c r="P229" i="2" s="1"/>
  <c r="O234" i="2"/>
  <c r="U239" i="2"/>
  <c r="Z172" i="2"/>
  <c r="M173" i="2"/>
  <c r="G175" i="2"/>
  <c r="Y178" i="2"/>
  <c r="X178" i="2"/>
  <c r="T178" i="2"/>
  <c r="AB182" i="2"/>
  <c r="AA182" i="2"/>
  <c r="Y182" i="2"/>
  <c r="W182" i="2"/>
  <c r="AD182" i="2" s="1"/>
  <c r="U182" i="2"/>
  <c r="T182" i="2"/>
  <c r="S182" i="2"/>
  <c r="AC182" i="2" s="1"/>
  <c r="M184" i="2"/>
  <c r="L184" i="2"/>
  <c r="K184" i="2"/>
  <c r="I184" i="2"/>
  <c r="H184" i="2"/>
  <c r="G184" i="2"/>
  <c r="D184" i="2"/>
  <c r="O184" i="2" s="1"/>
  <c r="U186" i="2"/>
  <c r="R187" i="2"/>
  <c r="AC187" i="2" s="1"/>
  <c r="AA193" i="2"/>
  <c r="D195" i="2"/>
  <c r="V201" i="2"/>
  <c r="X204" i="2"/>
  <c r="W204" i="2"/>
  <c r="AD204" i="2" s="1"/>
  <c r="G205" i="2"/>
  <c r="Y209" i="2"/>
  <c r="D212" i="2"/>
  <c r="R225" i="2"/>
  <c r="F229" i="2"/>
  <c r="O237" i="2"/>
  <c r="V239" i="2"/>
  <c r="P237" i="2"/>
  <c r="H163" i="2"/>
  <c r="AB180" i="2"/>
  <c r="W233" i="2"/>
  <c r="AD233" i="2" s="1"/>
  <c r="U233" i="2"/>
  <c r="T233" i="2"/>
  <c r="W229" i="2"/>
  <c r="U229" i="2"/>
  <c r="T229" i="2"/>
  <c r="S229" i="2"/>
  <c r="X231" i="2"/>
  <c r="W231" i="2"/>
  <c r="T231" i="2"/>
  <c r="S231" i="2"/>
  <c r="R231" i="2"/>
  <c r="AD236" i="2"/>
  <c r="L163" i="2"/>
  <c r="D183" i="2"/>
  <c r="D187" i="2"/>
  <c r="U194" i="2"/>
  <c r="D198" i="2"/>
  <c r="R229" i="2"/>
  <c r="U231" i="2"/>
  <c r="AD237" i="2"/>
  <c r="S241" i="2"/>
  <c r="AC241" i="2" s="1"/>
  <c r="E183" i="2"/>
  <c r="E187" i="2"/>
  <c r="O187" i="2" s="1"/>
  <c r="R190" i="2"/>
  <c r="AC190" i="2" s="1"/>
  <c r="E198" i="2"/>
  <c r="R200" i="2"/>
  <c r="X226" i="2"/>
  <c r="W226" i="2"/>
  <c r="T226" i="2"/>
  <c r="S226" i="2"/>
  <c r="R226" i="2"/>
  <c r="X228" i="2"/>
  <c r="W228" i="2"/>
  <c r="AD228" i="2" s="1"/>
  <c r="V228" i="2"/>
  <c r="T228" i="2"/>
  <c r="S228" i="2"/>
  <c r="AC228" i="2" s="1"/>
  <c r="V229" i="2"/>
  <c r="V231" i="2"/>
  <c r="T241" i="2"/>
  <c r="J248" i="2"/>
  <c r="G248" i="2"/>
  <c r="Z248" i="2"/>
  <c r="S248" i="2"/>
  <c r="G183" i="2"/>
  <c r="G187" i="2"/>
  <c r="G198" i="2"/>
  <c r="T200" i="2"/>
  <c r="S210" i="2"/>
  <c r="AC210" i="2" s="1"/>
  <c r="E211" i="2"/>
  <c r="O211" i="2" s="1"/>
  <c r="S215" i="2"/>
  <c r="AC215" i="2" s="1"/>
  <c r="E216" i="2"/>
  <c r="O216" i="2" s="1"/>
  <c r="V226" i="2"/>
  <c r="U228" i="2"/>
  <c r="H198" i="2"/>
  <c r="Q247" i="2"/>
  <c r="E182" i="2"/>
  <c r="O182" i="2" s="1"/>
  <c r="I183" i="2"/>
  <c r="R185" i="2"/>
  <c r="I187" i="2"/>
  <c r="P187" i="2" s="1"/>
  <c r="E194" i="2"/>
  <c r="O194" i="2" s="1"/>
  <c r="R196" i="2"/>
  <c r="AC196" i="2" s="1"/>
  <c r="I198" i="2"/>
  <c r="V200" i="2"/>
  <c r="Q248" i="2"/>
  <c r="S175" i="2"/>
  <c r="AC175" i="2" s="1"/>
  <c r="T185" i="2"/>
  <c r="K187" i="2"/>
  <c r="Q188" i="2"/>
  <c r="Z188" i="2" s="1"/>
  <c r="K198" i="2"/>
  <c r="S207" i="2"/>
  <c r="AC207" i="2" s="1"/>
  <c r="D234" i="2"/>
  <c r="I234" i="2"/>
  <c r="P234" i="2" s="1"/>
  <c r="I236" i="2"/>
  <c r="P236" i="2" s="1"/>
  <c r="G236" i="2"/>
  <c r="F236" i="2"/>
  <c r="E236" i="2"/>
  <c r="O236" i="2" s="1"/>
  <c r="D232" i="2"/>
  <c r="P232" i="2" s="1"/>
  <c r="D235" i="2"/>
  <c r="O235" i="2" s="1"/>
  <c r="F232" i="2"/>
  <c r="F235" i="2"/>
  <c r="S237" i="2"/>
  <c r="AC237" i="2" s="1"/>
  <c r="R220" i="2"/>
  <c r="R222" i="2"/>
  <c r="AC222" i="2" s="1"/>
  <c r="R224" i="2"/>
  <c r="G232" i="2"/>
  <c r="R234" i="2"/>
  <c r="AD234" i="2" s="1"/>
  <c r="G235" i="2"/>
  <c r="T237" i="2"/>
  <c r="S220" i="2"/>
  <c r="S224" i="2"/>
  <c r="D230" i="2"/>
  <c r="P230" i="2" s="1"/>
  <c r="S234" i="2"/>
  <c r="AC234" i="2" s="1"/>
  <c r="D239" i="2"/>
  <c r="P239" i="2" s="1"/>
  <c r="V220" i="2"/>
  <c r="V224" i="2"/>
  <c r="W220" i="2"/>
  <c r="W222" i="2"/>
  <c r="AD222" i="2" s="1"/>
  <c r="W224" i="2"/>
  <c r="D228" i="2"/>
  <c r="P228" i="2" s="1"/>
  <c r="H230" i="2"/>
  <c r="D233" i="2"/>
  <c r="P233" i="2" s="1"/>
  <c r="H239" i="2"/>
  <c r="D241" i="2"/>
  <c r="E228" i="2"/>
  <c r="E233" i="2"/>
  <c r="E241" i="2"/>
  <c r="G228" i="2"/>
  <c r="S232" i="2"/>
  <c r="AC232" i="2" s="1"/>
  <c r="E240" i="2"/>
  <c r="O240" i="2" s="1"/>
  <c r="S96" i="7" l="1"/>
  <c r="S14" i="7"/>
  <c r="V27" i="7"/>
  <c r="V47" i="7"/>
  <c r="R29" i="7"/>
  <c r="S65" i="7"/>
  <c r="R70" i="7"/>
  <c r="X31" i="7"/>
  <c r="V26" i="7"/>
  <c r="E122" i="7"/>
  <c r="W27" i="7"/>
  <c r="R75" i="7"/>
  <c r="R22" i="7"/>
  <c r="T61" i="7"/>
  <c r="R99" i="7"/>
  <c r="W26" i="7"/>
  <c r="S20" i="7"/>
  <c r="S47" i="7"/>
  <c r="R47" i="7"/>
  <c r="U22" i="7"/>
  <c r="U96" i="7"/>
  <c r="T96" i="7"/>
  <c r="W14" i="7"/>
  <c r="V61" i="7"/>
  <c r="W29" i="7"/>
  <c r="W61" i="7"/>
  <c r="T103" i="7"/>
  <c r="W60" i="7"/>
  <c r="R20" i="7"/>
  <c r="V5" i="7"/>
  <c r="U47" i="7"/>
  <c r="W70" i="7"/>
  <c r="S48" i="7"/>
  <c r="V20" i="7"/>
  <c r="V13" i="7"/>
  <c r="W5" i="7"/>
  <c r="V22" i="7"/>
  <c r="T29" i="7"/>
  <c r="U48" i="7"/>
  <c r="U27" i="7"/>
  <c r="T47" i="7"/>
  <c r="S69" i="7"/>
  <c r="R109" i="7"/>
  <c r="R18" i="7"/>
  <c r="U11" i="7"/>
  <c r="W13" i="7"/>
  <c r="X5" i="7"/>
  <c r="S22" i="7"/>
  <c r="V70" i="7"/>
  <c r="V48" i="7"/>
  <c r="W19" i="7"/>
  <c r="U21" i="7"/>
  <c r="V14" i="7"/>
  <c r="S29" i="7"/>
  <c r="V68" i="7"/>
  <c r="U68" i="7"/>
  <c r="U26" i="7"/>
  <c r="X13" i="7"/>
  <c r="T22" i="7"/>
  <c r="V21" i="7"/>
  <c r="S99" i="7"/>
  <c r="W59" i="7"/>
  <c r="T59" i="7"/>
  <c r="T76" i="7"/>
  <c r="T26" i="7"/>
  <c r="S13" i="7"/>
  <c r="T58" i="7"/>
  <c r="S58" i="7"/>
  <c r="R14" i="7"/>
  <c r="U14" i="7"/>
  <c r="V28" i="7"/>
  <c r="U61" i="7"/>
  <c r="R61" i="7"/>
  <c r="U30" i="7"/>
  <c r="T69" i="7"/>
  <c r="V76" i="7"/>
  <c r="U13" i="7"/>
  <c r="R11" i="7"/>
  <c r="S75" i="7"/>
  <c r="R59" i="7"/>
  <c r="E120" i="7"/>
  <c r="R27" i="7"/>
  <c r="R67" i="7"/>
  <c r="V58" i="7"/>
  <c r="T84" i="7"/>
  <c r="U29" i="7"/>
  <c r="S30" i="7"/>
  <c r="S60" i="7"/>
  <c r="W49" i="7"/>
  <c r="T5" i="7"/>
  <c r="W51" i="7"/>
  <c r="U75" i="7"/>
  <c r="S24" i="7"/>
  <c r="E121" i="7"/>
  <c r="V84" i="7"/>
  <c r="S28" i="7"/>
  <c r="U58" i="7"/>
  <c r="X23" i="7"/>
  <c r="R76" i="7"/>
  <c r="J120" i="7"/>
  <c r="O120" i="7"/>
  <c r="N120" i="7"/>
  <c r="I120" i="7"/>
  <c r="H120" i="7"/>
  <c r="R120" i="7" s="1"/>
  <c r="G120" i="7"/>
  <c r="F120" i="7"/>
  <c r="Q120" i="7"/>
  <c r="X120" i="7" s="1"/>
  <c r="M120" i="7"/>
  <c r="T120" i="7" s="1"/>
  <c r="P120" i="7"/>
  <c r="W120" i="7" s="1"/>
  <c r="L120" i="7"/>
  <c r="S120" i="7" s="1"/>
  <c r="K120" i="7"/>
  <c r="W75" i="7"/>
  <c r="R73" i="7"/>
  <c r="X8" i="7"/>
  <c r="V24" i="7"/>
  <c r="R12" i="7"/>
  <c r="U70" i="7"/>
  <c r="V65" i="7"/>
  <c r="S27" i="7"/>
  <c r="T53" i="7"/>
  <c r="S91" i="7"/>
  <c r="V75" i="7"/>
  <c r="T73" i="7"/>
  <c r="X24" i="7"/>
  <c r="U29" i="6"/>
  <c r="T41" i="6"/>
  <c r="U72" i="6"/>
  <c r="R61" i="6"/>
  <c r="S55" i="6"/>
  <c r="E124" i="6"/>
  <c r="S69" i="6"/>
  <c r="W66" i="6"/>
  <c r="S66" i="6"/>
  <c r="S39" i="6"/>
  <c r="R39" i="6"/>
  <c r="V72" i="6"/>
  <c r="T67" i="6"/>
  <c r="T27" i="6"/>
  <c r="U27" i="6"/>
  <c r="T55" i="6"/>
  <c r="T72" i="6"/>
  <c r="T4" i="6"/>
  <c r="S107" i="6"/>
  <c r="U67" i="6"/>
  <c r="U61" i="6"/>
  <c r="U55" i="6"/>
  <c r="T73" i="6"/>
  <c r="R17" i="6"/>
  <c r="X4" i="6"/>
  <c r="W44" i="6"/>
  <c r="V61" i="6"/>
  <c r="R94" i="6"/>
  <c r="U78" i="6"/>
  <c r="S52" i="6"/>
  <c r="U93" i="6"/>
  <c r="J120" i="6"/>
  <c r="L120" i="6"/>
  <c r="S120" i="6" s="1"/>
  <c r="K120" i="6"/>
  <c r="I120" i="6"/>
  <c r="H120" i="6"/>
  <c r="R120" i="6" s="1"/>
  <c r="N120" i="6"/>
  <c r="U120" i="6" s="1"/>
  <c r="Q120" i="6"/>
  <c r="X120" i="6" s="1"/>
  <c r="P120" i="6"/>
  <c r="W120" i="6" s="1"/>
  <c r="O120" i="6"/>
  <c r="V120" i="6" s="1"/>
  <c r="M120" i="6"/>
  <c r="G120" i="6"/>
  <c r="F120" i="6"/>
  <c r="T48" i="6"/>
  <c r="W74" i="6"/>
  <c r="S61" i="6"/>
  <c r="R41" i="6"/>
  <c r="R55" i="6"/>
  <c r="V55" i="6"/>
  <c r="W49" i="6"/>
  <c r="T44" i="6"/>
  <c r="W41" i="6"/>
  <c r="R72" i="6"/>
  <c r="S59" i="6"/>
  <c r="R59" i="6"/>
  <c r="T107" i="6"/>
  <c r="S94" i="6"/>
  <c r="U73" i="6"/>
  <c r="U47" i="6"/>
  <c r="T47" i="6"/>
  <c r="R49" i="6"/>
  <c r="V41" i="6"/>
  <c r="S44" i="6"/>
  <c r="R7" i="6"/>
  <c r="R27" i="6"/>
  <c r="S68" i="6"/>
  <c r="X7" i="6"/>
  <c r="S93" i="6"/>
  <c r="R107" i="6"/>
  <c r="S32" i="6"/>
  <c r="W4" i="6"/>
  <c r="U41" i="6"/>
  <c r="T61" i="6"/>
  <c r="S97" i="6"/>
  <c r="T97" i="6"/>
  <c r="S7" i="6"/>
  <c r="R74" i="6"/>
  <c r="W27" i="6"/>
  <c r="T68" i="6"/>
  <c r="S27" i="6"/>
  <c r="W55" i="6"/>
  <c r="U94" i="6"/>
  <c r="S41" i="6"/>
  <c r="V3" i="6"/>
  <c r="V4" i="6"/>
  <c r="V73" i="6"/>
  <c r="W29" i="6"/>
  <c r="V29" i="6"/>
  <c r="S3" i="6"/>
  <c r="R97" i="6"/>
  <c r="R35" i="6"/>
  <c r="W73" i="6"/>
  <c r="W24" i="6"/>
  <c r="R98" i="6"/>
  <c r="U74" i="6"/>
  <c r="S28" i="6"/>
  <c r="V17" i="6"/>
  <c r="W17" i="6"/>
  <c r="U17" i="6"/>
  <c r="S17" i="6"/>
  <c r="T17" i="6"/>
  <c r="R34" i="6"/>
  <c r="W68" i="6"/>
  <c r="R93" i="6"/>
  <c r="S73" i="6"/>
  <c r="S98" i="6"/>
  <c r="R52" i="6"/>
  <c r="W48" i="6"/>
  <c r="X29" i="6"/>
  <c r="U87" i="6"/>
  <c r="V47" i="6"/>
  <c r="R29" i="6"/>
  <c r="X30" i="6"/>
  <c r="V44" i="6"/>
  <c r="R67" i="6"/>
  <c r="S29" i="6"/>
  <c r="U68" i="6"/>
  <c r="U21" i="6"/>
  <c r="T98" i="6"/>
  <c r="X11" i="6"/>
  <c r="T81" i="6"/>
  <c r="W10" i="6"/>
  <c r="V28" i="6"/>
  <c r="S72" i="6"/>
  <c r="R81" i="6"/>
  <c r="J123" i="5"/>
  <c r="O233" i="2"/>
  <c r="Y248" i="2"/>
  <c r="I246" i="2"/>
  <c r="AB174" i="2"/>
  <c r="P132" i="2"/>
  <c r="Q124" i="2"/>
  <c r="O228" i="2"/>
  <c r="D248" i="2"/>
  <c r="AD229" i="2"/>
  <c r="Z174" i="2"/>
  <c r="G243" i="2"/>
  <c r="O199" i="2"/>
  <c r="K246" i="2"/>
  <c r="S174" i="2"/>
  <c r="AC174" i="2" s="1"/>
  <c r="AD214" i="2"/>
  <c r="D247" i="2"/>
  <c r="R243" i="2"/>
  <c r="AD243" i="2" s="1"/>
  <c r="T111" i="2"/>
  <c r="P183" i="2"/>
  <c r="O183" i="2"/>
  <c r="H243" i="2"/>
  <c r="T121" i="2"/>
  <c r="P121" i="2"/>
  <c r="Q138" i="2"/>
  <c r="R138" i="2"/>
  <c r="P138" i="2"/>
  <c r="L246" i="2"/>
  <c r="O230" i="2"/>
  <c r="AC243" i="2"/>
  <c r="P135" i="2"/>
  <c r="T105" i="2"/>
  <c r="P105" i="2"/>
  <c r="M158" i="2"/>
  <c r="E158" i="2"/>
  <c r="D158" i="2"/>
  <c r="O180" i="2"/>
  <c r="K243" i="2"/>
  <c r="T113" i="2"/>
  <c r="U113" i="2"/>
  <c r="S113" i="2"/>
  <c r="P113" i="2"/>
  <c r="P89" i="2"/>
  <c r="S105" i="2"/>
  <c r="AD224" i="2"/>
  <c r="AC224" i="2"/>
  <c r="H248" i="2"/>
  <c r="P184" i="2"/>
  <c r="O212" i="2"/>
  <c r="D243" i="2"/>
  <c r="P243" i="2" s="1"/>
  <c r="Z246" i="2"/>
  <c r="F158" i="2"/>
  <c r="P158" i="2" s="1"/>
  <c r="AD211" i="2"/>
  <c r="O177" i="2"/>
  <c r="P214" i="2"/>
  <c r="AA247" i="2"/>
  <c r="AD197" i="2"/>
  <c r="T99" i="2"/>
  <c r="P127" i="2"/>
  <c r="U243" i="2"/>
  <c r="AC195" i="2"/>
  <c r="F162" i="2"/>
  <c r="P162" i="2" s="1"/>
  <c r="S89" i="2"/>
  <c r="AC208" i="2"/>
  <c r="J247" i="2"/>
  <c r="V243" i="2"/>
  <c r="G162" i="2"/>
  <c r="S92" i="2"/>
  <c r="P151" i="2"/>
  <c r="AC220" i="2"/>
  <c r="U109" i="2"/>
  <c r="P109" i="2"/>
  <c r="Q123" i="2"/>
  <c r="AC214" i="2"/>
  <c r="AD220" i="2"/>
  <c r="S163" i="2"/>
  <c r="P212" i="2"/>
  <c r="U107" i="2"/>
  <c r="T107" i="2"/>
  <c r="S107" i="2"/>
  <c r="R246" i="2"/>
  <c r="O227" i="2"/>
  <c r="N188" i="2"/>
  <c r="M188" i="2"/>
  <c r="K188" i="2"/>
  <c r="J188" i="2"/>
  <c r="I188" i="2"/>
  <c r="F188" i="2"/>
  <c r="L188" i="2"/>
  <c r="E188" i="2"/>
  <c r="O188" i="2" s="1"/>
  <c r="D188" i="2"/>
  <c r="H188" i="2"/>
  <c r="G188" i="2"/>
  <c r="R113" i="2"/>
  <c r="AD230" i="2"/>
  <c r="V247" i="2"/>
  <c r="L162" i="2"/>
  <c r="O232" i="2"/>
  <c r="Q92" i="2"/>
  <c r="S138" i="2"/>
  <c r="R91" i="2"/>
  <c r="H77" i="2"/>
  <c r="F77" i="2"/>
  <c r="AB188" i="2"/>
  <c r="AA188" i="2"/>
  <c r="Y188" i="2"/>
  <c r="X188" i="2"/>
  <c r="U188" i="2"/>
  <c r="W188" i="2"/>
  <c r="AD188" i="2" s="1"/>
  <c r="V188" i="2"/>
  <c r="T188" i="2"/>
  <c r="S188" i="2"/>
  <c r="AC188" i="2" s="1"/>
  <c r="J158" i="2"/>
  <c r="Q158" i="2" s="1"/>
  <c r="R188" i="2"/>
  <c r="Q109" i="2"/>
  <c r="T246" i="2"/>
  <c r="P163" i="2"/>
  <c r="J163" i="2"/>
  <c r="G163" i="2"/>
  <c r="AD208" i="2"/>
  <c r="AB247" i="2"/>
  <c r="S127" i="2"/>
  <c r="AD195" i="2"/>
  <c r="N162" i="2"/>
  <c r="U162" i="2" s="1"/>
  <c r="T115" i="2"/>
  <c r="S115" i="2"/>
  <c r="T91" i="2"/>
  <c r="P235" i="2"/>
  <c r="W246" i="2"/>
  <c r="AD246" i="2" s="1"/>
  <c r="O207" i="2"/>
  <c r="R89" i="2"/>
  <c r="S128" i="2"/>
  <c r="F247" i="2"/>
  <c r="P215" i="2"/>
  <c r="I163" i="2"/>
  <c r="Q111" i="2"/>
  <c r="O103" i="2"/>
  <c r="E103" i="2"/>
  <c r="D103" i="2"/>
  <c r="S103" i="2" s="1"/>
  <c r="P147" i="2"/>
  <c r="D162" i="2"/>
  <c r="R162" i="2" s="1"/>
  <c r="R109" i="2"/>
  <c r="P107" i="2"/>
  <c r="U89" i="2"/>
  <c r="E243" i="2"/>
  <c r="O243" i="2" s="1"/>
  <c r="U91" i="2"/>
  <c r="S123" i="2"/>
  <c r="T123" i="2"/>
  <c r="J243" i="2"/>
  <c r="AC246" i="2"/>
  <c r="AD186" i="2"/>
  <c r="D246" i="2"/>
  <c r="P157" i="2"/>
  <c r="AD238" i="2"/>
  <c r="H247" i="2"/>
  <c r="D163" i="2"/>
  <c r="R163" i="2" s="1"/>
  <c r="H162" i="2"/>
  <c r="O239" i="2"/>
  <c r="AD187" i="2"/>
  <c r="P142" i="2"/>
  <c r="S109" i="2"/>
  <c r="V91" i="2"/>
  <c r="Q115" i="2"/>
  <c r="AA174" i="2"/>
  <c r="W174" i="2"/>
  <c r="X174" i="2"/>
  <c r="P207" i="2"/>
  <c r="P247" i="2"/>
  <c r="H78" i="2"/>
  <c r="F78" i="2"/>
  <c r="AC226" i="2"/>
  <c r="AC231" i="2"/>
  <c r="O229" i="2"/>
  <c r="E246" i="2"/>
  <c r="R174" i="2"/>
  <c r="O172" i="2"/>
  <c r="P210" i="2"/>
  <c r="Q107" i="2"/>
  <c r="AC238" i="2"/>
  <c r="K247" i="2"/>
  <c r="T129" i="2"/>
  <c r="O223" i="2"/>
  <c r="O162" i="2"/>
  <c r="V89" i="2"/>
  <c r="R121" i="2"/>
  <c r="P115" i="2"/>
  <c r="R248" i="2"/>
  <c r="E248" i="2"/>
  <c r="O248" i="2" s="1"/>
  <c r="K158" i="2"/>
  <c r="R158" i="2" s="1"/>
  <c r="I158" i="2"/>
  <c r="Y246" i="2"/>
  <c r="P199" i="2"/>
  <c r="P227" i="2"/>
  <c r="Q89" i="2"/>
  <c r="Q148" i="2"/>
  <c r="R128" i="2"/>
  <c r="P152" i="2"/>
  <c r="M247" i="2"/>
  <c r="P221" i="2"/>
  <c r="T128" i="2"/>
  <c r="Q132" i="2"/>
  <c r="T117" i="2"/>
  <c r="T92" i="2"/>
  <c r="AD216" i="2"/>
  <c r="O247" i="2"/>
  <c r="R107" i="2"/>
  <c r="N247" i="2"/>
  <c r="S132" i="2"/>
  <c r="O238" i="2"/>
  <c r="P174" i="2"/>
  <c r="P223" i="2"/>
  <c r="R132" i="2"/>
  <c r="J161" i="2"/>
  <c r="Q161" i="2" s="1"/>
  <c r="K161" i="2"/>
  <c r="R161" i="2" s="1"/>
  <c r="I161" i="2"/>
  <c r="F161" i="2"/>
  <c r="P161" i="2" s="1"/>
  <c r="E161" i="2"/>
  <c r="N161" i="2"/>
  <c r="U161" i="2" s="1"/>
  <c r="O161" i="2"/>
  <c r="V161" i="2" s="1"/>
  <c r="M161" i="2"/>
  <c r="T161" i="2" s="1"/>
  <c r="L161" i="2"/>
  <c r="S161" i="2" s="1"/>
  <c r="H161" i="2"/>
  <c r="G161" i="2"/>
  <c r="R115" i="2"/>
  <c r="U105" i="2"/>
  <c r="Q113" i="2"/>
  <c r="P198" i="2"/>
  <c r="AC240" i="2"/>
  <c r="G158" i="2"/>
  <c r="R247" i="2"/>
  <c r="AD247" i="2" s="1"/>
  <c r="P111" i="2"/>
  <c r="N103" i="2"/>
  <c r="V246" i="2"/>
  <c r="F246" i="2"/>
  <c r="AC229" i="2"/>
  <c r="Y174" i="2"/>
  <c r="Q143" i="2"/>
  <c r="P143" i="2"/>
  <c r="J246" i="2"/>
  <c r="H158" i="2"/>
  <c r="L158" i="2"/>
  <c r="S158" i="2" s="1"/>
  <c r="S137" i="2"/>
  <c r="AD184" i="2"/>
  <c r="O179" i="2"/>
  <c r="P178" i="2"/>
  <c r="R129" i="2"/>
  <c r="S247" i="2"/>
  <c r="Q129" i="2"/>
  <c r="S140" i="2"/>
  <c r="R111" i="2"/>
  <c r="R105" i="2"/>
  <c r="P133" i="2"/>
  <c r="R127" i="2"/>
  <c r="AC248" i="2"/>
  <c r="AD226" i="2"/>
  <c r="AD231" i="2"/>
  <c r="I248" i="2"/>
  <c r="P248" i="2" s="1"/>
  <c r="X248" i="2"/>
  <c r="W248" i="2"/>
  <c r="AD248" i="2" s="1"/>
  <c r="F248" i="2"/>
  <c r="L248" i="2"/>
  <c r="K248" i="2"/>
  <c r="T248" i="2"/>
  <c r="P128" i="2"/>
  <c r="O241" i="2"/>
  <c r="V248" i="2"/>
  <c r="O198" i="2"/>
  <c r="P195" i="2"/>
  <c r="R123" i="2"/>
  <c r="Q147" i="2"/>
  <c r="H246" i="2"/>
  <c r="P193" i="2"/>
  <c r="P117" i="2"/>
  <c r="F103" i="2"/>
  <c r="P103" i="2" s="1"/>
  <c r="Q128" i="2"/>
  <c r="T247" i="2"/>
  <c r="P238" i="2"/>
  <c r="R133" i="2"/>
  <c r="U92" i="2"/>
  <c r="U120" i="7" l="1"/>
  <c r="V120" i="7"/>
  <c r="T120" i="6"/>
  <c r="U103" i="2"/>
  <c r="Q103" i="2"/>
  <c r="S162" i="2"/>
  <c r="V162" i="2"/>
  <c r="R103" i="2"/>
  <c r="V103" i="2"/>
  <c r="P188" i="2"/>
  <c r="T162" i="2"/>
  <c r="T163" i="2"/>
  <c r="AC247" i="2"/>
  <c r="T103" i="2"/>
  <c r="O246" i="2"/>
  <c r="AD174" i="2"/>
  <c r="T158" i="2"/>
  <c r="Q162" i="2"/>
  <c r="Q163" i="2"/>
  <c r="P246" i="2"/>
</calcChain>
</file>

<file path=xl/sharedStrings.xml><?xml version="1.0" encoding="utf-8"?>
<sst xmlns="http://schemas.openxmlformats.org/spreadsheetml/2006/main" count="3573" uniqueCount="117">
  <si>
    <t>名将&amp;怒三国-运营大盘数据</t>
  </si>
  <si>
    <t>名将-运营大盘数据</t>
  </si>
  <si>
    <t>怒三国-运营大盘数据</t>
  </si>
  <si>
    <t>日期</t>
  </si>
  <si>
    <t>日活</t>
  </si>
  <si>
    <t>总付费人数</t>
  </si>
  <si>
    <t>日流水</t>
  </si>
  <si>
    <t>付费率</t>
  </si>
  <si>
    <t>ARPU</t>
  </si>
  <si>
    <t>ARPPU</t>
  </si>
  <si>
    <t>新增账号</t>
  </si>
  <si>
    <t>新增付费人数</t>
  </si>
  <si>
    <t>新增流水</t>
  </si>
  <si>
    <t>新增付费率</t>
  </si>
  <si>
    <t>新ARPU</t>
  </si>
  <si>
    <t>新ARPPU</t>
  </si>
  <si>
    <t>老用户数</t>
  </si>
  <si>
    <t>老付费人数</t>
  </si>
  <si>
    <t>老流水</t>
  </si>
  <si>
    <t>老付费率</t>
  </si>
  <si>
    <t>老ARPU</t>
  </si>
  <si>
    <t>老ARPPU</t>
  </si>
  <si>
    <t>--</t>
  </si>
  <si>
    <t>周年庆</t>
  </si>
  <si>
    <t>飞龙在天
≥30天，70级</t>
  </si>
  <si>
    <t>天枢轮回
≥30天</t>
  </si>
  <si>
    <t>饕餮
≥8天，18级</t>
  </si>
  <si>
    <t>奕定
≥40天</t>
  </si>
  <si>
    <t>见龙在田
≥8天，30级
镜花水月
≥30天，80级</t>
  </si>
  <si>
    <t>摸金
≥17天</t>
  </si>
  <si>
    <t>汉将
≥30天，30级</t>
  </si>
  <si>
    <t>兵临城下
≥21天</t>
  </si>
  <si>
    <t>开工累充
≥30天</t>
  </si>
  <si>
    <t>月照游园
≥8天，18级</t>
  </si>
  <si>
    <t>见龙在天，镜花水月
≥8天，30级
≥30天，80级</t>
  </si>
  <si>
    <t>总合计 / 平均</t>
  </si>
  <si>
    <t>12月</t>
  </si>
  <si>
    <t>1月</t>
  </si>
  <si>
    <t>2月</t>
  </si>
  <si>
    <t>3月</t>
  </si>
  <si>
    <t>名将&amp;怒三国-大盘LTV</t>
  </si>
  <si>
    <t>名将-大盘LTV</t>
  </si>
  <si>
    <t>怒三国-大盘LTV</t>
  </si>
  <si>
    <t>新增人数</t>
  </si>
  <si>
    <t>LTV1</t>
  </si>
  <si>
    <t>LTV2</t>
  </si>
  <si>
    <t>LTV3</t>
  </si>
  <si>
    <t>LTV4</t>
  </si>
  <si>
    <t>LTV5</t>
  </si>
  <si>
    <t>LTV6</t>
  </si>
  <si>
    <t>LTV7</t>
  </si>
  <si>
    <t>LTV14</t>
  </si>
  <si>
    <t>LTV21</t>
  </si>
  <si>
    <t>LTV30</t>
  </si>
  <si>
    <t>LTV45</t>
  </si>
  <si>
    <t>LTV60</t>
  </si>
  <si>
    <t>3/1</t>
  </si>
  <si>
    <t>7/1</t>
  </si>
  <si>
    <t>14/1</t>
  </si>
  <si>
    <t>21/1</t>
  </si>
  <si>
    <t>30/1</t>
  </si>
  <si>
    <t>45/1</t>
  </si>
  <si>
    <t>60/1</t>
  </si>
  <si>
    <t>名将&amp;怒三国-大盘留存</t>
  </si>
  <si>
    <t>名将-大盘留存</t>
  </si>
  <si>
    <t>怒三国-大盘留存</t>
  </si>
  <si>
    <t>次留</t>
  </si>
  <si>
    <t>3留</t>
  </si>
  <si>
    <t>4留</t>
  </si>
  <si>
    <t>5留</t>
  </si>
  <si>
    <t>6留</t>
  </si>
  <si>
    <t>7留</t>
  </si>
  <si>
    <t>14留</t>
  </si>
  <si>
    <t>21留</t>
  </si>
  <si>
    <t>30留</t>
  </si>
  <si>
    <t>45留</t>
  </si>
  <si>
    <t>60留</t>
  </si>
  <si>
    <t>23比</t>
  </si>
  <si>
    <t>27比</t>
  </si>
  <si>
    <t>付费人数</t>
  </si>
  <si>
    <t>付费次留</t>
  </si>
  <si>
    <t>付费3留</t>
  </si>
  <si>
    <t>付费4留</t>
  </si>
  <si>
    <t>付费5留</t>
  </si>
  <si>
    <t>付费6留</t>
  </si>
  <si>
    <t>付费7留</t>
  </si>
  <si>
    <t>付费14留</t>
  </si>
  <si>
    <t>付费21留</t>
  </si>
  <si>
    <t>付费30留</t>
  </si>
  <si>
    <t>付费45留</t>
  </si>
  <si>
    <t>付费60留</t>
  </si>
  <si>
    <t>消耗</t>
  </si>
  <si>
    <t>激活数</t>
  </si>
  <si>
    <t>现金激活成本</t>
  </si>
  <si>
    <t>注册数</t>
  </si>
  <si>
    <t>现金注册成本</t>
  </si>
  <si>
    <t>首日付费账号数</t>
  </si>
  <si>
    <t>现金首日付费成本</t>
  </si>
  <si>
    <t>首日付费金额</t>
  </si>
  <si>
    <t>现金首日ROI</t>
  </si>
  <si>
    <t>首日ARPPU</t>
  </si>
  <si>
    <t>次留率</t>
  </si>
  <si>
    <t>-</t>
  </si>
  <si>
    <t>累计付费金额</t>
  </si>
  <si>
    <t>现金累计ROI</t>
  </si>
  <si>
    <t>现金
1日ROI</t>
  </si>
  <si>
    <t>现金
2日ROI</t>
  </si>
  <si>
    <t>现金
3日ROI</t>
  </si>
  <si>
    <t>现金
4日ROI</t>
  </si>
  <si>
    <t>现金
5日ROI</t>
  </si>
  <si>
    <t>现金
6日ROI</t>
  </si>
  <si>
    <t>现金
7日ROI</t>
  </si>
  <si>
    <t>现金
14日ROI</t>
  </si>
  <si>
    <t>现金
21日ROI</t>
  </si>
  <si>
    <t>现金
30日ROI</t>
  </si>
  <si>
    <t>现金
45日ROI</t>
  </si>
  <si>
    <t>现金
60日ROI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</si>
</sst>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_);[Red]\(0\)"/>
    <numFmt numFmtId="178" formatCode="0.00_ "/>
    <numFmt numFmtId="179" formatCode="0.0_);[Red]\(0.0\)"/>
    <numFmt numFmtId="180" formatCode="#,##0.0"/>
    <numFmt numFmtId="181" formatCode="0.00_);[Red]\(0.00\)"/>
  </numFmts>
  <fonts count="17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</font>
    <font>
      <sz val="10"/>
      <color rgb="FF00000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sz val="11"/>
      <color rgb="FF000000"/>
      <name val="宋体"/>
      <family val="3"/>
      <charset val="134"/>
    </font>
    <font>
      <b/>
      <sz val="10"/>
      <color rgb="FF000000"/>
      <name val="微软雅黑"/>
      <family val="2"/>
      <charset val="134"/>
    </font>
    <font>
      <b/>
      <sz val="10"/>
      <color rgb="FF252934"/>
      <name val="Microsoft YaHei"/>
      <family val="2"/>
      <charset val="134"/>
    </font>
    <font>
      <b/>
      <sz val="10"/>
      <color rgb="FF6E30A4"/>
      <name val="Microsoft YaHei"/>
      <family val="2"/>
      <charset val="134"/>
    </font>
    <font>
      <b/>
      <sz val="10"/>
      <color rgb="FFC65A14"/>
      <name val="Microsoft YaHei"/>
      <family val="2"/>
      <charset val="134"/>
    </font>
    <font>
      <sz val="10"/>
      <color rgb="FF333333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0"/>
      <name val="Microsoft YaHei"/>
      <family val="2"/>
      <charset val="134"/>
    </font>
    <font>
      <sz val="14"/>
      <name val="等线"/>
      <family val="3"/>
      <charset val="134"/>
    </font>
    <font>
      <sz val="14"/>
      <color rgb="FF000000"/>
      <name val="宋体"/>
      <family val="3"/>
      <charset val="134"/>
    </font>
    <font>
      <b/>
      <sz val="14"/>
      <color rgb="FF000000"/>
      <name val="微软雅黑"/>
      <family val="2"/>
      <charset val="134"/>
    </font>
    <font>
      <sz val="10"/>
      <name val="Microsoft YaHei"/>
      <family val="2"/>
      <charset val="134"/>
    </font>
    <font>
      <sz val="10"/>
      <color rgb="FF252934"/>
      <name val="Microsoft YaHei"/>
      <family val="2"/>
      <charset val="134"/>
    </font>
    <font>
      <sz val="9"/>
      <color rgb="FF000000"/>
      <name val="微软雅黑"/>
      <family val="2"/>
      <charset val="134"/>
    </font>
    <font>
      <b/>
      <sz val="10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1E386B"/>
      </patternFill>
    </fill>
    <fill>
      <patternFill patternType="solid">
        <fgColor rgb="FF2D54A0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D8D8D8"/>
      </patternFill>
    </fill>
    <fill>
      <patternFill patternType="solid">
        <fgColor rgb="FFFBE5D5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F9E5D7"/>
      </patternFill>
    </fill>
    <fill>
      <patternFill patternType="solid">
        <fgColor rgb="FFF9FAFC"/>
      </patternFill>
    </fill>
    <fill>
      <patternFill patternType="solid">
        <fgColor rgb="FFF9F9F9"/>
      </patternFill>
    </fill>
    <fill>
      <patternFill patternType="solid">
        <fgColor rgb="FFD7DCE5"/>
      </patternFill>
    </fill>
    <fill>
      <patternFill patternType="solid">
        <fgColor rgb="FFF3F3F3"/>
      </patternFill>
    </fill>
  </fills>
  <borders count="60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thin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thin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/>
      <bottom style="medium">
        <color rgb="FFEEEEEE"/>
      </bottom>
      <diagonal/>
    </border>
    <border>
      <left/>
      <right style="thin">
        <color rgb="FF7F7F7F"/>
      </right>
      <top style="medium">
        <color rgb="FF7F7F7F"/>
      </top>
      <bottom/>
      <diagonal/>
    </border>
    <border>
      <left style="thin">
        <color rgb="FF7F7F7F"/>
      </left>
      <right style="thin">
        <color rgb="FF7F7F7F"/>
      </right>
      <top style="medium">
        <color rgb="FF7F7F7F"/>
      </top>
      <bottom/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/>
      <diagonal/>
    </border>
    <border>
      <left/>
      <right/>
      <top style="medium">
        <color rgb="FF7F7F7F"/>
      </top>
      <bottom style="medium">
        <color rgb="FFEEEEEE"/>
      </bottom>
      <diagonal/>
    </border>
    <border>
      <left style="medium">
        <color rgb="FF7E7F7F"/>
      </left>
      <right/>
      <top/>
      <bottom/>
      <diagonal/>
    </border>
    <border>
      <left style="medium">
        <color rgb="FF7E7F7F"/>
      </left>
      <right style="medium">
        <color rgb="FF7E7F7F"/>
      </right>
      <top/>
      <bottom style="medium">
        <color rgb="FF7E7F7F"/>
      </bottom>
      <diagonal/>
    </border>
    <border>
      <left/>
      <right/>
      <top/>
      <bottom style="medium">
        <color rgb="FF7E7F7F"/>
      </bottom>
      <diagonal/>
    </border>
    <border>
      <left style="medium">
        <color rgb="FF7E7F7F"/>
      </left>
      <right/>
      <top/>
      <bottom style="medium">
        <color rgb="FF7E7F7F"/>
      </bottom>
      <diagonal/>
    </border>
    <border>
      <left style="medium">
        <color rgb="FF7E7F7F"/>
      </left>
      <right style="medium">
        <color rgb="FF7F7F7F"/>
      </right>
      <top/>
      <bottom/>
      <diagonal/>
    </border>
    <border>
      <left/>
      <right/>
      <top style="medium">
        <color rgb="FF7E7F7F"/>
      </top>
      <bottom/>
      <diagonal/>
    </border>
    <border>
      <left style="medium">
        <color rgb="FF7E7F7F"/>
      </left>
      <right/>
      <top style="medium">
        <color rgb="FF7E7F7F"/>
      </top>
      <bottom/>
      <diagonal/>
    </border>
    <border>
      <left style="medium">
        <color rgb="FF7E7F7F"/>
      </left>
      <right style="medium">
        <color rgb="FF7E7F7F"/>
      </right>
      <top style="medium">
        <color rgb="FF7E7F7F"/>
      </top>
      <bottom style="medium">
        <color rgb="FF7E7F7F"/>
      </bottom>
      <diagonal/>
    </border>
    <border>
      <left/>
      <right style="medium">
        <color rgb="FF7E7F7F"/>
      </right>
      <top style="medium">
        <color rgb="FF7E7F7F"/>
      </top>
      <bottom/>
      <diagonal/>
    </border>
    <border>
      <left/>
      <right style="medium">
        <color rgb="FF7E7F7F"/>
      </right>
      <top/>
      <bottom style="medium">
        <color rgb="FF7E7F7F"/>
      </bottom>
      <diagonal/>
    </border>
    <border>
      <left/>
      <right/>
      <top/>
      <bottom style="thin">
        <color rgb="FFF0F0F0"/>
      </bottom>
      <diagonal/>
    </border>
    <border>
      <left style="medium">
        <color rgb="FF7F7F7F"/>
      </left>
      <right/>
      <top style="medium">
        <color rgb="FF7E7F7F"/>
      </top>
      <bottom/>
      <diagonal/>
    </border>
    <border>
      <left/>
      <right/>
      <top style="medium">
        <color rgb="FF7E7F7F"/>
      </top>
      <bottom style="medium">
        <color rgb="FF7E7F7F"/>
      </bottom>
      <diagonal/>
    </border>
    <border>
      <left/>
      <right style="medium">
        <color rgb="FF7F7F7F"/>
      </right>
      <top style="medium">
        <color rgb="FF7E7F7F"/>
      </top>
      <bottom/>
      <diagonal/>
    </border>
    <border>
      <left/>
      <right style="medium">
        <color rgb="FF7E7F7F"/>
      </right>
      <top style="medium">
        <color rgb="FF7E7F7F"/>
      </top>
      <bottom style="medium">
        <color rgb="FF7E7F7F"/>
      </bottom>
      <diagonal/>
    </border>
    <border>
      <left/>
      <right style="medium">
        <color rgb="FF7E7F7F"/>
      </right>
      <top/>
      <bottom/>
      <diagonal/>
    </border>
    <border>
      <left/>
      <right/>
      <top style="medium">
        <color rgb="FF7E7F7F"/>
      </top>
      <bottom style="thin">
        <color rgb="FFF0F0F0"/>
      </bottom>
      <diagonal/>
    </border>
    <border>
      <left style="medium">
        <color rgb="FF7E7F7F"/>
      </left>
      <right/>
      <top style="medium">
        <color rgb="FF7E7F7F"/>
      </top>
      <bottom style="medium">
        <color rgb="FF7E7F7F"/>
      </bottom>
      <diagonal/>
    </border>
    <border>
      <left style="medium">
        <color rgb="FF7E7F7F"/>
      </left>
      <right style="medium">
        <color rgb="FF7E7F7F"/>
      </right>
      <top/>
      <bottom/>
      <diagonal/>
    </border>
    <border>
      <left style="medium">
        <color rgb="FF7E7F7F"/>
      </left>
      <right style="medium">
        <color rgb="FF7F7F7F"/>
      </right>
      <top style="medium">
        <color rgb="FF7E7F7F"/>
      </top>
      <bottom/>
      <diagonal/>
    </border>
    <border>
      <left/>
      <right style="thin">
        <color rgb="FF7F7F7F"/>
      </right>
      <top style="medium">
        <color rgb="FF7E7F7F"/>
      </top>
      <bottom style="medium">
        <color rgb="FF7E7F7F"/>
      </bottom>
      <diagonal/>
    </border>
    <border>
      <left style="thin">
        <color rgb="FF7F7F7F"/>
      </left>
      <right style="thin">
        <color rgb="FF7F7F7F"/>
      </right>
      <top style="medium">
        <color rgb="FF7E7F7F"/>
      </top>
      <bottom style="medium">
        <color rgb="FF7E7F7F"/>
      </bottom>
      <diagonal/>
    </border>
    <border>
      <left style="thin">
        <color rgb="FF7F7F7F"/>
      </left>
      <right style="medium">
        <color rgb="FF7E7F7F"/>
      </right>
      <top style="medium">
        <color rgb="FF7E7F7F"/>
      </top>
      <bottom style="medium">
        <color rgb="FF7E7F7F"/>
      </bottom>
      <diagonal/>
    </border>
    <border>
      <left style="medium">
        <color rgb="FF7E7F7F"/>
      </left>
      <right style="thin">
        <color rgb="FF7F7F7F"/>
      </right>
      <top style="medium">
        <color rgb="FF7E7F7F"/>
      </top>
      <bottom style="medium">
        <color rgb="FF7E7F7F"/>
      </bottom>
      <diagonal/>
    </border>
    <border>
      <left style="thin">
        <color rgb="FF7F7F7F"/>
      </left>
      <right/>
      <top style="medium">
        <color rgb="FF7E7F7F"/>
      </top>
      <bottom style="medium">
        <color rgb="FF7E7F7F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medium">
        <color rgb="FF7E7F7F"/>
      </left>
      <right style="medium">
        <color rgb="FF7E7F7F"/>
      </right>
      <top style="medium">
        <color rgb="FF7E7F7F"/>
      </top>
      <bottom/>
      <diagonal/>
    </border>
    <border>
      <left style="thin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medium">
        <color rgb="FF7E7F7F"/>
      </right>
      <top/>
      <bottom style="thin">
        <color rgb="FFF0F0F0"/>
      </bottom>
      <diagonal/>
    </border>
    <border>
      <left style="medium">
        <color rgb="FF7E7F7F"/>
      </left>
      <right style="medium">
        <color rgb="FF7F7F7F"/>
      </right>
      <top style="medium">
        <color rgb="FF7E7F7F"/>
      </top>
      <bottom style="medium">
        <color rgb="FF7E7F7F"/>
      </bottom>
      <diagonal/>
    </border>
    <border>
      <left style="medium">
        <color rgb="FF7F7F7F"/>
      </left>
      <right/>
      <top style="medium">
        <color rgb="FF7E7F7F"/>
      </top>
      <bottom style="medium">
        <color rgb="FF7E7F7F"/>
      </bottom>
      <diagonal/>
    </border>
    <border>
      <left/>
      <right style="medium">
        <color rgb="FF7F7F7F"/>
      </right>
      <top style="medium">
        <color rgb="FF7E7F7F"/>
      </top>
      <bottom style="medium">
        <color rgb="FF7E7F7F"/>
      </bottom>
      <diagonal/>
    </border>
    <border>
      <left/>
      <right style="medium">
        <color rgb="FF7F7F7F"/>
      </right>
      <top/>
      <bottom style="medium">
        <color rgb="FF7E7F7F"/>
      </bottom>
      <diagonal/>
    </border>
    <border>
      <left style="medium">
        <color rgb="FF7F7F7F"/>
      </left>
      <right/>
      <top/>
      <bottom style="medium">
        <color rgb="FF7E7F7F"/>
      </bottom>
      <diagonal/>
    </border>
    <border>
      <left style="medium">
        <color rgb="FF7E7F7F"/>
      </left>
      <right/>
      <top style="medium">
        <color rgb="FF7E7F7F"/>
      </top>
      <bottom style="thin">
        <color rgb="FFF0F0F0"/>
      </bottom>
      <diagonal/>
    </border>
    <border>
      <left/>
      <right style="medium">
        <color rgb="FF7E7F7F"/>
      </right>
      <top style="medium">
        <color rgb="FF7E7F7F"/>
      </top>
      <bottom style="thin">
        <color rgb="FFF0F0F0"/>
      </bottom>
      <diagonal/>
    </border>
    <border>
      <left style="medium">
        <color rgb="FF7E7F7F"/>
      </left>
      <right/>
      <top/>
      <bottom style="thin">
        <color rgb="FFF0F0F0"/>
      </bottom>
      <diagonal/>
    </border>
  </borders>
  <cellStyleXfs count="1">
    <xf numFmtId="0" fontId="0" fillId="0" borderId="0">
      <alignment vertical="center"/>
    </xf>
  </cellStyleXfs>
  <cellXfs count="63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 applyProtection="1">
      <alignment horizontal="center" vertical="center" wrapText="1"/>
    </xf>
    <xf numFmtId="0" fontId="4" fillId="4" borderId="3" xfId="0" applyFont="1" applyFill="1" applyBorder="1" applyAlignment="1" applyProtection="1">
      <alignment horizontal="center" vertical="center" wrapText="1"/>
    </xf>
    <xf numFmtId="0" fontId="4" fillId="4" borderId="4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 applyProtection="1">
      <alignment horizontal="center" vertical="center" wrapText="1"/>
    </xf>
    <xf numFmtId="0" fontId="4" fillId="4" borderId="3" xfId="0" applyFont="1" applyFill="1" applyBorder="1" applyAlignment="1" applyProtection="1">
      <alignment horizontal="center" vertical="center" wrapText="1"/>
    </xf>
    <xf numFmtId="0" fontId="4" fillId="4" borderId="4" xfId="0" applyFont="1" applyFill="1" applyBorder="1" applyAlignment="1" applyProtection="1">
      <alignment horizontal="center" vertical="center" wrapText="1"/>
    </xf>
    <xf numFmtId="14" fontId="5" fillId="5" borderId="6" xfId="0" applyNumberFormat="1" applyFont="1" applyFill="1" applyBorder="1" applyAlignment="1" applyProtection="1">
      <alignment horizontal="left" vertical="center" wrapText="1"/>
    </xf>
    <xf numFmtId="0" fontId="5" fillId="0" borderId="7" xfId="0" applyFont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5" fillId="0" borderId="8" xfId="0" applyNumberFormat="1" applyFont="1" applyBorder="1" applyAlignment="1" applyProtection="1">
      <alignment horizontal="center" vertical="center" wrapText="1"/>
    </xf>
    <xf numFmtId="14" fontId="5" fillId="5" borderId="9" xfId="0" applyNumberFormat="1" applyFont="1" applyFill="1" applyBorder="1" applyAlignment="1" applyProtection="1">
      <alignment horizontal="left" vertical="center" wrapText="1"/>
    </xf>
    <xf numFmtId="0" fontId="5" fillId="0" borderId="10" xfId="0" applyFont="1" applyBorder="1" applyAlignment="1" applyProtection="1">
      <alignment horizontal="center" vertical="center" wrapText="1"/>
    </xf>
    <xf numFmtId="10" fontId="5" fillId="0" borderId="10" xfId="0" applyNumberFormat="1" applyFont="1" applyBorder="1" applyAlignment="1" applyProtection="1">
      <alignment horizontal="center" vertical="center" wrapText="1"/>
    </xf>
    <xf numFmtId="176" fontId="5" fillId="0" borderId="10" xfId="0" applyNumberFormat="1" applyFont="1" applyBorder="1" applyAlignment="1" applyProtection="1">
      <alignment horizontal="center" vertical="center" wrapText="1"/>
    </xf>
    <xf numFmtId="176" fontId="5" fillId="0" borderId="11" xfId="0" applyNumberFormat="1" applyFont="1" applyBorder="1" applyAlignment="1" applyProtection="1">
      <alignment horizontal="center" vertical="center" wrapText="1"/>
    </xf>
    <xf numFmtId="0" fontId="5" fillId="0" borderId="12" xfId="0" applyFont="1" applyBorder="1" applyAlignment="1" applyProtection="1">
      <alignment horizontal="center" vertical="center" wrapText="1"/>
    </xf>
    <xf numFmtId="14" fontId="5" fillId="5" borderId="13" xfId="0" applyNumberFormat="1" applyFont="1" applyFill="1" applyBorder="1" applyAlignment="1" applyProtection="1">
      <alignment horizontal="left" vertical="center" wrapText="1"/>
    </xf>
    <xf numFmtId="0" fontId="5" fillId="0" borderId="14" xfId="0" applyFont="1" applyBorder="1" applyAlignment="1" applyProtection="1">
      <alignment horizontal="center" vertical="center" wrapText="1"/>
    </xf>
    <xf numFmtId="0" fontId="5" fillId="0" borderId="15" xfId="0" applyFont="1" applyBorder="1" applyAlignment="1" applyProtection="1">
      <alignment horizontal="center" vertical="center" wrapText="1"/>
    </xf>
    <xf numFmtId="10" fontId="5" fillId="0" borderId="15" xfId="0" applyNumberFormat="1" applyFont="1" applyBorder="1" applyAlignment="1" applyProtection="1">
      <alignment horizontal="center" vertical="center" wrapText="1"/>
    </xf>
    <xf numFmtId="176" fontId="5" fillId="0" borderId="15" xfId="0" applyNumberFormat="1" applyFont="1" applyBorder="1" applyAlignment="1" applyProtection="1">
      <alignment horizontal="center" vertical="center" wrapText="1"/>
    </xf>
    <xf numFmtId="176" fontId="5" fillId="0" borderId="16" xfId="0" applyNumberFormat="1" applyFont="1" applyBorder="1" applyAlignment="1" applyProtection="1">
      <alignment horizontal="center" vertical="center" wrapText="1"/>
    </xf>
    <xf numFmtId="0" fontId="6" fillId="0" borderId="0" xfId="0" applyFont="1">
      <alignment vertical="center"/>
    </xf>
    <xf numFmtId="3" fontId="5" fillId="0" borderId="7" xfId="0" applyNumberFormat="1" applyFont="1" applyBorder="1" applyAlignment="1" applyProtection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4" fontId="5" fillId="6" borderId="6" xfId="0" applyNumberFormat="1" applyFont="1" applyFill="1" applyBorder="1" applyAlignment="1" applyProtection="1">
      <alignment horizontal="left" vertical="center" wrapText="1"/>
    </xf>
    <xf numFmtId="3" fontId="5" fillId="6" borderId="7" xfId="0" applyNumberFormat="1" applyFont="1" applyFill="1" applyBorder="1" applyAlignment="1" applyProtection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10" fontId="5" fillId="6" borderId="0" xfId="0" applyNumberFormat="1" applyFont="1" applyFill="1" applyAlignment="1">
      <alignment horizontal="center" vertical="center" wrapText="1"/>
    </xf>
    <xf numFmtId="176" fontId="5" fillId="6" borderId="0" xfId="0" applyNumberFormat="1" applyFont="1" applyFill="1" applyAlignment="1">
      <alignment horizontal="center" vertical="center" wrapText="1"/>
    </xf>
    <xf numFmtId="176" fontId="5" fillId="6" borderId="8" xfId="0" applyNumberFormat="1" applyFont="1" applyFill="1" applyBorder="1" applyAlignment="1" applyProtection="1">
      <alignment horizontal="center" vertical="center" wrapText="1"/>
    </xf>
    <xf numFmtId="3" fontId="5" fillId="6" borderId="0" xfId="0" applyNumberFormat="1" applyFont="1" applyFill="1" applyAlignment="1">
      <alignment horizontal="center" vertical="center" wrapText="1"/>
    </xf>
    <xf numFmtId="14" fontId="5" fillId="7" borderId="6" xfId="0" applyNumberFormat="1" applyFont="1" applyFill="1" applyBorder="1" applyAlignment="1" applyProtection="1">
      <alignment horizontal="left" vertical="center" wrapText="1"/>
    </xf>
    <xf numFmtId="3" fontId="5" fillId="7" borderId="7" xfId="0" applyNumberFormat="1" applyFont="1" applyFill="1" applyBorder="1" applyAlignment="1" applyProtection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10" fontId="5" fillId="7" borderId="0" xfId="0" applyNumberFormat="1" applyFont="1" applyFill="1" applyAlignment="1">
      <alignment horizontal="center" vertical="center" wrapText="1"/>
    </xf>
    <xf numFmtId="176" fontId="5" fillId="7" borderId="0" xfId="0" applyNumberFormat="1" applyFont="1" applyFill="1" applyAlignment="1">
      <alignment horizontal="center" vertical="center" wrapText="1"/>
    </xf>
    <xf numFmtId="176" fontId="5" fillId="7" borderId="8" xfId="0" applyNumberFormat="1" applyFont="1" applyFill="1" applyBorder="1" applyAlignment="1" applyProtection="1">
      <alignment horizontal="center" vertical="center" wrapText="1"/>
    </xf>
    <xf numFmtId="0" fontId="5" fillId="7" borderId="7" xfId="0" applyFont="1" applyFill="1" applyBorder="1" applyAlignment="1" applyProtection="1">
      <alignment horizontal="center" vertical="center" wrapText="1"/>
    </xf>
    <xf numFmtId="14" fontId="5" fillId="8" borderId="6" xfId="0" applyNumberFormat="1" applyFont="1" applyFill="1" applyBorder="1" applyAlignment="1" applyProtection="1">
      <alignment horizontal="left" vertical="center" wrapText="1"/>
    </xf>
    <xf numFmtId="3" fontId="5" fillId="8" borderId="7" xfId="0" applyNumberFormat="1" applyFont="1" applyFill="1" applyBorder="1" applyAlignment="1" applyProtection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10" fontId="5" fillId="8" borderId="0" xfId="0" applyNumberFormat="1" applyFont="1" applyFill="1" applyAlignment="1">
      <alignment horizontal="center" vertical="center" wrapText="1"/>
    </xf>
    <xf numFmtId="176" fontId="5" fillId="8" borderId="0" xfId="0" applyNumberFormat="1" applyFont="1" applyFill="1" applyAlignment="1">
      <alignment horizontal="center" vertical="center" wrapText="1"/>
    </xf>
    <xf numFmtId="176" fontId="5" fillId="8" borderId="8" xfId="0" applyNumberFormat="1" applyFont="1" applyFill="1" applyBorder="1" applyAlignment="1" applyProtection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177" fontId="5" fillId="7" borderId="0" xfId="0" applyNumberFormat="1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177" fontId="5" fillId="7" borderId="0" xfId="0" applyNumberFormat="1" applyFont="1" applyFill="1" applyAlignment="1">
      <alignment horizontal="center" vertical="center" wrapText="1"/>
    </xf>
    <xf numFmtId="10" fontId="5" fillId="7" borderId="0" xfId="0" applyNumberFormat="1" applyFont="1" applyFill="1" applyAlignment="1">
      <alignment horizontal="center" vertical="center" wrapText="1"/>
    </xf>
    <xf numFmtId="176" fontId="5" fillId="7" borderId="0" xfId="0" applyNumberFormat="1" applyFont="1" applyFill="1" applyAlignment="1">
      <alignment horizontal="center" vertical="center" wrapText="1"/>
    </xf>
    <xf numFmtId="176" fontId="5" fillId="7" borderId="8" xfId="0" applyNumberFormat="1" applyFont="1" applyFill="1" applyBorder="1" applyAlignment="1" applyProtection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177" fontId="5" fillId="7" borderId="0" xfId="0" applyNumberFormat="1" applyFont="1" applyFill="1" applyAlignment="1">
      <alignment horizontal="center" vertical="center" wrapText="1"/>
    </xf>
    <xf numFmtId="10" fontId="5" fillId="7" borderId="0" xfId="0" applyNumberFormat="1" applyFont="1" applyFill="1" applyAlignment="1">
      <alignment horizontal="center" vertical="center" wrapText="1"/>
    </xf>
    <xf numFmtId="176" fontId="5" fillId="7" borderId="0" xfId="0" applyNumberFormat="1" applyFont="1" applyFill="1" applyAlignment="1">
      <alignment horizontal="center" vertical="center" wrapText="1"/>
    </xf>
    <xf numFmtId="176" fontId="5" fillId="7" borderId="8" xfId="0" applyNumberFormat="1" applyFont="1" applyFill="1" applyBorder="1" applyAlignment="1" applyProtection="1">
      <alignment horizontal="center" vertical="center" wrapText="1"/>
    </xf>
    <xf numFmtId="0" fontId="5" fillId="7" borderId="7" xfId="0" applyFont="1" applyFill="1" applyBorder="1" applyAlignment="1" applyProtection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49" fontId="7" fillId="9" borderId="3" xfId="0" applyNumberFormat="1" applyFont="1" applyFill="1" applyBorder="1" applyAlignment="1" applyProtection="1">
      <alignment horizontal="center" vertical="center" wrapText="1"/>
    </xf>
    <xf numFmtId="0" fontId="7" fillId="9" borderId="2" xfId="0" applyFont="1" applyFill="1" applyBorder="1" applyAlignment="1" applyProtection="1">
      <alignment horizontal="center" vertical="center" wrapText="1"/>
    </xf>
    <xf numFmtId="0" fontId="7" fillId="9" borderId="3" xfId="0" applyFont="1" applyFill="1" applyBorder="1" applyAlignment="1" applyProtection="1">
      <alignment horizontal="center" vertical="center" wrapText="1"/>
    </xf>
    <xf numFmtId="14" fontId="5" fillId="5" borderId="9" xfId="0" applyNumberFormat="1" applyFont="1" applyFill="1" applyBorder="1" applyAlignment="1" applyProtection="1">
      <alignment horizontal="left" vertical="center" wrapText="1"/>
    </xf>
    <xf numFmtId="178" fontId="3" fillId="0" borderId="17" xfId="0" applyNumberFormat="1" applyFont="1" applyBorder="1" applyAlignment="1" applyProtection="1">
      <alignment horizontal="center" vertical="center" wrapText="1"/>
    </xf>
    <xf numFmtId="179" fontId="3" fillId="10" borderId="0" xfId="0" applyNumberFormat="1" applyFont="1" applyFill="1" applyAlignment="1">
      <alignment horizontal="center" vertical="center"/>
    </xf>
    <xf numFmtId="179" fontId="3" fillId="10" borderId="8" xfId="0" applyNumberFormat="1" applyFont="1" applyFill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 vertical="center" wrapText="1"/>
    </xf>
    <xf numFmtId="14" fontId="5" fillId="5" borderId="6" xfId="0" applyNumberFormat="1" applyFont="1" applyFill="1" applyBorder="1" applyAlignment="1" applyProtection="1">
      <alignment horizontal="left" vertical="center" wrapText="1"/>
    </xf>
    <xf numFmtId="14" fontId="5" fillId="5" borderId="6" xfId="0" applyNumberFormat="1" applyFont="1" applyFill="1" applyBorder="1" applyAlignment="1" applyProtection="1">
      <alignment horizontal="left" vertical="center" wrapText="1"/>
    </xf>
    <xf numFmtId="14" fontId="5" fillId="7" borderId="6" xfId="0" applyNumberFormat="1" applyFont="1" applyFill="1" applyBorder="1" applyAlignment="1" applyProtection="1">
      <alignment horizontal="left" vertical="center" wrapText="1"/>
    </xf>
    <xf numFmtId="17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9" borderId="18" xfId="0" applyFont="1" applyFill="1" applyBorder="1" applyAlignment="1" applyProtection="1">
      <alignment horizontal="center" vertical="center" wrapText="1"/>
    </xf>
    <xf numFmtId="0" fontId="7" fillId="9" borderId="19" xfId="0" applyFont="1" applyFill="1" applyBorder="1" applyAlignment="1" applyProtection="1">
      <alignment horizontal="center" vertical="center" wrapText="1"/>
    </xf>
    <xf numFmtId="0" fontId="7" fillId="9" borderId="20" xfId="0" applyFont="1" applyFill="1" applyBorder="1" applyAlignment="1" applyProtection="1">
      <alignment horizontal="center" vertical="center" wrapText="1"/>
    </xf>
    <xf numFmtId="10" fontId="5" fillId="0" borderId="21" xfId="0" applyNumberFormat="1" applyFont="1" applyBorder="1" applyAlignment="1" applyProtection="1">
      <alignment horizontal="center" vertical="center" wrapText="1"/>
    </xf>
    <xf numFmtId="3" fontId="5" fillId="11" borderId="22" xfId="0" applyNumberFormat="1" applyFont="1" applyFill="1" applyBorder="1" applyAlignment="1" applyProtection="1">
      <alignment horizontal="center" vertical="center" wrapText="1"/>
    </xf>
    <xf numFmtId="0" fontId="7" fillId="12" borderId="23" xfId="0" applyFont="1" applyFill="1" applyBorder="1" applyAlignment="1" applyProtection="1">
      <alignment horizontal="left" vertical="center" wrapText="1"/>
    </xf>
    <xf numFmtId="10" fontId="3" fillId="0" borderId="17" xfId="0" applyNumberFormat="1" applyFont="1" applyBorder="1" applyAlignment="1" applyProtection="1">
      <alignment horizontal="center" vertical="center" wrapText="1"/>
    </xf>
    <xf numFmtId="3" fontId="5" fillId="0" borderId="25" xfId="0" applyNumberFormat="1" applyFont="1" applyBorder="1" applyAlignment="1" applyProtection="1">
      <alignment horizontal="center" vertical="center" wrapText="1"/>
    </xf>
    <xf numFmtId="9" fontId="3" fillId="10" borderId="8" xfId="0" applyNumberFormat="1" applyFont="1" applyFill="1" applyBorder="1" applyAlignment="1" applyProtection="1">
      <alignment horizontal="center" vertical="center"/>
    </xf>
    <xf numFmtId="4" fontId="9" fillId="12" borderId="24" xfId="0" applyNumberFormat="1" applyFont="1" applyFill="1" applyBorder="1" applyAlignment="1" applyProtection="1">
      <alignment horizontal="center" vertical="center"/>
    </xf>
    <xf numFmtId="1" fontId="8" fillId="12" borderId="24" xfId="0" applyNumberFormat="1" applyFont="1" applyFill="1" applyBorder="1" applyAlignment="1" applyProtection="1">
      <alignment horizontal="center" vertical="center"/>
    </xf>
    <xf numFmtId="14" fontId="5" fillId="11" borderId="26" xfId="0" applyNumberFormat="1" applyFont="1" applyFill="1" applyBorder="1" applyAlignment="1" applyProtection="1">
      <alignment horizontal="left" vertical="center" wrapText="1"/>
    </xf>
    <xf numFmtId="10" fontId="10" fillId="12" borderId="24" xfId="0" applyNumberFormat="1" applyFont="1" applyFill="1" applyBorder="1" applyAlignment="1" applyProtection="1">
      <alignment horizontal="center" vertical="center"/>
    </xf>
    <xf numFmtId="9" fontId="3" fillId="10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 wrapText="1"/>
    </xf>
    <xf numFmtId="10" fontId="3" fillId="0" borderId="15" xfId="0" applyNumberFormat="1" applyFont="1" applyBorder="1" applyAlignment="1" applyProtection="1">
      <alignment horizontal="center" vertical="center" wrapText="1"/>
    </xf>
    <xf numFmtId="9" fontId="3" fillId="10" borderId="15" xfId="0" applyNumberFormat="1" applyFont="1" applyFill="1" applyBorder="1" applyAlignment="1" applyProtection="1">
      <alignment horizontal="center" vertical="center"/>
    </xf>
    <xf numFmtId="9" fontId="3" fillId="10" borderId="16" xfId="0" applyNumberFormat="1" applyFont="1" applyFill="1" applyBorder="1" applyAlignment="1" applyProtection="1">
      <alignment horizontal="center" vertical="center"/>
    </xf>
    <xf numFmtId="14" fontId="5" fillId="11" borderId="23" xfId="0" applyNumberFormat="1" applyFont="1" applyFill="1" applyBorder="1" applyAlignment="1" applyProtection="1">
      <alignment horizontal="left" vertical="center" wrapText="1"/>
    </xf>
    <xf numFmtId="10" fontId="10" fillId="12" borderId="0" xfId="0" applyNumberFormat="1" applyFont="1" applyFill="1" applyAlignment="1">
      <alignment horizontal="center" vertical="center"/>
    </xf>
    <xf numFmtId="14" fontId="5" fillId="0" borderId="28" xfId="0" applyNumberFormat="1" applyFont="1" applyBorder="1" applyAlignment="1" applyProtection="1">
      <alignment horizontal="left" vertical="center" wrapText="1"/>
    </xf>
    <xf numFmtId="10" fontId="3" fillId="0" borderId="21" xfId="0" applyNumberFormat="1" applyFont="1" applyBorder="1" applyAlignment="1" applyProtection="1">
      <alignment horizontal="center" vertical="center" wrapText="1"/>
    </xf>
    <xf numFmtId="9" fontId="3" fillId="10" borderId="10" xfId="0" applyNumberFormat="1" applyFont="1" applyFill="1" applyBorder="1" applyAlignment="1" applyProtection="1">
      <alignment horizontal="center" vertical="center"/>
    </xf>
    <xf numFmtId="9" fontId="3" fillId="10" borderId="11" xfId="0" applyNumberFormat="1" applyFont="1" applyFill="1" applyBorder="1" applyAlignment="1" applyProtection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 wrapText="1"/>
    </xf>
    <xf numFmtId="49" fontId="7" fillId="9" borderId="29" xfId="0" applyNumberFormat="1" applyFont="1" applyFill="1" applyBorder="1" applyAlignment="1" applyProtection="1">
      <alignment horizontal="center" vertical="center" wrapText="1"/>
    </xf>
    <xf numFmtId="179" fontId="3" fillId="10" borderId="8" xfId="0" quotePrefix="1" applyNumberFormat="1" applyFont="1" applyFill="1" applyBorder="1" applyAlignment="1" applyProtection="1">
      <alignment horizontal="center" vertical="center"/>
    </xf>
    <xf numFmtId="179" fontId="3" fillId="10" borderId="0" xfId="0" quotePrefix="1" applyNumberFormat="1" applyFont="1" applyFill="1" applyAlignment="1">
      <alignment horizontal="center" vertical="center"/>
    </xf>
    <xf numFmtId="179" fontId="3" fillId="10" borderId="24" xfId="0" applyNumberFormat="1" applyFont="1" applyFill="1" applyBorder="1" applyAlignment="1" applyProtection="1">
      <alignment horizontal="center" vertical="center"/>
    </xf>
    <xf numFmtId="3" fontId="7" fillId="13" borderId="15" xfId="0" applyNumberFormat="1" applyFont="1" applyFill="1" applyBorder="1" applyAlignment="1" applyProtection="1">
      <alignment horizontal="center" vertical="center" wrapText="1"/>
    </xf>
    <xf numFmtId="4" fontId="7" fillId="13" borderId="15" xfId="0" applyNumberFormat="1" applyFont="1" applyFill="1" applyBorder="1" applyAlignment="1" applyProtection="1">
      <alignment horizontal="center" vertical="center" wrapText="1"/>
    </xf>
    <xf numFmtId="10" fontId="7" fillId="13" borderId="15" xfId="0" applyNumberFormat="1" applyFont="1" applyFill="1" applyBorder="1" applyAlignment="1" applyProtection="1">
      <alignment horizontal="center" vertical="center" wrapText="1"/>
    </xf>
    <xf numFmtId="0" fontId="5" fillId="6" borderId="22" xfId="0" applyFont="1" applyFill="1" applyBorder="1" applyAlignment="1" applyProtection="1">
      <alignment horizontal="center" vertical="center" wrapText="1"/>
    </xf>
    <xf numFmtId="0" fontId="5" fillId="8" borderId="22" xfId="0" applyFont="1" applyFill="1" applyBorder="1" applyAlignment="1" applyProtection="1">
      <alignment horizontal="center" vertical="center" wrapText="1"/>
    </xf>
    <xf numFmtId="176" fontId="7" fillId="13" borderId="15" xfId="0" applyNumberFormat="1" applyFont="1" applyFill="1" applyBorder="1" applyAlignment="1" applyProtection="1">
      <alignment horizontal="center" vertical="center" wrapText="1"/>
    </xf>
    <xf numFmtId="14" fontId="5" fillId="5" borderId="7" xfId="0" applyNumberFormat="1" applyFont="1" applyFill="1" applyBorder="1" applyAlignment="1" applyProtection="1">
      <alignment horizontal="left" vertical="center" wrapText="1"/>
    </xf>
    <xf numFmtId="14" fontId="5" fillId="5" borderId="14" xfId="0" applyNumberFormat="1" applyFont="1" applyFill="1" applyBorder="1" applyAlignment="1" applyProtection="1">
      <alignment horizontal="left" vertical="center" wrapText="1"/>
    </xf>
    <xf numFmtId="176" fontId="7" fillId="13" borderId="16" xfId="0" applyNumberFormat="1" applyFont="1" applyFill="1" applyBorder="1" applyAlignment="1" applyProtection="1">
      <alignment horizontal="center" vertical="center" wrapText="1"/>
    </xf>
    <xf numFmtId="0" fontId="7" fillId="13" borderId="14" xfId="0" applyFont="1" applyFill="1" applyBorder="1" applyAlignment="1" applyProtection="1">
      <alignment horizontal="center" vertical="center" wrapText="1"/>
    </xf>
    <xf numFmtId="0" fontId="7" fillId="13" borderId="15" xfId="0" applyFont="1" applyFill="1" applyBorder="1" applyAlignment="1" applyProtection="1">
      <alignment horizontal="center" vertical="center" wrapText="1"/>
    </xf>
    <xf numFmtId="14" fontId="5" fillId="11" borderId="6" xfId="0" applyNumberFormat="1" applyFont="1" applyFill="1" applyBorder="1" applyAlignment="1" applyProtection="1">
      <alignment horizontal="left" vertical="center" wrapText="1"/>
    </xf>
    <xf numFmtId="0" fontId="5" fillId="11" borderId="7" xfId="0" applyFont="1" applyFill="1" applyBorder="1" applyAlignment="1" applyProtection="1">
      <alignment horizontal="center" vertical="center" wrapText="1"/>
    </xf>
    <xf numFmtId="177" fontId="5" fillId="11" borderId="0" xfId="0" applyNumberFormat="1" applyFont="1" applyFill="1" applyAlignment="1">
      <alignment horizontal="center" vertical="center" wrapText="1"/>
    </xf>
    <xf numFmtId="10" fontId="5" fillId="11" borderId="0" xfId="0" applyNumberFormat="1" applyFont="1" applyFill="1" applyAlignment="1">
      <alignment horizontal="center" vertical="center" wrapText="1"/>
    </xf>
    <xf numFmtId="176" fontId="5" fillId="11" borderId="0" xfId="0" applyNumberFormat="1" applyFont="1" applyFill="1" applyAlignment="1">
      <alignment horizontal="center" vertical="center" wrapText="1"/>
    </xf>
    <xf numFmtId="176" fontId="5" fillId="11" borderId="8" xfId="0" applyNumberFormat="1" applyFont="1" applyFill="1" applyBorder="1" applyAlignment="1" applyProtection="1">
      <alignment horizontal="center" vertical="center" wrapText="1"/>
    </xf>
    <xf numFmtId="1" fontId="5" fillId="11" borderId="7" xfId="0" applyNumberFormat="1" applyFont="1" applyFill="1" applyBorder="1" applyAlignment="1" applyProtection="1">
      <alignment horizontal="center" vertical="center" wrapText="1"/>
    </xf>
    <xf numFmtId="1" fontId="7" fillId="13" borderId="15" xfId="0" applyNumberFormat="1" applyFont="1" applyFill="1" applyBorder="1" applyAlignment="1" applyProtection="1">
      <alignment horizontal="center" vertical="center" wrapText="1"/>
    </xf>
    <xf numFmtId="1" fontId="5" fillId="11" borderId="0" xfId="0" applyNumberFormat="1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10" fontId="5" fillId="0" borderId="27" xfId="0" applyNumberFormat="1" applyFont="1" applyBorder="1" applyAlignment="1" applyProtection="1">
      <alignment horizontal="center" vertical="center" wrapText="1"/>
    </xf>
    <xf numFmtId="10" fontId="5" fillId="0" borderId="0" xfId="0" quotePrefix="1" applyNumberFormat="1" applyFont="1" applyAlignment="1">
      <alignment horizontal="center" vertical="center" wrapText="1"/>
    </xf>
    <xf numFmtId="0" fontId="5" fillId="11" borderId="7" xfId="0" applyFont="1" applyFill="1" applyBorder="1" applyAlignment="1" applyProtection="1">
      <alignment horizontal="center" vertical="center" wrapText="1"/>
    </xf>
    <xf numFmtId="0" fontId="3" fillId="0" borderId="28" xfId="0" applyFont="1" applyBorder="1" applyAlignment="1" applyProtection="1">
      <alignment horizontal="center" vertical="center"/>
    </xf>
    <xf numFmtId="0" fontId="3" fillId="0" borderId="25" xfId="0" applyFont="1" applyBorder="1" applyAlignment="1" applyProtection="1">
      <alignment horizontal="center" vertical="center"/>
    </xf>
    <xf numFmtId="10" fontId="7" fillId="13" borderId="34" xfId="0" applyNumberFormat="1" applyFont="1" applyFill="1" applyBorder="1" applyAlignment="1" applyProtection="1">
      <alignment horizontal="center" vertical="center" wrapText="1"/>
    </xf>
    <xf numFmtId="9" fontId="7" fillId="10" borderId="34" xfId="0" applyNumberFormat="1" applyFont="1" applyFill="1" applyBorder="1" applyAlignment="1" applyProtection="1">
      <alignment horizontal="center" vertical="center" wrapText="1"/>
    </xf>
    <xf numFmtId="179" fontId="3" fillId="10" borderId="30" xfId="0" applyNumberFormat="1" applyFont="1" applyFill="1" applyBorder="1" applyAlignment="1" applyProtection="1">
      <alignment horizontal="center" vertical="center"/>
    </xf>
    <xf numFmtId="9" fontId="7" fillId="10" borderId="36" xfId="0" applyNumberFormat="1" applyFont="1" applyFill="1" applyBorder="1" applyAlignment="1" applyProtection="1">
      <alignment horizontal="center" vertical="center" wrapText="1"/>
    </xf>
    <xf numFmtId="3" fontId="5" fillId="0" borderId="7" xfId="0" applyNumberFormat="1" applyFont="1" applyBorder="1" applyAlignment="1" applyProtection="1">
      <alignment horizontal="center" vertical="center" wrapText="1"/>
    </xf>
    <xf numFmtId="0" fontId="5" fillId="6" borderId="7" xfId="0" applyFont="1" applyFill="1" applyBorder="1" applyAlignment="1" applyProtection="1">
      <alignment horizontal="center" vertical="center" wrapText="1"/>
    </xf>
    <xf numFmtId="0" fontId="5" fillId="7" borderId="7" xfId="0" applyFont="1" applyFill="1" applyBorder="1" applyAlignment="1" applyProtection="1">
      <alignment horizontal="center" vertical="center" wrapText="1"/>
    </xf>
    <xf numFmtId="0" fontId="3" fillId="0" borderId="22" xfId="0" applyFont="1" applyBorder="1" applyAlignment="1" applyProtection="1">
      <alignment horizontal="center" vertical="center"/>
    </xf>
    <xf numFmtId="10" fontId="7" fillId="13" borderId="27" xfId="0" applyNumberFormat="1" applyFont="1" applyFill="1" applyBorder="1" applyAlignment="1" applyProtection="1">
      <alignment horizontal="center" vertical="center" wrapText="1"/>
    </xf>
    <xf numFmtId="10" fontId="7" fillId="13" borderId="24" xfId="0" applyNumberFormat="1" applyFont="1" applyFill="1" applyBorder="1" applyAlignment="1" applyProtection="1">
      <alignment horizontal="center" vertical="center" wrapText="1"/>
    </xf>
    <xf numFmtId="3" fontId="5" fillId="7" borderId="0" xfId="0" applyNumberFormat="1" applyFont="1" applyFill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0" fontId="5" fillId="8" borderId="7" xfId="0" applyFont="1" applyFill="1" applyBorder="1" applyAlignment="1" applyProtection="1">
      <alignment horizontal="center" vertical="center" wrapText="1"/>
    </xf>
    <xf numFmtId="10" fontId="3" fillId="0" borderId="27" xfId="0" applyNumberFormat="1" applyFont="1" applyBorder="1" applyAlignment="1" applyProtection="1">
      <alignment horizontal="center" vertical="center" wrapText="1"/>
    </xf>
    <xf numFmtId="179" fontId="3" fillId="10" borderId="37" xfId="0" applyNumberFormat="1" applyFont="1" applyFill="1" applyBorder="1" applyAlignment="1" applyProtection="1">
      <alignment horizontal="center" vertical="center"/>
    </xf>
    <xf numFmtId="10" fontId="3" fillId="0" borderId="24" xfId="0" applyNumberFormat="1" applyFont="1" applyBorder="1" applyAlignment="1" applyProtection="1">
      <alignment horizontal="center" vertical="center" wrapText="1"/>
    </xf>
    <xf numFmtId="14" fontId="5" fillId="0" borderId="7" xfId="0" applyNumberFormat="1" applyFont="1" applyBorder="1" applyAlignment="1" applyProtection="1">
      <alignment horizontal="left" vertical="center" wrapText="1"/>
    </xf>
    <xf numFmtId="14" fontId="5" fillId="7" borderId="7" xfId="0" applyNumberFormat="1" applyFont="1" applyFill="1" applyBorder="1" applyAlignment="1" applyProtection="1">
      <alignment horizontal="left" vertical="center" wrapText="1"/>
    </xf>
    <xf numFmtId="0" fontId="5" fillId="14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4" borderId="22" xfId="0" applyFont="1" applyFill="1" applyBorder="1" applyAlignment="1" applyProtection="1">
      <alignment horizontal="center" vertical="center" wrapText="1"/>
    </xf>
    <xf numFmtId="14" fontId="5" fillId="11" borderId="7" xfId="0" applyNumberFormat="1" applyFont="1" applyFill="1" applyBorder="1" applyAlignment="1" applyProtection="1">
      <alignment horizontal="left" vertical="center" wrapText="1"/>
    </xf>
    <xf numFmtId="0" fontId="5" fillId="0" borderId="25" xfId="0" applyFont="1" applyBorder="1" applyAlignment="1" applyProtection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77" fontId="7" fillId="13" borderId="28" xfId="0" applyNumberFormat="1" applyFont="1" applyFill="1" applyBorder="1" applyAlignment="1" applyProtection="1">
      <alignment horizontal="center" vertical="center" wrapText="1"/>
    </xf>
    <xf numFmtId="9" fontId="7" fillId="10" borderId="27" xfId="0" applyNumberFormat="1" applyFont="1" applyFill="1" applyBorder="1" applyAlignment="1" applyProtection="1">
      <alignment horizontal="center" vertical="center" wrapText="1"/>
    </xf>
    <xf numFmtId="0" fontId="7" fillId="13" borderId="22" xfId="0" applyFont="1" applyFill="1" applyBorder="1" applyAlignment="1" applyProtection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9" fontId="7" fillId="10" borderId="24" xfId="0" applyNumberFormat="1" applyFont="1" applyFill="1" applyBorder="1" applyAlignment="1" applyProtection="1">
      <alignment horizontal="center" vertical="center" wrapText="1"/>
    </xf>
    <xf numFmtId="9" fontId="7" fillId="10" borderId="31" xfId="0" applyNumberFormat="1" applyFont="1" applyFill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 applyProtection="1">
      <alignment horizontal="center" vertical="center" wrapText="1"/>
    </xf>
    <xf numFmtId="0" fontId="5" fillId="0" borderId="15" xfId="0" applyFont="1" applyBorder="1" applyAlignment="1" applyProtection="1">
      <alignment horizontal="center" vertical="center" wrapText="1"/>
    </xf>
    <xf numFmtId="0" fontId="5" fillId="0" borderId="12" xfId="0" applyFont="1" applyBorder="1" applyAlignment="1" applyProtection="1">
      <alignment horizontal="center" vertical="center" wrapText="1"/>
    </xf>
    <xf numFmtId="0" fontId="5" fillId="0" borderId="10" xfId="0" applyFont="1" applyBorder="1" applyAlignment="1" applyProtection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10" fontId="8" fillId="12" borderId="24" xfId="0" applyNumberFormat="1" applyFont="1" applyFill="1" applyBorder="1" applyAlignment="1" applyProtection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180" fontId="13" fillId="15" borderId="24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9" fontId="3" fillId="10" borderId="27" xfId="0" applyNumberFormat="1" applyFont="1" applyFill="1" applyBorder="1" applyAlignment="1" applyProtection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81" fontId="7" fillId="13" borderId="27" xfId="0" applyNumberFormat="1" applyFont="1" applyFill="1" applyBorder="1" applyAlignment="1" applyProtection="1">
      <alignment horizontal="center" vertical="center" wrapText="1"/>
    </xf>
    <xf numFmtId="179" fontId="7" fillId="10" borderId="27" xfId="0" applyNumberFormat="1" applyFont="1" applyFill="1" applyBorder="1" applyAlignment="1" applyProtection="1">
      <alignment horizontal="center" vertical="center"/>
    </xf>
    <xf numFmtId="3" fontId="5" fillId="0" borderId="28" xfId="0" applyNumberFormat="1" applyFont="1" applyBorder="1" applyAlignment="1" applyProtection="1">
      <alignment horizontal="center" vertical="center" wrapText="1"/>
    </xf>
    <xf numFmtId="3" fontId="5" fillId="0" borderId="22" xfId="0" applyNumberFormat="1" applyFont="1" applyBorder="1" applyAlignment="1" applyProtection="1">
      <alignment horizontal="center" vertical="center" wrapText="1"/>
    </xf>
    <xf numFmtId="3" fontId="5" fillId="7" borderId="22" xfId="0" applyNumberFormat="1" applyFont="1" applyFill="1" applyBorder="1" applyAlignment="1" applyProtection="1">
      <alignment horizontal="center" vertical="center" wrapText="1"/>
    </xf>
    <xf numFmtId="0" fontId="5" fillId="7" borderId="22" xfId="0" applyFont="1" applyFill="1" applyBorder="1" applyAlignment="1" applyProtection="1">
      <alignment horizontal="center" vertical="center" wrapText="1"/>
    </xf>
    <xf numFmtId="3" fontId="5" fillId="8" borderId="22" xfId="0" applyNumberFormat="1" applyFont="1" applyFill="1" applyBorder="1" applyAlignment="1" applyProtection="1">
      <alignment horizontal="center" vertical="center" wrapText="1"/>
    </xf>
    <xf numFmtId="0" fontId="5" fillId="0" borderId="22" xfId="0" applyFont="1" applyBorder="1" applyAlignment="1" applyProtection="1">
      <alignment horizontal="center" vertical="center" wrapText="1"/>
    </xf>
    <xf numFmtId="179" fontId="7" fillId="10" borderId="30" xfId="0" applyNumberFormat="1" applyFont="1" applyFill="1" applyBorder="1" applyAlignment="1" applyProtection="1">
      <alignment horizontal="center" vertical="center"/>
    </xf>
    <xf numFmtId="9" fontId="3" fillId="10" borderId="30" xfId="0" applyNumberFormat="1" applyFont="1" applyFill="1" applyBorder="1" applyAlignment="1" applyProtection="1">
      <alignment horizontal="center" vertical="center"/>
    </xf>
    <xf numFmtId="9" fontId="3" fillId="10" borderId="37" xfId="0" applyNumberFormat="1" applyFont="1" applyFill="1" applyBorder="1" applyAlignment="1" applyProtection="1">
      <alignment horizontal="center" vertical="center"/>
    </xf>
    <xf numFmtId="0" fontId="3" fillId="6" borderId="22" xfId="0" applyFont="1" applyFill="1" applyBorder="1" applyAlignment="1" applyProtection="1">
      <alignment horizontal="center" vertical="center"/>
    </xf>
    <xf numFmtId="10" fontId="7" fillId="13" borderId="10" xfId="0" applyNumberFormat="1" applyFont="1" applyFill="1" applyBorder="1" applyAlignment="1" applyProtection="1">
      <alignment horizontal="center" vertical="center" wrapText="1"/>
    </xf>
    <xf numFmtId="180" fontId="13" fillId="15" borderId="31" xfId="0" applyNumberFormat="1" applyFont="1" applyFill="1" applyBorder="1" applyAlignment="1" applyProtection="1">
      <alignment horizontal="center" vertical="center"/>
    </xf>
    <xf numFmtId="14" fontId="5" fillId="8" borderId="7" xfId="0" applyNumberFormat="1" applyFont="1" applyFill="1" applyBorder="1" applyAlignment="1" applyProtection="1">
      <alignment horizontal="left" vertical="center" wrapText="1"/>
    </xf>
    <xf numFmtId="9" fontId="7" fillId="10" borderId="10" xfId="0" applyNumberFormat="1" applyFont="1" applyFill="1" applyBorder="1" applyAlignment="1" applyProtection="1">
      <alignment horizontal="center" vertical="center" wrapText="1"/>
    </xf>
    <xf numFmtId="9" fontId="7" fillId="10" borderId="11" xfId="0" applyNumberFormat="1" applyFont="1" applyFill="1" applyBorder="1" applyAlignment="1" applyProtection="1">
      <alignment horizontal="center" vertical="center" wrapText="1"/>
    </xf>
    <xf numFmtId="0" fontId="7" fillId="9" borderId="5" xfId="0" applyFont="1" applyFill="1" applyBorder="1" applyAlignment="1" applyProtection="1">
      <alignment horizontal="center" vertical="center" wrapText="1"/>
    </xf>
    <xf numFmtId="0" fontId="3" fillId="7" borderId="22" xfId="0" applyFont="1" applyFill="1" applyBorder="1" applyAlignment="1" applyProtection="1">
      <alignment horizontal="center" vertical="center"/>
    </xf>
    <xf numFmtId="0" fontId="3" fillId="8" borderId="22" xfId="0" applyFont="1" applyFill="1" applyBorder="1" applyAlignment="1" applyProtection="1">
      <alignment horizontal="center" vertical="center"/>
    </xf>
    <xf numFmtId="0" fontId="8" fillId="12" borderId="34" xfId="0" applyFont="1" applyFill="1" applyBorder="1" applyAlignment="1" applyProtection="1">
      <alignment horizontal="center" vertical="center"/>
    </xf>
    <xf numFmtId="4" fontId="9" fillId="12" borderId="34" xfId="0" applyNumberFormat="1" applyFont="1" applyFill="1" applyBorder="1" applyAlignment="1" applyProtection="1">
      <alignment horizontal="center" vertical="center"/>
    </xf>
    <xf numFmtId="1" fontId="8" fillId="12" borderId="34" xfId="0" applyNumberFormat="1" applyFont="1" applyFill="1" applyBorder="1" applyAlignment="1" applyProtection="1">
      <alignment horizontal="center" vertical="center"/>
    </xf>
    <xf numFmtId="14" fontId="5" fillId="0" borderId="6" xfId="0" applyNumberFormat="1" applyFont="1" applyBorder="1" applyAlignment="1" applyProtection="1">
      <alignment horizontal="left" vertical="center" wrapText="1"/>
    </xf>
    <xf numFmtId="4" fontId="8" fillId="12" borderId="34" xfId="0" applyNumberFormat="1" applyFont="1" applyFill="1" applyBorder="1" applyAlignment="1" applyProtection="1">
      <alignment horizontal="center" vertical="center"/>
    </xf>
    <xf numFmtId="4" fontId="11" fillId="0" borderId="38" xfId="0" applyNumberFormat="1" applyFont="1" applyBorder="1" applyAlignment="1" applyProtection="1">
      <alignment horizontal="center" vertical="center"/>
    </xf>
    <xf numFmtId="2" fontId="11" fillId="0" borderId="38" xfId="0" applyNumberFormat="1" applyFont="1" applyBorder="1" applyAlignment="1" applyProtection="1">
      <alignment horizontal="center" vertical="center"/>
    </xf>
    <xf numFmtId="177" fontId="3" fillId="0" borderId="0" xfId="0" applyNumberFormat="1" applyFont="1" applyAlignment="1">
      <alignment horizontal="center" vertical="center" wrapText="1"/>
    </xf>
    <xf numFmtId="10" fontId="10" fillId="12" borderId="34" xfId="0" applyNumberFormat="1" applyFont="1" applyFill="1" applyBorder="1" applyAlignment="1" applyProtection="1">
      <alignment horizontal="center" vertical="center"/>
    </xf>
    <xf numFmtId="4" fontId="11" fillId="0" borderId="24" xfId="0" applyNumberFormat="1" applyFont="1" applyBorder="1" applyAlignment="1" applyProtection="1">
      <alignment horizontal="center" vertical="center"/>
    </xf>
    <xf numFmtId="0" fontId="3" fillId="11" borderId="22" xfId="0" applyFont="1" applyFill="1" applyBorder="1" applyAlignment="1" applyProtection="1">
      <alignment horizontal="center" vertical="center"/>
    </xf>
    <xf numFmtId="10" fontId="11" fillId="0" borderId="24" xfId="0" applyNumberFormat="1" applyFont="1" applyBorder="1" applyAlignment="1" applyProtection="1">
      <alignment horizontal="center" vertical="center"/>
    </xf>
    <xf numFmtId="2" fontId="11" fillId="0" borderId="24" xfId="0" applyNumberFormat="1" applyFont="1" applyBorder="1" applyAlignment="1" applyProtection="1">
      <alignment horizontal="center" vertical="center"/>
    </xf>
    <xf numFmtId="0" fontId="3" fillId="7" borderId="28" xfId="0" applyFont="1" applyFill="1" applyBorder="1" applyAlignment="1" applyProtection="1">
      <alignment horizontal="center" vertical="center"/>
    </xf>
    <xf numFmtId="9" fontId="7" fillId="10" borderId="30" xfId="0" applyNumberFormat="1" applyFont="1" applyFill="1" applyBorder="1" applyAlignment="1" applyProtection="1">
      <alignment horizontal="center" vertical="center" wrapText="1"/>
    </xf>
    <xf numFmtId="4" fontId="11" fillId="0" borderId="25" xfId="0" applyNumberFormat="1" applyFont="1" applyBorder="1" applyAlignment="1" applyProtection="1">
      <alignment horizontal="center" vertical="center"/>
    </xf>
    <xf numFmtId="0" fontId="7" fillId="12" borderId="22" xfId="0" applyFont="1" applyFill="1" applyBorder="1" applyAlignment="1" applyProtection="1">
      <alignment horizontal="center" vertical="center" wrapText="1"/>
    </xf>
    <xf numFmtId="14" fontId="5" fillId="5" borderId="25" xfId="0" applyNumberFormat="1" applyFont="1" applyFill="1" applyBorder="1" applyAlignment="1" applyProtection="1">
      <alignment horizontal="left" vertical="center" wrapText="1"/>
    </xf>
    <xf numFmtId="10" fontId="2" fillId="0" borderId="0" xfId="0" applyNumberFormat="1" applyFont="1">
      <alignment vertical="center"/>
    </xf>
    <xf numFmtId="10" fontId="8" fillId="12" borderId="36" xfId="0" applyNumberFormat="1" applyFont="1" applyFill="1" applyBorder="1" applyAlignment="1" applyProtection="1">
      <alignment horizontal="center" vertical="center"/>
    </xf>
    <xf numFmtId="10" fontId="11" fillId="0" borderId="31" xfId="0" applyNumberFormat="1" applyFont="1" applyBorder="1" applyAlignment="1" applyProtection="1">
      <alignment horizontal="center" vertical="center"/>
    </xf>
    <xf numFmtId="4" fontId="8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4" fontId="5" fillId="5" borderId="40" xfId="0" applyNumberFormat="1" applyFont="1" applyFill="1" applyBorder="1" applyAlignment="1" applyProtection="1">
      <alignment horizontal="left" vertical="center" wrapText="1"/>
    </xf>
    <xf numFmtId="10" fontId="17" fillId="0" borderId="0" xfId="0" applyNumberFormat="1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14" fontId="5" fillId="5" borderId="41" xfId="0" applyNumberFormat="1" applyFont="1" applyFill="1" applyBorder="1" applyAlignment="1" applyProtection="1">
      <alignment horizontal="left" vertical="center" wrapText="1"/>
    </xf>
    <xf numFmtId="0" fontId="5" fillId="7" borderId="22" xfId="0" applyFont="1" applyFill="1" applyBorder="1" applyAlignment="1" applyProtection="1">
      <alignment horizontal="center" vertical="center" wrapText="1"/>
    </xf>
    <xf numFmtId="0" fontId="5" fillId="11" borderId="22" xfId="0" applyFont="1" applyFill="1" applyBorder="1" applyAlignment="1" applyProtection="1">
      <alignment horizontal="center" vertical="center" wrapText="1"/>
    </xf>
    <xf numFmtId="10" fontId="12" fillId="0" borderId="0" xfId="0" applyNumberFormat="1" applyFont="1">
      <alignment vertical="center"/>
    </xf>
    <xf numFmtId="0" fontId="18" fillId="0" borderId="0" xfId="0" applyFont="1" applyAlignment="1">
      <alignment horizontal="center" vertical="center"/>
    </xf>
    <xf numFmtId="0" fontId="7" fillId="13" borderId="34" xfId="0" applyFont="1" applyFill="1" applyBorder="1" applyAlignment="1" applyProtection="1">
      <alignment horizontal="center" vertical="center" wrapText="1"/>
    </xf>
    <xf numFmtId="0" fontId="7" fillId="9" borderId="29" xfId="0" applyFont="1" applyFill="1" applyBorder="1" applyAlignment="1" applyProtection="1">
      <alignment horizontal="center" vertical="center" wrapText="1"/>
    </xf>
    <xf numFmtId="0" fontId="7" fillId="9" borderId="42" xfId="0" applyFont="1" applyFill="1" applyBorder="1" applyAlignment="1" applyProtection="1">
      <alignment horizontal="center" vertical="center" wrapText="1"/>
    </xf>
    <xf numFmtId="0" fontId="7" fillId="9" borderId="43" xfId="0" applyFont="1" applyFill="1" applyBorder="1" applyAlignment="1" applyProtection="1">
      <alignment horizontal="center" vertical="center" wrapText="1"/>
    </xf>
    <xf numFmtId="3" fontId="5" fillId="11" borderId="22" xfId="0" applyNumberFormat="1" applyFont="1" applyFill="1" applyBorder="1" applyAlignment="1" applyProtection="1">
      <alignment horizontal="center" vertical="center" wrapText="1"/>
    </xf>
    <xf numFmtId="0" fontId="7" fillId="9" borderId="44" xfId="0" applyFont="1" applyFill="1" applyBorder="1" applyAlignment="1" applyProtection="1">
      <alignment horizontal="center" vertical="center" wrapText="1"/>
    </xf>
    <xf numFmtId="0" fontId="7" fillId="12" borderId="29" xfId="0" applyFont="1" applyFill="1" applyBorder="1" applyAlignment="1" applyProtection="1">
      <alignment horizontal="center" vertical="center" wrapText="1"/>
    </xf>
    <xf numFmtId="0" fontId="7" fillId="12" borderId="29" xfId="0" applyFont="1" applyFill="1" applyBorder="1" applyAlignment="1" applyProtection="1">
      <alignment horizontal="left" vertical="center" wrapText="1"/>
    </xf>
    <xf numFmtId="0" fontId="7" fillId="9" borderId="39" xfId="0" applyFont="1" applyFill="1" applyBorder="1" applyAlignment="1" applyProtection="1">
      <alignment horizontal="center" vertical="center" wrapText="1"/>
    </xf>
    <xf numFmtId="0" fontId="7" fillId="12" borderId="39" xfId="0" applyFont="1" applyFill="1" applyBorder="1" applyAlignment="1" applyProtection="1">
      <alignment horizontal="center" vertical="center" wrapText="1"/>
    </xf>
    <xf numFmtId="14" fontId="5" fillId="0" borderId="22" xfId="0" applyNumberFormat="1" applyFont="1" applyBorder="1" applyAlignment="1" applyProtection="1">
      <alignment horizontal="left" vertical="center" wrapText="1"/>
    </xf>
    <xf numFmtId="0" fontId="7" fillId="9" borderId="45" xfId="0" applyFont="1" applyFill="1" applyBorder="1" applyAlignment="1" applyProtection="1">
      <alignment horizontal="center" vertical="center" wrapText="1"/>
    </xf>
    <xf numFmtId="3" fontId="5" fillId="6" borderId="22" xfId="0" applyNumberFormat="1" applyFont="1" applyFill="1" applyBorder="1" applyAlignment="1" applyProtection="1">
      <alignment horizontal="center" vertical="center" wrapText="1"/>
    </xf>
    <xf numFmtId="0" fontId="7" fillId="13" borderId="34" xfId="0" applyFont="1" applyFill="1" applyBorder="1" applyAlignment="1" applyProtection="1">
      <alignment horizontal="center" vertical="center" wrapText="1"/>
    </xf>
    <xf numFmtId="0" fontId="7" fillId="9" borderId="46" xfId="0" applyFont="1" applyFill="1" applyBorder="1" applyAlignment="1" applyProtection="1">
      <alignment horizontal="center" vertical="center" wrapText="1"/>
    </xf>
    <xf numFmtId="49" fontId="4" fillId="2" borderId="12" xfId="0" applyNumberFormat="1" applyFont="1" applyFill="1" applyBorder="1" applyAlignment="1" applyProtection="1">
      <alignment horizontal="center" vertical="center" wrapText="1"/>
    </xf>
    <xf numFmtId="0" fontId="7" fillId="13" borderId="34" xfId="0" quotePrefix="1" applyFont="1" applyFill="1" applyBorder="1" applyAlignment="1" applyProtection="1">
      <alignment horizontal="center" vertical="center" wrapText="1"/>
    </xf>
    <xf numFmtId="0" fontId="7" fillId="9" borderId="47" xfId="0" applyFont="1" applyFill="1" applyBorder="1" applyAlignment="1" applyProtection="1">
      <alignment horizontal="center" vertical="center" wrapText="1"/>
    </xf>
    <xf numFmtId="49" fontId="4" fillId="2" borderId="48" xfId="0" applyNumberFormat="1" applyFont="1" applyFill="1" applyBorder="1" applyAlignment="1" applyProtection="1">
      <alignment horizontal="center" vertical="center" wrapText="1"/>
    </xf>
    <xf numFmtId="49" fontId="7" fillId="9" borderId="43" xfId="0" applyNumberFormat="1" applyFont="1" applyFill="1" applyBorder="1" applyAlignment="1" applyProtection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179" fontId="7" fillId="10" borderId="36" xfId="0" quotePrefix="1" applyNumberFormat="1" applyFont="1" applyFill="1" applyBorder="1" applyAlignment="1" applyProtection="1">
      <alignment horizontal="center" vertical="center"/>
    </xf>
    <xf numFmtId="49" fontId="7" fillId="9" borderId="44" xfId="0" applyNumberFormat="1" applyFont="1" applyFill="1" applyBorder="1" applyAlignment="1" applyProtection="1">
      <alignment horizontal="center" vertical="center" wrapText="1"/>
    </xf>
    <xf numFmtId="49" fontId="7" fillId="9" borderId="49" xfId="0" applyNumberFormat="1" applyFont="1" applyFill="1" applyBorder="1" applyAlignment="1" applyProtection="1">
      <alignment horizontal="center" vertical="center" wrapText="1"/>
    </xf>
    <xf numFmtId="49" fontId="7" fillId="9" borderId="50" xfId="0" applyNumberFormat="1" applyFont="1" applyFill="1" applyBorder="1" applyAlignment="1" applyProtection="1">
      <alignment horizontal="center" vertical="center" wrapText="1"/>
    </xf>
    <xf numFmtId="14" fontId="5" fillId="5" borderId="22" xfId="0" applyNumberFormat="1" applyFont="1" applyFill="1" applyBorder="1" applyAlignment="1" applyProtection="1">
      <alignment horizontal="left" vertical="center" wrapText="1"/>
    </xf>
    <xf numFmtId="14" fontId="5" fillId="6" borderId="22" xfId="0" applyNumberFormat="1" applyFont="1" applyFill="1" applyBorder="1" applyAlignment="1" applyProtection="1">
      <alignment horizontal="left" vertical="center" wrapText="1"/>
    </xf>
    <xf numFmtId="14" fontId="5" fillId="7" borderId="22" xfId="0" applyNumberFormat="1" applyFont="1" applyFill="1" applyBorder="1" applyAlignment="1" applyProtection="1">
      <alignment horizontal="left" vertical="center" wrapText="1"/>
    </xf>
    <xf numFmtId="14" fontId="5" fillId="8" borderId="22" xfId="0" applyNumberFormat="1" applyFont="1" applyFill="1" applyBorder="1" applyAlignment="1" applyProtection="1">
      <alignment horizontal="left" vertical="center" wrapText="1"/>
    </xf>
    <xf numFmtId="0" fontId="11" fillId="0" borderId="24" xfId="0" applyFont="1" applyBorder="1" applyAlignment="1" applyProtection="1">
      <alignment horizontal="center" vertical="center"/>
    </xf>
    <xf numFmtId="14" fontId="5" fillId="5" borderId="12" xfId="0" applyNumberFormat="1" applyFont="1" applyFill="1" applyBorder="1" applyAlignment="1" applyProtection="1">
      <alignment horizontal="left" vertical="center" wrapText="1"/>
    </xf>
    <xf numFmtId="14" fontId="5" fillId="6" borderId="7" xfId="0" applyNumberFormat="1" applyFont="1" applyFill="1" applyBorder="1" applyAlignment="1" applyProtection="1">
      <alignment horizontal="left" vertical="center" wrapText="1"/>
    </xf>
    <xf numFmtId="49" fontId="4" fillId="2" borderId="9" xfId="0" applyNumberFormat="1" applyFont="1" applyFill="1" applyBorder="1" applyAlignment="1" applyProtection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4" fontId="12" fillId="0" borderId="28" xfId="0" applyNumberFormat="1" applyFont="1" applyBorder="1" applyAlignment="1" applyProtection="1">
      <alignment horizontal="center"/>
    </xf>
    <xf numFmtId="10" fontId="19" fillId="0" borderId="27" xfId="0" applyNumberFormat="1" applyFont="1" applyBorder="1" applyAlignment="1" applyProtection="1">
      <alignment horizontal="center" vertical="center" wrapText="1"/>
    </xf>
    <xf numFmtId="10" fontId="5" fillId="0" borderId="24" xfId="0" applyNumberFormat="1" applyFont="1" applyBorder="1" applyAlignment="1" applyProtection="1">
      <alignment horizontal="center" vertical="center" wrapText="1"/>
    </xf>
    <xf numFmtId="10" fontId="19" fillId="0" borderId="24" xfId="0" applyNumberFormat="1" applyFont="1" applyBorder="1" applyAlignment="1" applyProtection="1">
      <alignment horizontal="center" vertical="center" wrapText="1"/>
    </xf>
    <xf numFmtId="10" fontId="12" fillId="0" borderId="27" xfId="0" applyNumberFormat="1" applyFont="1" applyBorder="1" applyAlignment="1" applyProtection="1">
      <alignment horizontal="center"/>
    </xf>
    <xf numFmtId="3" fontId="5" fillId="14" borderId="22" xfId="0" applyNumberFormat="1" applyFont="1" applyFill="1" applyBorder="1" applyAlignment="1" applyProtection="1">
      <alignment horizontal="center" vertical="center" wrapText="1"/>
    </xf>
    <xf numFmtId="9" fontId="7" fillId="10" borderId="37" xfId="0" applyNumberFormat="1" applyFont="1" applyFill="1" applyBorder="1" applyAlignment="1" applyProtection="1">
      <alignment horizontal="center" vertical="center" wrapText="1"/>
    </xf>
    <xf numFmtId="180" fontId="17" fillId="15" borderId="27" xfId="0" applyNumberFormat="1" applyFont="1" applyFill="1" applyBorder="1" applyAlignment="1" applyProtection="1">
      <alignment horizontal="center" vertical="center"/>
    </xf>
    <xf numFmtId="177" fontId="7" fillId="13" borderId="25" xfId="0" applyNumberFormat="1" applyFont="1" applyFill="1" applyBorder="1" applyAlignment="1" applyProtection="1">
      <alignment horizontal="center" vertical="center" wrapText="1"/>
    </xf>
    <xf numFmtId="0" fontId="5" fillId="0" borderId="28" xfId="0" applyFont="1" applyBorder="1" applyAlignment="1" applyProtection="1">
      <alignment horizontal="center" vertical="center" wrapText="1"/>
    </xf>
    <xf numFmtId="0" fontId="5" fillId="0" borderId="25" xfId="0" applyFont="1" applyBorder="1" applyAlignment="1" applyProtection="1">
      <alignment horizontal="center" vertical="center" wrapText="1"/>
    </xf>
    <xf numFmtId="0" fontId="7" fillId="12" borderId="39" xfId="0" applyFont="1" applyFill="1" applyBorder="1" applyAlignment="1" applyProtection="1">
      <alignment horizontal="left" vertical="center" wrapText="1"/>
    </xf>
    <xf numFmtId="4" fontId="12" fillId="0" borderId="22" xfId="0" applyNumberFormat="1" applyFont="1" applyBorder="1" applyAlignment="1" applyProtection="1">
      <alignment horizontal="center"/>
    </xf>
    <xf numFmtId="9" fontId="3" fillId="10" borderId="24" xfId="0" applyNumberFormat="1" applyFont="1" applyFill="1" applyBorder="1" applyAlignment="1" applyProtection="1">
      <alignment horizontal="center" vertical="center"/>
    </xf>
    <xf numFmtId="180" fontId="17" fillId="15" borderId="30" xfId="0" applyNumberFormat="1" applyFont="1" applyFill="1" applyBorder="1" applyAlignment="1" applyProtection="1">
      <alignment horizontal="center" vertical="center"/>
    </xf>
    <xf numFmtId="9" fontId="3" fillId="10" borderId="31" xfId="0" applyNumberFormat="1" applyFont="1" applyFill="1" applyBorder="1" applyAlignment="1" applyProtection="1">
      <alignment horizontal="center" vertical="center"/>
    </xf>
    <xf numFmtId="10" fontId="7" fillId="13" borderId="0" xfId="0" applyNumberFormat="1" applyFont="1" applyFill="1" applyAlignment="1">
      <alignment horizontal="center" vertical="center" wrapText="1"/>
    </xf>
    <xf numFmtId="4" fontId="12" fillId="0" borderId="25" xfId="0" applyNumberFormat="1" applyFont="1" applyBorder="1" applyAlignment="1" applyProtection="1">
      <alignment horizontal="center"/>
    </xf>
    <xf numFmtId="181" fontId="7" fillId="13" borderId="34" xfId="0" applyNumberFormat="1" applyFont="1" applyFill="1" applyBorder="1" applyAlignment="1" applyProtection="1">
      <alignment horizontal="center" vertical="center" wrapText="1"/>
    </xf>
    <xf numFmtId="179" fontId="7" fillId="10" borderId="34" xfId="0" applyNumberFormat="1" applyFont="1" applyFill="1" applyBorder="1" applyAlignment="1" applyProtection="1">
      <alignment horizontal="center" vertical="center"/>
    </xf>
    <xf numFmtId="177" fontId="7" fillId="13" borderId="10" xfId="0" applyNumberFormat="1" applyFont="1" applyFill="1" applyBorder="1" applyAlignment="1" applyProtection="1">
      <alignment horizontal="center" vertical="center" wrapText="1"/>
    </xf>
    <xf numFmtId="10" fontId="8" fillId="12" borderId="31" xfId="0" applyNumberFormat="1" applyFont="1" applyFill="1" applyBorder="1" applyAlignment="1" applyProtection="1">
      <alignment horizontal="center" vertical="center"/>
    </xf>
    <xf numFmtId="0" fontId="7" fillId="13" borderId="39" xfId="0" applyFont="1" applyFill="1" applyBorder="1" applyAlignment="1" applyProtection="1">
      <alignment horizontal="center" vertical="center" wrapText="1"/>
    </xf>
    <xf numFmtId="180" fontId="17" fillId="15" borderId="0" xfId="0" applyNumberFormat="1" applyFont="1" applyFill="1" applyAlignment="1">
      <alignment horizontal="center" vertical="center"/>
    </xf>
    <xf numFmtId="177" fontId="7" fillId="13" borderId="12" xfId="0" applyNumberFormat="1" applyFont="1" applyFill="1" applyBorder="1" applyAlignment="1" applyProtection="1">
      <alignment horizontal="center" vertical="center" wrapText="1"/>
    </xf>
    <xf numFmtId="178" fontId="7" fillId="13" borderId="34" xfId="0" applyNumberFormat="1" applyFont="1" applyFill="1" applyBorder="1" applyAlignment="1" applyProtection="1">
      <alignment horizontal="center" vertical="center" wrapText="1"/>
    </xf>
    <xf numFmtId="180" fontId="17" fillId="15" borderId="37" xfId="0" applyNumberFormat="1" applyFont="1" applyFill="1" applyBorder="1" applyAlignment="1" applyProtection="1">
      <alignment horizontal="center" vertical="center"/>
    </xf>
    <xf numFmtId="9" fontId="7" fillId="10" borderId="0" xfId="0" applyNumberFormat="1" applyFont="1" applyFill="1" applyAlignment="1">
      <alignment horizontal="center" vertical="center" wrapText="1"/>
    </xf>
    <xf numFmtId="9" fontId="7" fillId="10" borderId="8" xfId="0" applyNumberFormat="1" applyFont="1" applyFill="1" applyBorder="1" applyAlignment="1" applyProtection="1">
      <alignment horizontal="center" vertical="center" wrapText="1"/>
    </xf>
    <xf numFmtId="180" fontId="17" fillId="15" borderId="24" xfId="0" applyNumberFormat="1" applyFont="1" applyFill="1" applyBorder="1" applyAlignment="1" applyProtection="1">
      <alignment horizontal="center" vertical="center"/>
    </xf>
    <xf numFmtId="177" fontId="7" fillId="13" borderId="22" xfId="0" applyNumberFormat="1" applyFont="1" applyFill="1" applyBorder="1" applyAlignment="1" applyProtection="1">
      <alignment horizontal="center" vertical="center" wrapText="1"/>
    </xf>
    <xf numFmtId="180" fontId="17" fillId="15" borderId="31" xfId="0" applyNumberFormat="1" applyFont="1" applyFill="1" applyBorder="1" applyAlignment="1" applyProtection="1">
      <alignment horizontal="center" vertical="center"/>
    </xf>
    <xf numFmtId="4" fontId="9" fillId="0" borderId="0" xfId="0" applyNumberFormat="1" applyFont="1" applyAlignment="1">
      <alignment horizontal="center" vertical="center"/>
    </xf>
    <xf numFmtId="179" fontId="3" fillId="10" borderId="0" xfId="0" applyNumberFormat="1" applyFont="1" applyFill="1" applyAlignment="1">
      <alignment horizontal="center" vertical="center"/>
    </xf>
    <xf numFmtId="14" fontId="5" fillId="11" borderId="22" xfId="0" applyNumberFormat="1" applyFont="1" applyFill="1" applyBorder="1" applyAlignment="1" applyProtection="1">
      <alignment horizontal="left" vertical="center" wrapText="1"/>
    </xf>
    <xf numFmtId="10" fontId="12" fillId="0" borderId="30" xfId="0" applyNumberFormat="1" applyFont="1" applyBorder="1" applyAlignment="1" applyProtection="1">
      <alignment horizontal="center"/>
    </xf>
    <xf numFmtId="10" fontId="12" fillId="0" borderId="37" xfId="0" applyNumberFormat="1" applyFont="1" applyBorder="1" applyAlignment="1" applyProtection="1">
      <alignment horizontal="center"/>
    </xf>
    <xf numFmtId="0" fontId="5" fillId="0" borderId="22" xfId="0" applyFont="1" applyBorder="1" applyAlignment="1" applyProtection="1">
      <alignment horizontal="center" vertical="center" wrapText="1"/>
    </xf>
    <xf numFmtId="10" fontId="12" fillId="0" borderId="24" xfId="0" applyNumberFormat="1" applyFont="1" applyBorder="1" applyAlignment="1" applyProtection="1">
      <alignment horizontal="center"/>
    </xf>
    <xf numFmtId="10" fontId="12" fillId="0" borderId="31" xfId="0" applyNumberFormat="1" applyFont="1" applyBorder="1" applyAlignment="1" applyProtection="1">
      <alignment horizontal="center"/>
    </xf>
    <xf numFmtId="179" fontId="7" fillId="10" borderId="31" xfId="0" applyNumberFormat="1" applyFont="1" applyFill="1" applyBorder="1" applyAlignment="1" applyProtection="1">
      <alignment horizontal="center" vertical="center"/>
    </xf>
    <xf numFmtId="14" fontId="5" fillId="0" borderId="25" xfId="0" applyNumberFormat="1" applyFont="1" applyBorder="1" applyAlignment="1" applyProtection="1">
      <alignment horizontal="left" vertical="center" wrapText="1"/>
    </xf>
    <xf numFmtId="14" fontId="5" fillId="7" borderId="48" xfId="0" applyNumberFormat="1" applyFont="1" applyFill="1" applyBorder="1" applyAlignment="1" applyProtection="1">
      <alignment horizontal="left" vertical="center" wrapText="1"/>
    </xf>
    <xf numFmtId="14" fontId="5" fillId="7" borderId="40" xfId="0" applyNumberFormat="1" applyFont="1" applyFill="1" applyBorder="1" applyAlignment="1" applyProtection="1">
      <alignment horizontal="left" vertical="center" wrapText="1"/>
    </xf>
    <xf numFmtId="14" fontId="5" fillId="0" borderId="40" xfId="0" applyNumberFormat="1" applyFont="1" applyBorder="1" applyAlignment="1" applyProtection="1">
      <alignment horizontal="left" vertical="center" wrapText="1"/>
    </xf>
    <xf numFmtId="10" fontId="12" fillId="0" borderId="25" xfId="0" applyNumberFormat="1" applyFont="1" applyBorder="1" applyAlignment="1" applyProtection="1">
      <alignment horizontal="center" vertical="center"/>
    </xf>
    <xf numFmtId="10" fontId="12" fillId="0" borderId="24" xfId="0" applyNumberFormat="1" applyFont="1" applyBorder="1" applyAlignment="1" applyProtection="1">
      <alignment horizontal="center" vertical="center"/>
    </xf>
    <xf numFmtId="14" fontId="5" fillId="11" borderId="40" xfId="0" applyNumberFormat="1" applyFont="1" applyFill="1" applyBorder="1" applyAlignment="1" applyProtection="1">
      <alignment horizontal="left" vertical="center" wrapText="1"/>
    </xf>
    <xf numFmtId="0" fontId="6" fillId="0" borderId="0" xfId="0" applyFont="1" applyAlignment="1">
      <alignment horizontal="center" vertical="center"/>
    </xf>
    <xf numFmtId="4" fontId="11" fillId="0" borderId="32" xfId="0" applyNumberFormat="1" applyFont="1" applyBorder="1" applyAlignment="1" applyProtection="1">
      <alignment horizontal="center" vertical="center"/>
    </xf>
    <xf numFmtId="10" fontId="11" fillId="0" borderId="32" xfId="0" applyNumberFormat="1" applyFont="1" applyBorder="1" applyAlignment="1" applyProtection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6" borderId="7" xfId="0" applyFont="1" applyFill="1" applyBorder="1" applyAlignment="1" applyProtection="1">
      <alignment horizontal="center" vertical="center" wrapText="1"/>
    </xf>
    <xf numFmtId="0" fontId="5" fillId="8" borderId="7" xfId="0" applyFont="1" applyFill="1" applyBorder="1" applyAlignment="1" applyProtection="1">
      <alignment horizontal="center" vertical="center" wrapText="1"/>
    </xf>
    <xf numFmtId="3" fontId="17" fillId="0" borderId="0" xfId="0" applyNumberFormat="1" applyFont="1" applyAlignment="1">
      <alignment horizontal="center" vertical="center"/>
    </xf>
    <xf numFmtId="2" fontId="7" fillId="13" borderId="34" xfId="0" applyNumberFormat="1" applyFont="1" applyFill="1" applyBorder="1" applyAlignment="1" applyProtection="1">
      <alignment horizontal="center" vertical="center" wrapText="1"/>
    </xf>
    <xf numFmtId="0" fontId="7" fillId="13" borderId="34" xfId="0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4" fontId="5" fillId="5" borderId="26" xfId="0" applyNumberFormat="1" applyFont="1" applyFill="1" applyBorder="1" applyAlignment="1" applyProtection="1">
      <alignment horizontal="left" vertical="center" wrapText="1"/>
    </xf>
    <xf numFmtId="0" fontId="5" fillId="7" borderId="28" xfId="0" applyFont="1" applyFill="1" applyBorder="1" applyAlignment="1" applyProtection="1">
      <alignment horizontal="center" vertical="center" wrapText="1"/>
    </xf>
    <xf numFmtId="0" fontId="5" fillId="11" borderId="22" xfId="0" applyFont="1" applyFill="1" applyBorder="1" applyAlignment="1" applyProtection="1">
      <alignment horizontal="center" vertical="center" wrapText="1"/>
    </xf>
    <xf numFmtId="14" fontId="5" fillId="6" borderId="26" xfId="0" applyNumberFormat="1" applyFont="1" applyFill="1" applyBorder="1" applyAlignment="1" applyProtection="1">
      <alignment horizontal="left" vertical="center" wrapText="1"/>
    </xf>
    <xf numFmtId="14" fontId="5" fillId="7" borderId="26" xfId="0" applyNumberFormat="1" applyFont="1" applyFill="1" applyBorder="1" applyAlignment="1" applyProtection="1">
      <alignment horizontal="left" vertical="center" wrapText="1"/>
    </xf>
    <xf numFmtId="14" fontId="5" fillId="8" borderId="26" xfId="0" applyNumberFormat="1" applyFont="1" applyFill="1" applyBorder="1" applyAlignment="1" applyProtection="1">
      <alignment horizontal="left" vertical="center" wrapText="1"/>
    </xf>
    <xf numFmtId="49" fontId="7" fillId="9" borderId="46" xfId="0" applyNumberFormat="1" applyFont="1" applyFill="1" applyBorder="1" applyAlignment="1" applyProtection="1">
      <alignment horizontal="center" vertical="center" wrapText="1"/>
    </xf>
    <xf numFmtId="10" fontId="11" fillId="0" borderId="51" xfId="0" applyNumberFormat="1" applyFont="1" applyBorder="1" applyAlignment="1" applyProtection="1">
      <alignment horizontal="center" vertical="center"/>
    </xf>
    <xf numFmtId="49" fontId="7" fillId="9" borderId="34" xfId="0" applyNumberFormat="1" applyFont="1" applyFill="1" applyBorder="1" applyAlignment="1" applyProtection="1">
      <alignment horizontal="center" vertical="center" wrapText="1"/>
    </xf>
    <xf numFmtId="4" fontId="11" fillId="0" borderId="0" xfId="0" applyNumberFormat="1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11" fillId="0" borderId="37" xfId="0" applyNumberFormat="1" applyFont="1" applyBorder="1" applyAlignment="1" applyProtection="1">
      <alignment horizontal="center" vertical="center"/>
    </xf>
    <xf numFmtId="0" fontId="7" fillId="12" borderId="52" xfId="0" applyFont="1" applyFill="1" applyBorder="1" applyAlignment="1" applyProtection="1">
      <alignment horizontal="left" vertical="center" wrapText="1"/>
    </xf>
    <xf numFmtId="1" fontId="7" fillId="13" borderId="53" xfId="0" applyNumberFormat="1" applyFont="1" applyFill="1" applyBorder="1" applyAlignment="1" applyProtection="1">
      <alignment horizontal="center" vertical="center" wrapText="1"/>
    </xf>
    <xf numFmtId="1" fontId="7" fillId="13" borderId="34" xfId="0" applyNumberFormat="1" applyFont="1" applyFill="1" applyBorder="1" applyAlignment="1" applyProtection="1">
      <alignment horizontal="center" vertical="center" wrapText="1"/>
    </xf>
    <xf numFmtId="4" fontId="7" fillId="13" borderId="34" xfId="0" applyNumberFormat="1" applyFont="1" applyFill="1" applyBorder="1" applyAlignment="1" applyProtection="1">
      <alignment horizontal="center" vertical="center" wrapText="1"/>
    </xf>
    <xf numFmtId="176" fontId="7" fillId="13" borderId="34" xfId="0" applyNumberFormat="1" applyFont="1" applyFill="1" applyBorder="1" applyAlignment="1" applyProtection="1">
      <alignment horizontal="center" vertical="center" wrapText="1"/>
    </xf>
    <xf numFmtId="10" fontId="12" fillId="0" borderId="22" xfId="0" applyNumberFormat="1" applyFont="1" applyBorder="1" applyAlignment="1" applyProtection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76" fontId="7" fillId="13" borderId="54" xfId="0" applyNumberFormat="1" applyFont="1" applyFill="1" applyBorder="1" applyAlignment="1" applyProtection="1">
      <alignment horizontal="center" vertical="center" wrapText="1"/>
    </xf>
    <xf numFmtId="0" fontId="7" fillId="13" borderId="53" xfId="0" applyFont="1" applyFill="1" applyBorder="1" applyAlignment="1" applyProtection="1">
      <alignment horizontal="center" vertical="center" wrapText="1"/>
    </xf>
    <xf numFmtId="3" fontId="7" fillId="13" borderId="34" xfId="0" applyNumberFormat="1" applyFont="1" applyFill="1" applyBorder="1" applyAlignment="1" applyProtection="1">
      <alignment horizontal="center" vertical="center" wrapText="1"/>
    </xf>
    <xf numFmtId="176" fontId="7" fillId="13" borderId="36" xfId="0" applyNumberFormat="1" applyFont="1" applyFill="1" applyBorder="1" applyAlignment="1" applyProtection="1">
      <alignment horizontal="center" vertical="center" wrapText="1"/>
    </xf>
    <xf numFmtId="176" fontId="5" fillId="11" borderId="37" xfId="0" applyNumberFormat="1" applyFont="1" applyFill="1" applyBorder="1" applyAlignment="1" applyProtection="1">
      <alignment horizontal="center" vertical="center" wrapText="1"/>
    </xf>
    <xf numFmtId="1" fontId="5" fillId="6" borderId="7" xfId="0" applyNumberFormat="1" applyFont="1" applyFill="1" applyBorder="1" applyAlignment="1" applyProtection="1">
      <alignment horizontal="center" vertical="center" wrapText="1"/>
    </xf>
    <xf numFmtId="1" fontId="5" fillId="0" borderId="14" xfId="0" applyNumberFormat="1" applyFont="1" applyBorder="1" applyAlignment="1" applyProtection="1">
      <alignment horizontal="center" vertical="center" wrapText="1"/>
    </xf>
    <xf numFmtId="1" fontId="5" fillId="0" borderId="7" xfId="0" applyNumberFormat="1" applyFont="1" applyBorder="1" applyAlignment="1" applyProtection="1">
      <alignment horizontal="center" vertical="center" wrapText="1"/>
    </xf>
    <xf numFmtId="1" fontId="5" fillId="7" borderId="7" xfId="0" applyNumberFormat="1" applyFont="1" applyFill="1" applyBorder="1" applyAlignment="1" applyProtection="1">
      <alignment horizontal="center" vertical="center" wrapText="1"/>
    </xf>
    <xf numFmtId="1" fontId="5" fillId="8" borderId="7" xfId="0" applyNumberFormat="1" applyFont="1" applyFill="1" applyBorder="1" applyAlignment="1" applyProtection="1">
      <alignment horizontal="center" vertical="center" wrapText="1"/>
    </xf>
    <xf numFmtId="1" fontId="5" fillId="6" borderId="0" xfId="0" applyNumberFormat="1" applyFont="1" applyFill="1" applyAlignment="1">
      <alignment horizontal="center" vertical="center" wrapText="1"/>
    </xf>
    <xf numFmtId="1" fontId="5" fillId="0" borderId="15" xfId="0" applyNumberFormat="1" applyFont="1" applyBorder="1" applyAlignment="1" applyProtection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 wrapText="1"/>
    </xf>
    <xf numFmtId="1" fontId="5" fillId="8" borderId="0" xfId="0" applyNumberFormat="1" applyFont="1" applyFill="1" applyAlignment="1">
      <alignment horizontal="center" vertical="center" wrapText="1"/>
    </xf>
    <xf numFmtId="177" fontId="7" fillId="13" borderId="53" xfId="0" applyNumberFormat="1" applyFont="1" applyFill="1" applyBorder="1" applyAlignment="1" applyProtection="1">
      <alignment horizontal="center" vertical="center" wrapText="1"/>
    </xf>
    <xf numFmtId="10" fontId="12" fillId="0" borderId="0" xfId="0" applyNumberFormat="1" applyFont="1" applyAlignment="1">
      <alignment horizontal="center"/>
    </xf>
    <xf numFmtId="0" fontId="11" fillId="0" borderId="32" xfId="0" applyFont="1" applyBorder="1" applyAlignment="1" applyProtection="1">
      <alignment horizontal="center" vertical="center"/>
    </xf>
    <xf numFmtId="3" fontId="7" fillId="13" borderId="25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12" borderId="52" xfId="0" applyFont="1" applyFill="1" applyBorder="1" applyAlignment="1" applyProtection="1">
      <alignment horizontal="center" vertical="center" wrapText="1"/>
    </xf>
    <xf numFmtId="0" fontId="7" fillId="12" borderId="28" xfId="0" applyFont="1" applyFill="1" applyBorder="1" applyAlignment="1" applyProtection="1">
      <alignment horizontal="center" vertical="center" wrapText="1"/>
    </xf>
    <xf numFmtId="179" fontId="7" fillId="10" borderId="36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/>
    </xf>
    <xf numFmtId="10" fontId="2" fillId="0" borderId="0" xfId="0" applyNumberFormat="1" applyFont="1" applyAlignment="1">
      <alignment horizontal="center" vertical="center"/>
    </xf>
    <xf numFmtId="1" fontId="5" fillId="7" borderId="27" xfId="0" applyNumberFormat="1" applyFont="1" applyFill="1" applyBorder="1" applyAlignment="1" applyProtection="1">
      <alignment horizontal="center" vertical="center" wrapText="1"/>
    </xf>
    <xf numFmtId="0" fontId="5" fillId="7" borderId="27" xfId="0" applyFont="1" applyFill="1" applyBorder="1" applyAlignment="1" applyProtection="1">
      <alignment horizontal="center" vertical="center" wrapText="1"/>
    </xf>
    <xf numFmtId="14" fontId="5" fillId="5" borderId="28" xfId="0" applyNumberFormat="1" applyFont="1" applyFill="1" applyBorder="1" applyAlignment="1" applyProtection="1">
      <alignment horizontal="left" vertical="center" wrapText="1"/>
    </xf>
    <xf numFmtId="177" fontId="5" fillId="7" borderId="27" xfId="0" applyNumberFormat="1" applyFont="1" applyFill="1" applyBorder="1" applyAlignment="1" applyProtection="1">
      <alignment horizontal="center" vertical="center" wrapText="1"/>
    </xf>
    <xf numFmtId="0" fontId="5" fillId="0" borderId="28" xfId="0" applyFont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5" fillId="7" borderId="27" xfId="0" applyNumberFormat="1" applyFont="1" applyFill="1" applyBorder="1" applyAlignment="1" applyProtection="1">
      <alignment horizontal="center" vertical="center" wrapText="1"/>
    </xf>
    <xf numFmtId="176" fontId="5" fillId="7" borderId="27" xfId="0" applyNumberFormat="1" applyFont="1" applyFill="1" applyBorder="1" applyAlignment="1" applyProtection="1">
      <alignment horizontal="center" vertical="center" wrapText="1"/>
    </xf>
    <xf numFmtId="176" fontId="5" fillId="7" borderId="35" xfId="0" applyNumberFormat="1" applyFont="1" applyFill="1" applyBorder="1" applyAlignment="1" applyProtection="1">
      <alignment horizontal="center" vertical="center" wrapText="1"/>
    </xf>
    <xf numFmtId="0" fontId="5" fillId="7" borderId="33" xfId="0" applyFont="1" applyFill="1" applyBorder="1" applyAlignment="1" applyProtection="1">
      <alignment horizontal="center" vertical="center" wrapText="1"/>
    </xf>
    <xf numFmtId="1" fontId="5" fillId="0" borderId="24" xfId="0" applyNumberFormat="1" applyFont="1" applyBorder="1" applyAlignment="1" applyProtection="1">
      <alignment horizontal="center" vertical="center" wrapText="1"/>
    </xf>
    <xf numFmtId="179" fontId="7" fillId="0" borderId="0" xfId="0" applyNumberFormat="1" applyFont="1" applyAlignment="1">
      <alignment horizontal="center" vertical="center"/>
    </xf>
    <xf numFmtId="0" fontId="5" fillId="0" borderId="24" xfId="0" applyFont="1" applyBorder="1" applyAlignment="1" applyProtection="1">
      <alignment horizontal="center" vertical="center" wrapText="1"/>
    </xf>
    <xf numFmtId="177" fontId="5" fillId="0" borderId="24" xfId="0" applyNumberFormat="1" applyFont="1" applyBorder="1" applyAlignment="1" applyProtection="1">
      <alignment horizontal="center" vertical="center" wrapText="1"/>
    </xf>
    <xf numFmtId="176" fontId="5" fillId="0" borderId="24" xfId="0" applyNumberFormat="1" applyFont="1" applyBorder="1" applyAlignment="1" applyProtection="1">
      <alignment horizontal="center" vertical="center" wrapText="1"/>
    </xf>
    <xf numFmtId="176" fontId="5" fillId="0" borderId="55" xfId="0" applyNumberFormat="1" applyFont="1" applyBorder="1" applyAlignment="1" applyProtection="1">
      <alignment horizontal="center" vertical="center" wrapText="1"/>
    </xf>
    <xf numFmtId="0" fontId="5" fillId="0" borderId="56" xfId="0" applyFont="1" applyBorder="1" applyAlignment="1" applyProtection="1">
      <alignment horizontal="center" vertical="center" wrapText="1"/>
    </xf>
    <xf numFmtId="14" fontId="5" fillId="7" borderId="41" xfId="0" applyNumberFormat="1" applyFont="1" applyFill="1" applyBorder="1" applyAlignment="1" applyProtection="1">
      <alignment horizontal="left" vertical="center" wrapText="1"/>
    </xf>
    <xf numFmtId="176" fontId="5" fillId="7" borderId="30" xfId="0" applyNumberFormat="1" applyFont="1" applyFill="1" applyBorder="1" applyAlignment="1" applyProtection="1">
      <alignment horizontal="center" vertical="center" wrapText="1"/>
    </xf>
    <xf numFmtId="1" fontId="12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6" fontId="5" fillId="7" borderId="37" xfId="0" applyNumberFormat="1" applyFont="1" applyFill="1" applyBorder="1" applyAlignment="1" applyProtection="1">
      <alignment horizontal="center" vertical="center" wrapText="1"/>
    </xf>
    <xf numFmtId="0" fontId="7" fillId="12" borderId="48" xfId="0" applyFont="1" applyFill="1" applyBorder="1" applyAlignment="1" applyProtection="1">
      <alignment horizontal="center" vertical="center" wrapText="1"/>
    </xf>
    <xf numFmtId="0" fontId="17" fillId="0" borderId="0" xfId="0" applyFont="1">
      <alignment vertical="center"/>
    </xf>
    <xf numFmtId="0" fontId="12" fillId="0" borderId="0" xfId="0" applyFont="1">
      <alignment vertical="center"/>
    </xf>
    <xf numFmtId="176" fontId="5" fillId="0" borderId="37" xfId="0" applyNumberFormat="1" applyFont="1" applyBorder="1" applyAlignment="1" applyProtection="1">
      <alignment horizontal="center" vertical="center" wrapText="1"/>
    </xf>
    <xf numFmtId="176" fontId="5" fillId="0" borderId="31" xfId="0" applyNumberFormat="1" applyFont="1" applyBorder="1" applyAlignment="1" applyProtection="1">
      <alignment horizontal="center" vertical="center" wrapText="1"/>
    </xf>
    <xf numFmtId="0" fontId="5" fillId="7" borderId="33" xfId="0" applyFont="1" applyFill="1" applyBorder="1" applyAlignment="1" applyProtection="1">
      <alignment horizontal="center" vertical="center" wrapText="1"/>
    </xf>
    <xf numFmtId="0" fontId="5" fillId="7" borderId="27" xfId="0" applyFont="1" applyFill="1" applyBorder="1" applyAlignment="1" applyProtection="1">
      <alignment horizontal="center" vertical="center" wrapText="1"/>
    </xf>
    <xf numFmtId="14" fontId="5" fillId="0" borderId="26" xfId="0" applyNumberFormat="1" applyFont="1" applyBorder="1" applyAlignment="1" applyProtection="1">
      <alignment horizontal="left" vertical="center" wrapText="1"/>
    </xf>
    <xf numFmtId="1" fontId="5" fillId="7" borderId="33" xfId="0" applyNumberFormat="1" applyFont="1" applyFill="1" applyBorder="1" applyAlignment="1" applyProtection="1">
      <alignment horizontal="center" vertical="center" wrapText="1"/>
    </xf>
    <xf numFmtId="14" fontId="5" fillId="0" borderId="48" xfId="0" applyNumberFormat="1" applyFont="1" applyBorder="1" applyAlignment="1" applyProtection="1">
      <alignment horizontal="left" vertical="center" wrapText="1"/>
    </xf>
    <xf numFmtId="0" fontId="7" fillId="12" borderId="14" xfId="0" applyFont="1" applyFill="1" applyBorder="1" applyAlignment="1" applyProtection="1">
      <alignment horizontal="center" vertical="center" wrapText="1"/>
    </xf>
    <xf numFmtId="0" fontId="6" fillId="0" borderId="0" xfId="0" applyFont="1">
      <alignment vertical="center"/>
    </xf>
    <xf numFmtId="10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7" fillId="13" borderId="25" xfId="0" applyFont="1" applyFill="1" applyBorder="1" applyAlignment="1" applyProtection="1">
      <alignment horizontal="center" vertical="center" wrapText="1"/>
    </xf>
    <xf numFmtId="178" fontId="7" fillId="13" borderId="24" xfId="0" applyNumberFormat="1" applyFont="1" applyFill="1" applyBorder="1" applyAlignment="1" applyProtection="1">
      <alignment horizontal="center" vertical="center" wrapText="1"/>
    </xf>
    <xf numFmtId="0" fontId="7" fillId="13" borderId="24" xfId="0" quotePrefix="1" applyFont="1" applyFill="1" applyBorder="1" applyAlignment="1" applyProtection="1">
      <alignment horizontal="center" vertical="center" wrapText="1"/>
    </xf>
    <xf numFmtId="179" fontId="7" fillId="10" borderId="24" xfId="0" applyNumberFormat="1" applyFont="1" applyFill="1" applyBorder="1" applyAlignment="1" applyProtection="1">
      <alignment horizontal="center" vertical="center"/>
    </xf>
    <xf numFmtId="179" fontId="7" fillId="10" borderId="31" xfId="0" quotePrefix="1" applyNumberFormat="1" applyFont="1" applyFill="1" applyBorder="1" applyAlignment="1" applyProtection="1">
      <alignment horizontal="center" vertical="center"/>
    </xf>
    <xf numFmtId="178" fontId="3" fillId="0" borderId="27" xfId="0" applyNumberFormat="1" applyFont="1" applyBorder="1" applyAlignment="1" applyProtection="1">
      <alignment horizontal="center" vertical="center" wrapText="1"/>
    </xf>
    <xf numFmtId="0" fontId="3" fillId="0" borderId="27" xfId="0" applyFont="1" applyBorder="1" applyAlignment="1" applyProtection="1">
      <alignment horizontal="center" vertical="center" wrapText="1"/>
    </xf>
    <xf numFmtId="179" fontId="3" fillId="10" borderId="27" xfId="0" quotePrefix="1" applyNumberFormat="1" applyFont="1" applyFill="1" applyBorder="1" applyAlignment="1" applyProtection="1">
      <alignment horizontal="center" vertical="center"/>
    </xf>
    <xf numFmtId="178" fontId="3" fillId="0" borderId="24" xfId="0" applyNumberFormat="1" applyFont="1" applyBorder="1" applyAlignment="1" applyProtection="1">
      <alignment horizontal="center" vertical="center" wrapText="1"/>
    </xf>
    <xf numFmtId="0" fontId="3" fillId="0" borderId="24" xfId="0" applyFont="1" applyBorder="1" applyAlignment="1" applyProtection="1">
      <alignment horizontal="center" vertical="center" wrapText="1"/>
    </xf>
    <xf numFmtId="179" fontId="3" fillId="10" borderId="24" xfId="0" quotePrefix="1" applyNumberFormat="1" applyFont="1" applyFill="1" applyBorder="1" applyAlignment="1" applyProtection="1">
      <alignment horizontal="center" vertical="center"/>
    </xf>
    <xf numFmtId="179" fontId="3" fillId="10" borderId="30" xfId="0" quotePrefix="1" applyNumberFormat="1" applyFont="1" applyFill="1" applyBorder="1" applyAlignment="1" applyProtection="1">
      <alignment horizontal="center" vertical="center"/>
    </xf>
    <xf numFmtId="179" fontId="3" fillId="10" borderId="37" xfId="0" quotePrefix="1" applyNumberFormat="1" applyFont="1" applyFill="1" applyBorder="1" applyAlignment="1" applyProtection="1">
      <alignment horizontal="center" vertical="center"/>
    </xf>
    <xf numFmtId="179" fontId="3" fillId="10" borderId="31" xfId="0" quotePrefix="1" applyNumberFormat="1" applyFont="1" applyFill="1" applyBorder="1" applyAlignment="1" applyProtection="1">
      <alignment horizontal="center" vertical="center"/>
    </xf>
    <xf numFmtId="0" fontId="7" fillId="13" borderId="24" xfId="0" applyFont="1" applyFill="1" applyBorder="1" applyAlignment="1" applyProtection="1">
      <alignment horizontal="center" vertical="center" wrapText="1"/>
    </xf>
    <xf numFmtId="0" fontId="7" fillId="13" borderId="24" xfId="0" applyFont="1" applyFill="1" applyBorder="1" applyAlignment="1" applyProtection="1">
      <alignment horizontal="center" vertical="center" wrapText="1"/>
    </xf>
    <xf numFmtId="179" fontId="3" fillId="10" borderId="27" xfId="0" applyNumberFormat="1" applyFont="1" applyFill="1" applyBorder="1" applyAlignment="1" applyProtection="1">
      <alignment horizontal="center" vertical="center"/>
    </xf>
    <xf numFmtId="4" fontId="11" fillId="0" borderId="57" xfId="0" applyNumberFormat="1" applyFont="1" applyBorder="1" applyAlignment="1" applyProtection="1">
      <alignment horizontal="center" vertical="center"/>
    </xf>
    <xf numFmtId="0" fontId="11" fillId="0" borderId="38" xfId="0" applyFont="1" applyBorder="1" applyAlignment="1" applyProtection="1">
      <alignment horizontal="center" vertical="center"/>
    </xf>
    <xf numFmtId="10" fontId="11" fillId="0" borderId="38" xfId="0" applyNumberFormat="1" applyFont="1" applyBorder="1" applyAlignment="1" applyProtection="1">
      <alignment horizontal="center" vertical="center"/>
    </xf>
    <xf numFmtId="10" fontId="11" fillId="0" borderId="58" xfId="0" applyNumberFormat="1" applyFont="1" applyBorder="1" applyAlignment="1" applyProtection="1">
      <alignment horizontal="center" vertical="center"/>
    </xf>
    <xf numFmtId="4" fontId="11" fillId="0" borderId="59" xfId="0" applyNumberFormat="1" applyFont="1" applyBorder="1" applyAlignment="1" applyProtection="1">
      <alignment horizontal="center" vertical="center"/>
    </xf>
    <xf numFmtId="4" fontId="11" fillId="0" borderId="22" xfId="0" applyNumberFormat="1" applyFont="1" applyBorder="1" applyAlignment="1" applyProtection="1">
      <alignment horizontal="center" vertical="center"/>
    </xf>
    <xf numFmtId="3" fontId="7" fillId="13" borderId="24" xfId="0" applyNumberFormat="1" applyFont="1" applyFill="1" applyBorder="1" applyAlignment="1" applyProtection="1">
      <alignment horizontal="center" vertical="center" wrapText="1"/>
    </xf>
    <xf numFmtId="0" fontId="5" fillId="7" borderId="28" xfId="0" applyFont="1" applyFill="1" applyBorder="1" applyAlignment="1" applyProtection="1">
      <alignment horizontal="center" vertical="center" wrapText="1"/>
    </xf>
    <xf numFmtId="0" fontId="5" fillId="10" borderId="31" xfId="0" applyFont="1" applyFill="1" applyBorder="1" applyAlignment="1" applyProtection="1">
      <alignment horizontal="center" vertical="center" wrapText="1"/>
    </xf>
    <xf numFmtId="10" fontId="5" fillId="0" borderId="17" xfId="0" applyNumberFormat="1" applyFont="1" applyBorder="1" applyAlignment="1" applyProtection="1">
      <alignment horizontal="center" vertical="center" wrapText="1"/>
    </xf>
    <xf numFmtId="0" fontId="7" fillId="12" borderId="23" xfId="0" applyFont="1" applyFill="1" applyBorder="1" applyAlignment="1" applyProtection="1">
      <alignment horizontal="center" vertical="center" wrapText="1"/>
    </xf>
    <xf numFmtId="0" fontId="7" fillId="13" borderId="24" xfId="0" applyFont="1" applyFill="1" applyBorder="1" applyAlignment="1" applyProtection="1">
      <alignment horizontal="center" vertical="center" wrapText="1"/>
    </xf>
    <xf numFmtId="10" fontId="7" fillId="13" borderId="24" xfId="0" quotePrefix="1" applyNumberFormat="1" applyFont="1" applyFill="1" applyBorder="1" applyAlignment="1" applyProtection="1">
      <alignment horizontal="center" vertical="center" wrapText="1"/>
    </xf>
    <xf numFmtId="10" fontId="7" fillId="13" borderId="24" xfId="0" applyNumberFormat="1" applyFont="1" applyFill="1" applyBorder="1" applyAlignment="1" applyProtection="1">
      <alignment horizontal="center" vertical="center" wrapText="1"/>
    </xf>
    <xf numFmtId="3" fontId="5" fillId="7" borderId="28" xfId="0" applyNumberFormat="1" applyFont="1" applyFill="1" applyBorder="1" applyAlignment="1" applyProtection="1">
      <alignment horizontal="center" vertical="center" wrapText="1"/>
    </xf>
    <xf numFmtId="0" fontId="5" fillId="10" borderId="24" xfId="0" applyFont="1" applyFill="1" applyBorder="1" applyAlignment="1" applyProtection="1">
      <alignment horizontal="center" vertical="center" wrapText="1"/>
    </xf>
    <xf numFmtId="3" fontId="5" fillId="0" borderId="25" xfId="0" applyNumberFormat="1" applyFont="1" applyBorder="1" applyAlignment="1" applyProtection="1">
      <alignment horizontal="center" vertical="center" wrapText="1"/>
    </xf>
    <xf numFmtId="0" fontId="7" fillId="13" borderId="28" xfId="0" applyFont="1" applyFill="1" applyBorder="1" applyAlignment="1" applyProtection="1">
      <alignment horizontal="center" vertical="center" wrapText="1"/>
    </xf>
    <xf numFmtId="14" fontId="5" fillId="7" borderId="28" xfId="0" applyNumberFormat="1" applyFont="1" applyFill="1" applyBorder="1" applyAlignment="1" applyProtection="1">
      <alignment horizontal="left" vertical="center" wrapText="1"/>
    </xf>
    <xf numFmtId="2" fontId="11" fillId="0" borderId="32" xfId="0" applyNumberFormat="1" applyFont="1" applyBorder="1" applyAlignment="1" applyProtection="1">
      <alignment horizontal="center" vertical="center"/>
    </xf>
    <xf numFmtId="0" fontId="4" fillId="2" borderId="9" xfId="0" applyFont="1" applyFill="1" applyBorder="1" applyAlignment="1" applyProtection="1">
      <alignment horizontal="center" vertical="center" wrapText="1"/>
    </xf>
    <xf numFmtId="10" fontId="12" fillId="0" borderId="27" xfId="0" applyNumberFormat="1" applyFont="1" applyBorder="1" applyAlignment="1" applyProtection="1">
      <alignment horizontal="center" vertical="center"/>
    </xf>
    <xf numFmtId="10" fontId="12" fillId="0" borderId="28" xfId="0" applyNumberFormat="1" applyFont="1" applyBorder="1" applyAlignment="1" applyProtection="1">
      <alignment horizontal="center" vertical="center"/>
    </xf>
    <xf numFmtId="3" fontId="5" fillId="7" borderId="28" xfId="0" applyNumberFormat="1" applyFont="1" applyFill="1" applyBorder="1" applyAlignment="1" applyProtection="1">
      <alignment horizontal="center" vertical="center" wrapText="1"/>
    </xf>
    <xf numFmtId="3" fontId="5" fillId="7" borderId="22" xfId="0" applyNumberFormat="1" applyFont="1" applyFill="1" applyBorder="1" applyAlignment="1" applyProtection="1">
      <alignment horizontal="center" vertical="center" wrapText="1"/>
    </xf>
    <xf numFmtId="3" fontId="5" fillId="0" borderId="22" xfId="0" applyNumberFormat="1" applyFont="1" applyBorder="1" applyAlignment="1" applyProtection="1">
      <alignment horizontal="center" vertical="center" wrapText="1"/>
    </xf>
    <xf numFmtId="0" fontId="7" fillId="12" borderId="25" xfId="0" applyFont="1" applyFill="1" applyBorder="1" applyAlignment="1" applyProtection="1">
      <alignment horizontal="left" vertical="center" wrapText="1"/>
    </xf>
    <xf numFmtId="4" fontId="8" fillId="12" borderId="25" xfId="0" applyNumberFormat="1" applyFont="1" applyFill="1" applyBorder="1" applyAlignment="1" applyProtection="1">
      <alignment horizontal="center" vertical="center"/>
    </xf>
    <xf numFmtId="0" fontId="8" fillId="12" borderId="24" xfId="0" applyFont="1" applyFill="1" applyBorder="1" applyAlignment="1" applyProtection="1">
      <alignment horizontal="center" vertical="center"/>
    </xf>
    <xf numFmtId="10" fontId="20" fillId="0" borderId="25" xfId="0" applyNumberFormat="1" applyFont="1" applyBorder="1" applyAlignment="1" applyProtection="1">
      <alignment horizontal="center" vertical="center"/>
    </xf>
    <xf numFmtId="10" fontId="20" fillId="0" borderId="24" xfId="0" applyNumberFormat="1" applyFont="1" applyBorder="1" applyAlignment="1" applyProtection="1">
      <alignment horizontal="center" vertical="center"/>
    </xf>
    <xf numFmtId="0" fontId="12" fillId="0" borderId="27" xfId="0" applyFont="1" applyBorder="1" applyAlignment="1" applyProtection="1">
      <alignment horizontal="center"/>
    </xf>
    <xf numFmtId="0" fontId="12" fillId="0" borderId="24" xfId="0" applyFont="1" applyBorder="1" applyAlignment="1" applyProtection="1">
      <alignment horizontal="center"/>
    </xf>
    <xf numFmtId="14" fontId="5" fillId="0" borderId="23" xfId="0" applyNumberFormat="1" applyFont="1" applyBorder="1" applyAlignment="1" applyProtection="1">
      <alignment horizontal="left" vertical="center" wrapText="1"/>
    </xf>
    <xf numFmtId="4" fontId="8" fillId="12" borderId="24" xfId="0" applyNumberFormat="1" applyFont="1" applyFill="1" applyBorder="1" applyAlignment="1" applyProtection="1">
      <alignment horizontal="center" vertical="center"/>
    </xf>
    <xf numFmtId="14" fontId="5" fillId="11" borderId="25" xfId="0" applyNumberFormat="1" applyFont="1" applyFill="1" applyBorder="1" applyAlignment="1" applyProtection="1">
      <alignment horizontal="left" vertical="center" wrapText="1"/>
    </xf>
    <xf numFmtId="4" fontId="12" fillId="0" borderId="27" xfId="0" applyNumberFormat="1" applyFont="1" applyBorder="1" applyAlignment="1" applyProtection="1">
      <alignment horizontal="center"/>
    </xf>
    <xf numFmtId="14" fontId="5" fillId="11" borderId="48" xfId="0" applyNumberFormat="1" applyFont="1" applyFill="1" applyBorder="1" applyAlignment="1" applyProtection="1">
      <alignment horizontal="left" vertical="center" wrapText="1"/>
    </xf>
    <xf numFmtId="4" fontId="12" fillId="0" borderId="24" xfId="0" applyNumberFormat="1" applyFont="1" applyBorder="1" applyAlignment="1" applyProtection="1">
      <alignment horizontal="center"/>
    </xf>
    <xf numFmtId="14" fontId="5" fillId="11" borderId="28" xfId="0" applyNumberFormat="1" applyFont="1" applyFill="1" applyBorder="1" applyAlignment="1" applyProtection="1">
      <alignment horizontal="left" vertical="center" wrapText="1"/>
    </xf>
    <xf numFmtId="3" fontId="18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/>
    </xf>
    <xf numFmtId="0" fontId="147" fillId="2" borderId="9" xfId="0" applyFont="1" applyFill="1" applyBorder="1" applyAlignment="1" applyProtection="1">
      <alignment horizontal="center" vertical="center" wrapText="1"/>
    </xf>
    <xf numFmtId="0" fontId="148" fillId="2" borderId="9" xfId="0" applyFont="1" applyFill="1" applyBorder="1" applyAlignment="1" applyProtection="1">
      <alignment horizontal="center" vertical="center" wrapText="1"/>
    </xf>
    <xf numFmtId="0" fontId="149" fillId="2" borderId="9" xfId="0" applyFont="1" applyFill="1" applyBorder="1" applyAlignment="1" applyProtection="1">
      <alignment horizontal="center" vertical="center" wrapText="1"/>
    </xf>
    <xf numFmtId="0" fontId="150" fillId="2" borderId="9" xfId="0" applyFont="1" applyFill="1" applyBorder="1" applyAlignment="1" applyProtection="1">
      <alignment horizontal="center" vertical="center" wrapText="1"/>
    </xf>
    <xf numFmtId="0" fontId="151" fillId="2" borderId="9" xfId="0" applyFont="1" applyFill="1" applyBorder="1" applyAlignment="1" applyProtection="1">
      <alignment horizontal="center" vertical="center" wrapText="1"/>
    </xf>
    <xf numFmtId="0" fontId="152" fillId="2" borderId="9" xfId="0" applyFont="1" applyFill="1" applyBorder="1" applyAlignment="1" applyProtection="1">
      <alignment horizontal="center" vertical="center" wrapText="1"/>
    </xf>
    <xf numFmtId="0" fontId="153" fillId="2" borderId="9" xfId="0" applyFont="1" applyFill="1" applyBorder="1" applyAlignment="1" applyProtection="1">
      <alignment horizontal="center" vertical="center" wrapText="1"/>
    </xf>
    <xf numFmtId="0" fontId="154" fillId="2" borderId="9" xfId="0" applyFont="1" applyFill="1" applyBorder="1" applyAlignment="1" applyProtection="1">
      <alignment horizontal="center" vertical="center" wrapText="1"/>
    </xf>
    <xf numFmtId="0" fontId="155" fillId="2" borderId="9" xfId="0" applyFont="1" applyFill="1" applyBorder="1" applyAlignment="1" applyProtection="1">
      <alignment horizontal="center" vertical="center" wrapText="1"/>
    </xf>
    <xf numFmtId="0" fontId="156" fillId="2" borderId="9" xfId="0" applyFont="1" applyFill="1" applyBorder="1" applyAlignment="1" applyProtection="1">
      <alignment horizontal="center" vertical="center" wrapText="1"/>
    </xf>
    <xf numFmtId="0" fontId="157" fillId="2" borderId="9" xfId="0" applyFont="1" applyFill="1" applyBorder="1" applyAlignment="1" applyProtection="1">
      <alignment horizontal="center" vertical="center" wrapText="1"/>
    </xf>
    <xf numFmtId="0" fontId="158" fillId="2" borderId="9" xfId="0" applyFont="1" applyFill="1" applyBorder="1" applyAlignment="1" applyProtection="1">
      <alignment horizontal="center" vertical="center" wrapText="1"/>
    </xf>
    <xf numFmtId="0" fontId="159" fillId="2" borderId="9" xfId="0" applyFont="1" applyFill="1" applyBorder="1" applyAlignment="1" applyProtection="1">
      <alignment horizontal="center" vertical="center" wrapText="1"/>
    </xf>
    <xf numFmtId="0" fontId="160" fillId="2" borderId="9" xfId="0" applyFont="1" applyFill="1" applyBorder="1" applyAlignment="1" applyProtection="1">
      <alignment horizontal="center" vertical="center" wrapText="1"/>
    </xf>
    <xf numFmtId="0" fontId="161" fillId="2" borderId="9" xfId="0" applyFont="1" applyFill="1" applyBorder="1" applyAlignment="1" applyProtection="1">
      <alignment horizontal="center" vertical="center" wrapText="1"/>
    </xf>
    <xf numFmtId="0" fontId="162" fillId="2" borderId="9" xfId="0" applyFont="1" applyFill="1" applyBorder="1" applyAlignment="1" applyProtection="1">
      <alignment horizontal="center" vertical="center" wrapText="1"/>
    </xf>
    <xf numFmtId="0" fontId="163" fillId="2" borderId="9" xfId="0" applyFont="1" applyFill="1" applyBorder="1" applyAlignment="1" applyProtection="1">
      <alignment horizontal="center" vertical="center" wrapText="1"/>
    </xf>
    <xf numFmtId="0" fontId="164" fillId="2" borderId="9" xfId="0" applyFont="1" applyFill="1" applyBorder="1" applyAlignment="1" applyProtection="1">
      <alignment horizontal="center" vertical="center" wrapText="1"/>
    </xf>
    <xf numFmtId="0" fontId="165" fillId="2" borderId="9" xfId="0" applyFont="1" applyFill="1" applyBorder="1" applyAlignment="1" applyProtection="1">
      <alignment horizontal="center" vertical="center" wrapText="1"/>
    </xf>
    <xf numFmtId="0" fontId="166" fillId="2" borderId="9" xfId="0" applyFont="1" applyFill="1" applyBorder="1" applyAlignment="1" applyProtection="1">
      <alignment horizontal="center" vertical="center" wrapText="1"/>
    </xf>
    <xf numFmtId="0" fontId="167" fillId="2" borderId="9" xfId="0" applyFont="1" applyFill="1" applyBorder="1" applyAlignment="1" applyProtection="1">
      <alignment horizontal="center" vertical="center" wrapText="1"/>
    </xf>
    <xf numFmtId="0" fontId="168" fillId="2" borderId="12" xfId="0" applyFont="1" applyFill="1" applyBorder="1" applyAlignment="1" applyProtection="1">
      <alignment horizontal="center" vertical="center" wrapText="1"/>
    </xf>
    <xf numFmtId="0" fontId="169" fillId="2" borderId="9" xfId="0" applyFont="1" applyFill="1" applyBorder="1" applyAlignment="1" applyProtection="1">
      <alignment horizontal="center" vertical="center" wrapText="1"/>
    </xf>
    <xf numFmtId="0" fontId="170" fillId="2" borderId="9" xfId="0" applyFont="1" applyFill="1" applyBorder="1" applyAlignment="1" applyProtection="1">
      <alignment horizontal="center" vertical="center" wrapText="1"/>
    </xf>
    <xf numFmtId="0" fontId="0" fillId="0" borderId="0" xfId="0">
      <alignment vertical="center"/>
    </xf>
    <xf numFmtId="0" fontId="127" fillId="7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130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133" fillId="11" borderId="0" xfId="0" applyFont="1" applyFill="1" applyAlignment="1">
      <alignment horizontal="center" vertical="center" wrapText="1"/>
    </xf>
    <xf numFmtId="0" fontId="2" fillId="11" borderId="0" xfId="0" applyFont="1" applyFill="1">
      <alignment vertical="center"/>
    </xf>
    <xf numFmtId="0" fontId="136" fillId="11" borderId="0" xfId="0" applyFont="1" applyFill="1" applyAlignment="1">
      <alignment horizontal="center" vertical="center" wrapText="1"/>
    </xf>
    <xf numFmtId="0" fontId="139" fillId="7" borderId="0" xfId="0" applyFont="1" applyFill="1" applyAlignment="1">
      <alignment horizontal="center" vertical="center" wrapText="1"/>
    </xf>
    <xf numFmtId="0" fontId="2" fillId="7" borderId="0" xfId="0" applyFont="1" applyFill="1">
      <alignment vertical="center"/>
    </xf>
    <xf numFmtId="0" fontId="142" fillId="11" borderId="0" xfId="0" applyFont="1" applyFill="1" applyAlignment="1">
      <alignment horizontal="center" vertical="center" wrapText="1"/>
    </xf>
    <xf numFmtId="0" fontId="145" fillId="7" borderId="0" xfId="0" applyFont="1" applyFill="1" applyAlignment="1">
      <alignment horizontal="center" vertical="center" wrapText="1"/>
    </xf>
    <xf numFmtId="0" fontId="110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113" fillId="8" borderId="0" xfId="0" applyFont="1" applyFill="1" applyAlignment="1">
      <alignment horizontal="center" vertical="center" wrapText="1"/>
    </xf>
    <xf numFmtId="0" fontId="107" fillId="7" borderId="0" xfId="0" applyFont="1" applyFill="1" applyAlignment="1">
      <alignment horizontal="center" vertical="center" wrapText="1"/>
    </xf>
    <xf numFmtId="0" fontId="119" fillId="7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116" fillId="7" borderId="0" xfId="0" applyFont="1" applyFill="1" applyAlignment="1">
      <alignment horizontal="center" vertical="center" wrapText="1"/>
    </xf>
    <xf numFmtId="0" fontId="122" fillId="7" borderId="0" xfId="0" applyFont="1" applyFill="1" applyAlignment="1">
      <alignment horizontal="center" vertical="center" wrapText="1"/>
    </xf>
    <xf numFmtId="0" fontId="125" fillId="11" borderId="0" xfId="0" applyFont="1" applyFill="1" applyAlignment="1">
      <alignment horizontal="center" vertical="center" wrapText="1"/>
    </xf>
    <xf numFmtId="0" fontId="128" fillId="7" borderId="0" xfId="0" applyFont="1" applyFill="1" applyAlignment="1">
      <alignment horizontal="center" vertical="center" wrapText="1"/>
    </xf>
    <xf numFmtId="0" fontId="131" fillId="8" borderId="0" xfId="0" applyFont="1" applyFill="1" applyAlignment="1">
      <alignment horizontal="center" vertical="center" wrapText="1"/>
    </xf>
    <xf numFmtId="0" fontId="134" fillId="11" borderId="0" xfId="0" applyFont="1" applyFill="1" applyAlignment="1">
      <alignment horizontal="center" vertical="center" wrapText="1"/>
    </xf>
    <xf numFmtId="0" fontId="137" fillId="11" borderId="0" xfId="0" applyFont="1" applyFill="1" applyAlignment="1">
      <alignment horizontal="center" vertical="center" wrapText="1"/>
    </xf>
    <xf numFmtId="0" fontId="140" fillId="7" borderId="0" xfId="0" applyFont="1" applyFill="1" applyAlignment="1">
      <alignment horizontal="center" vertical="center" wrapText="1"/>
    </xf>
    <xf numFmtId="0" fontId="143" fillId="11" borderId="0" xfId="0" applyFont="1" applyFill="1" applyAlignment="1">
      <alignment horizontal="center" vertical="center" wrapText="1"/>
    </xf>
    <xf numFmtId="0" fontId="146" fillId="7" borderId="0" xfId="0" applyFont="1" applyFill="1" applyAlignment="1">
      <alignment horizontal="center" vertical="center" wrapText="1"/>
    </xf>
    <xf numFmtId="0" fontId="89" fillId="8" borderId="0" xfId="0" applyFont="1" applyFill="1" applyAlignment="1">
      <alignment horizontal="center" vertical="center" wrapText="1"/>
    </xf>
    <xf numFmtId="0" fontId="92" fillId="11" borderId="0" xfId="0" applyFont="1" applyFill="1" applyAlignment="1">
      <alignment horizontal="center" vertical="center" wrapText="1"/>
    </xf>
    <xf numFmtId="0" fontId="95" fillId="11" borderId="0" xfId="0" applyFont="1" applyFill="1" applyAlignment="1">
      <alignment horizontal="center" vertical="center" wrapText="1"/>
    </xf>
    <xf numFmtId="0" fontId="98" fillId="7" borderId="0" xfId="0" applyFont="1" applyFill="1" applyAlignment="1">
      <alignment horizontal="center" vertical="center" wrapText="1"/>
    </xf>
    <xf numFmtId="0" fontId="101" fillId="11" borderId="0" xfId="0" applyFont="1" applyFill="1" applyAlignment="1">
      <alignment horizontal="center" vertical="center" wrapText="1"/>
    </xf>
    <xf numFmtId="0" fontId="104" fillId="7" borderId="0" xfId="0" applyFont="1" applyFill="1" applyAlignment="1">
      <alignment horizontal="center" vertical="center" wrapText="1"/>
    </xf>
    <xf numFmtId="0" fontId="112" fillId="8" borderId="0" xfId="0" applyFont="1" applyFill="1" applyAlignment="1">
      <alignment horizontal="center" vertical="center" wrapText="1"/>
    </xf>
    <xf numFmtId="0" fontId="109" fillId="7" borderId="0" xfId="0" applyFont="1" applyFill="1" applyAlignment="1">
      <alignment horizontal="center" vertical="center" wrapText="1"/>
    </xf>
    <xf numFmtId="0" fontId="106" fillId="7" borderId="0" xfId="0" applyFont="1" applyFill="1" applyAlignment="1">
      <alignment horizontal="center" vertical="center" wrapText="1"/>
    </xf>
    <xf numFmtId="0" fontId="65" fillId="7" borderId="0" xfId="0" applyFont="1" applyFill="1" applyAlignment="1">
      <alignment horizontal="center" vertical="center" wrapText="1"/>
    </xf>
    <xf numFmtId="0" fontId="68" fillId="7" borderId="0" xfId="0" applyFont="1" applyFill="1" applyAlignment="1">
      <alignment horizontal="center" vertical="center" wrapText="1"/>
    </xf>
    <xf numFmtId="0" fontId="71" fillId="8" borderId="0" xfId="0" applyFont="1" applyFill="1" applyAlignment="1">
      <alignment horizontal="center" vertical="center" wrapText="1"/>
    </xf>
    <xf numFmtId="0" fontId="77" fillId="7" borderId="0" xfId="0" applyFont="1" applyFill="1" applyAlignment="1">
      <alignment horizontal="center" vertical="center" wrapText="1"/>
    </xf>
    <xf numFmtId="0" fontId="74" fillId="7" borderId="0" xfId="0" applyFont="1" applyFill="1" applyAlignment="1">
      <alignment horizontal="center" vertical="center" wrapText="1"/>
    </xf>
    <xf numFmtId="0" fontId="80" fillId="7" borderId="0" xfId="0" applyFont="1" applyFill="1" applyAlignment="1">
      <alignment horizontal="center" vertical="center" wrapText="1"/>
    </xf>
    <xf numFmtId="0" fontId="83" fillId="11" borderId="0" xfId="0" applyFont="1" applyFill="1" applyAlignment="1">
      <alignment horizontal="center" vertical="center" wrapText="1"/>
    </xf>
    <xf numFmtId="0" fontId="86" fillId="7" borderId="0" xfId="0" applyFont="1" applyFill="1" applyAlignment="1">
      <alignment horizontal="center" vertical="center" wrapText="1"/>
    </xf>
    <xf numFmtId="0" fontId="138" fillId="7" borderId="0" xfId="0" applyFont="1" applyFill="1" applyAlignment="1">
      <alignment horizontal="center" vertical="center" wrapText="1"/>
    </xf>
    <xf numFmtId="0" fontId="141" fillId="11" borderId="0" xfId="0" applyFont="1" applyFill="1" applyAlignment="1">
      <alignment horizontal="center" vertical="center" wrapText="1"/>
    </xf>
    <xf numFmtId="0" fontId="144" fillId="7" borderId="0" xfId="0" applyFont="1" applyFill="1" applyAlignment="1">
      <alignment horizontal="center" vertical="center" wrapText="1"/>
    </xf>
    <xf numFmtId="0" fontId="67" fillId="7" borderId="0" xfId="0" applyFont="1" applyFill="1" applyAlignment="1">
      <alignment horizontal="center" vertical="center" wrapText="1"/>
    </xf>
    <xf numFmtId="0" fontId="70" fillId="8" borderId="0" xfId="0" applyFont="1" applyFill="1" applyAlignment="1">
      <alignment horizontal="center" vertical="center" wrapText="1"/>
    </xf>
    <xf numFmtId="0" fontId="64" fillId="7" borderId="0" xfId="0" applyFont="1" applyFill="1" applyAlignment="1">
      <alignment horizontal="center" vertical="center" wrapText="1"/>
    </xf>
    <xf numFmtId="0" fontId="76" fillId="7" borderId="0" xfId="0" applyFont="1" applyFill="1" applyAlignment="1">
      <alignment horizontal="center" vertical="center" wrapText="1"/>
    </xf>
    <xf numFmtId="0" fontId="73" fillId="7" borderId="0" xfId="0" applyFont="1" applyFill="1" applyAlignment="1">
      <alignment horizontal="center" vertical="center" wrapText="1"/>
    </xf>
    <xf numFmtId="0" fontId="79" fillId="7" borderId="0" xfId="0" applyFont="1" applyFill="1" applyAlignment="1">
      <alignment horizontal="center" vertical="center" wrapText="1"/>
    </xf>
    <xf numFmtId="0" fontId="82" fillId="11" borderId="0" xfId="0" applyFont="1" applyFill="1" applyAlignment="1">
      <alignment horizontal="center" vertical="center" wrapText="1"/>
    </xf>
    <xf numFmtId="0" fontId="85" fillId="7" borderId="0" xfId="0" applyFont="1" applyFill="1" applyAlignment="1">
      <alignment horizontal="center" vertical="center" wrapText="1"/>
    </xf>
    <xf numFmtId="0" fontId="88" fillId="8" borderId="0" xfId="0" applyFont="1" applyFill="1" applyAlignment="1">
      <alignment horizontal="center" vertical="center" wrapText="1"/>
    </xf>
    <xf numFmtId="0" fontId="91" fillId="11" borderId="0" xfId="0" applyFont="1" applyFill="1" applyAlignment="1">
      <alignment horizontal="center" vertical="center" wrapText="1"/>
    </xf>
    <xf numFmtId="0" fontId="94" fillId="11" borderId="0" xfId="0" applyFont="1" applyFill="1" applyAlignment="1">
      <alignment horizontal="center" vertical="center" wrapText="1"/>
    </xf>
    <xf numFmtId="0" fontId="97" fillId="7" borderId="0" xfId="0" applyFont="1" applyFill="1" applyAlignment="1">
      <alignment horizontal="center" vertical="center" wrapText="1"/>
    </xf>
    <xf numFmtId="0" fontId="100" fillId="11" borderId="0" xfId="0" applyFont="1" applyFill="1" applyAlignment="1">
      <alignment horizontal="center" vertical="center" wrapText="1"/>
    </xf>
    <xf numFmtId="0" fontId="103" fillId="7" borderId="0" xfId="0" applyFont="1" applyFill="1" applyAlignment="1">
      <alignment horizontal="center" vertical="center" wrapText="1"/>
    </xf>
    <xf numFmtId="0" fontId="126" fillId="7" borderId="0" xfId="0" applyFont="1" applyFill="1" applyAlignment="1">
      <alignment horizontal="center" vertical="center" wrapText="1"/>
    </xf>
    <xf numFmtId="0" fontId="129" fillId="8" borderId="0" xfId="0" applyFont="1" applyFill="1" applyAlignment="1">
      <alignment horizontal="center" vertical="center" wrapText="1"/>
    </xf>
    <xf numFmtId="0" fontId="132" fillId="11" borderId="0" xfId="0" applyFont="1" applyFill="1" applyAlignment="1">
      <alignment horizontal="center" vertical="center" wrapText="1"/>
    </xf>
    <xf numFmtId="0" fontId="51" fillId="11" borderId="0" xfId="0" applyFont="1" applyFill="1" applyAlignment="1">
      <alignment horizontal="center" vertical="center" wrapText="1"/>
    </xf>
    <xf numFmtId="0" fontId="52" fillId="11" borderId="0" xfId="0" applyFont="1" applyFill="1" applyAlignment="1">
      <alignment horizontal="center" vertical="center" wrapText="1"/>
    </xf>
    <xf numFmtId="0" fontId="53" fillId="11" borderId="0" xfId="0" applyFont="1" applyFill="1" applyAlignment="1">
      <alignment horizontal="center" vertical="center" wrapText="1"/>
    </xf>
    <xf numFmtId="0" fontId="93" fillId="11" borderId="0" xfId="0" applyFont="1" applyFill="1" applyAlignment="1">
      <alignment horizontal="center" vertical="center" wrapText="1"/>
    </xf>
    <xf numFmtId="0" fontId="135" fillId="11" borderId="0" xfId="0" applyFont="1" applyFill="1" applyAlignment="1">
      <alignment horizontal="center" vertical="center" wrapText="1"/>
    </xf>
    <xf numFmtId="0" fontId="54" fillId="7" borderId="0" xfId="0" applyFont="1" applyFill="1" applyAlignment="1">
      <alignment horizontal="center" vertical="center" wrapText="1"/>
    </xf>
    <xf numFmtId="0" fontId="57" fillId="11" borderId="0" xfId="0" applyFont="1" applyFill="1" applyAlignment="1">
      <alignment horizontal="center" vertical="center" wrapText="1"/>
    </xf>
    <xf numFmtId="0" fontId="60" fillId="7" borderId="0" xfId="0" applyFont="1" applyFill="1" applyAlignment="1">
      <alignment horizontal="center" vertical="center" wrapText="1"/>
    </xf>
    <xf numFmtId="0" fontId="55" fillId="7" borderId="0" xfId="0" applyFont="1" applyFill="1" applyAlignment="1">
      <alignment horizontal="center" vertical="center" wrapText="1"/>
    </xf>
    <xf numFmtId="0" fontId="58" fillId="11" borderId="0" xfId="0" applyFont="1" applyFill="1" applyAlignment="1">
      <alignment horizontal="center" vertical="center" wrapText="1"/>
    </xf>
    <xf numFmtId="0" fontId="61" fillId="7" borderId="0" xfId="0" applyFont="1" applyFill="1" applyAlignment="1">
      <alignment horizontal="center" vertical="center" wrapText="1"/>
    </xf>
    <xf numFmtId="0" fontId="56" fillId="7" borderId="0" xfId="0" applyFont="1" applyFill="1" applyAlignment="1">
      <alignment horizontal="center" vertical="center" wrapText="1"/>
    </xf>
    <xf numFmtId="0" fontId="59" fillId="11" borderId="0" xfId="0" applyFont="1" applyFill="1" applyAlignment="1">
      <alignment horizontal="center" vertical="center" wrapText="1"/>
    </xf>
    <xf numFmtId="0" fontId="62" fillId="7" borderId="0" xfId="0" applyFont="1" applyFill="1" applyAlignment="1">
      <alignment horizontal="center" vertical="center" wrapText="1"/>
    </xf>
    <xf numFmtId="0" fontId="96" fillId="7" borderId="0" xfId="0" applyFont="1" applyFill="1" applyAlignment="1">
      <alignment horizontal="center" vertical="center" wrapText="1"/>
    </xf>
    <xf numFmtId="0" fontId="99" fillId="11" borderId="0" xfId="0" applyFont="1" applyFill="1" applyAlignment="1">
      <alignment horizontal="center" vertical="center" wrapText="1"/>
    </xf>
    <xf numFmtId="0" fontId="102" fillId="7" borderId="0" xfId="0" applyFont="1" applyFill="1" applyAlignment="1">
      <alignment horizontal="center" vertical="center" wrapText="1"/>
    </xf>
    <xf numFmtId="0" fontId="118" fillId="7" borderId="0" xfId="0" applyFont="1" applyFill="1" applyAlignment="1">
      <alignment horizontal="center" vertical="center" wrapText="1"/>
    </xf>
    <xf numFmtId="0" fontId="115" fillId="7" borderId="0" xfId="0" applyFont="1" applyFill="1" applyAlignment="1">
      <alignment horizontal="center" vertical="center" wrapText="1"/>
    </xf>
    <xf numFmtId="0" fontId="121" fillId="7" borderId="0" xfId="0" applyFont="1" applyFill="1" applyAlignment="1">
      <alignment horizontal="center" vertical="center" wrapText="1"/>
    </xf>
    <xf numFmtId="0" fontId="124" fillId="11" borderId="0" xfId="0" applyFont="1" applyFill="1" applyAlignment="1">
      <alignment horizontal="center" vertical="center" wrapText="1"/>
    </xf>
    <xf numFmtId="0" fontId="120" fillId="7" borderId="0" xfId="0" applyFont="1" applyFill="1" applyAlignment="1">
      <alignment horizontal="center" vertical="center" wrapText="1"/>
    </xf>
    <xf numFmtId="0" fontId="123" fillId="11" borderId="0" xfId="0" applyFont="1" applyFill="1" applyAlignment="1">
      <alignment horizontal="center" vertical="center" wrapText="1"/>
    </xf>
    <xf numFmtId="0" fontId="42" fillId="7" borderId="0" xfId="0" applyFont="1" applyFill="1" applyAlignment="1">
      <alignment horizontal="center" vertical="center" wrapText="1"/>
    </xf>
    <xf numFmtId="0" fontId="45" fillId="8" borderId="0" xfId="0" applyFont="1" applyFill="1" applyAlignment="1">
      <alignment horizontal="center" vertical="center" wrapText="1"/>
    </xf>
    <xf numFmtId="0" fontId="48" fillId="11" borderId="0" xfId="0" applyFont="1" applyFill="1" applyAlignment="1">
      <alignment horizontal="center" vertical="center" wrapText="1"/>
    </xf>
    <xf numFmtId="0" fontId="43" fillId="7" borderId="0" xfId="0" applyFont="1" applyFill="1" applyAlignment="1">
      <alignment horizontal="center" vertical="center" wrapText="1"/>
    </xf>
    <xf numFmtId="0" fontId="46" fillId="8" borderId="0" xfId="0" applyFont="1" applyFill="1" applyAlignment="1">
      <alignment horizontal="center" vertical="center" wrapText="1"/>
    </xf>
    <xf numFmtId="0" fontId="49" fillId="11" borderId="0" xfId="0" applyFont="1" applyFill="1" applyAlignment="1">
      <alignment horizontal="center" vertical="center" wrapText="1"/>
    </xf>
    <xf numFmtId="0" fontId="44" fillId="7" borderId="0" xfId="0" applyFont="1" applyFill="1" applyAlignment="1">
      <alignment horizontal="center" vertical="center" wrapText="1"/>
    </xf>
    <xf numFmtId="0" fontId="47" fillId="8" borderId="0" xfId="0" applyFont="1" applyFill="1" applyAlignment="1">
      <alignment horizontal="center" vertical="center" wrapText="1"/>
    </xf>
    <xf numFmtId="0" fontId="50" fillId="11" borderId="0" xfId="0" applyFont="1" applyFill="1" applyAlignment="1">
      <alignment horizontal="center" vertical="center" wrapText="1"/>
    </xf>
    <xf numFmtId="0" fontId="84" fillId="7" borderId="0" xfId="0" applyFont="1" applyFill="1" applyAlignment="1">
      <alignment horizontal="center" vertical="center" wrapText="1"/>
    </xf>
    <xf numFmtId="0" fontId="87" fillId="8" borderId="0" xfId="0" applyFont="1" applyFill="1" applyAlignment="1">
      <alignment horizontal="center" vertical="center" wrapText="1"/>
    </xf>
    <xf numFmtId="0" fontId="90" fillId="11" borderId="0" xfId="0" applyFont="1" applyFill="1" applyAlignment="1">
      <alignment horizontal="center" vertical="center" wrapText="1"/>
    </xf>
    <xf numFmtId="0" fontId="117" fillId="7" borderId="0" xfId="0" applyFont="1" applyFill="1" applyAlignment="1">
      <alignment horizontal="center" vertical="center" wrapText="1"/>
    </xf>
    <xf numFmtId="0" fontId="72" fillId="7" borderId="0" xfId="0" applyFont="1" applyFill="1" applyAlignment="1">
      <alignment horizontal="center" vertical="center" wrapText="1"/>
    </xf>
    <xf numFmtId="0" fontId="30" fillId="7" borderId="0" xfId="0" applyFont="1" applyFill="1" applyAlignment="1">
      <alignment horizontal="center" vertical="center" wrapText="1"/>
    </xf>
    <xf numFmtId="0" fontId="31" fillId="7" borderId="0" xfId="0" applyFont="1" applyFill="1" applyAlignment="1">
      <alignment horizontal="center" vertical="center" wrapText="1"/>
    </xf>
    <xf numFmtId="0" fontId="32" fillId="7" borderId="0" xfId="0" applyFont="1" applyFill="1" applyAlignment="1">
      <alignment horizontal="center" vertical="center" wrapText="1"/>
    </xf>
    <xf numFmtId="0" fontId="114" fillId="7" borderId="0" xfId="0" applyFont="1" applyFill="1" applyAlignment="1">
      <alignment horizontal="center" vertical="center" wrapText="1"/>
    </xf>
    <xf numFmtId="0" fontId="36" fillId="7" borderId="0" xfId="0" applyFont="1" applyFill="1" applyAlignment="1">
      <alignment horizontal="center" vertical="center" wrapText="1"/>
    </xf>
    <xf numFmtId="0" fontId="39" fillId="11" borderId="0" xfId="0" applyFont="1" applyFill="1" applyAlignment="1">
      <alignment horizontal="center" vertical="center" wrapText="1"/>
    </xf>
    <xf numFmtId="0" fontId="37" fillId="7" borderId="0" xfId="0" applyFont="1" applyFill="1" applyAlignment="1">
      <alignment horizontal="center" vertical="center" wrapText="1"/>
    </xf>
    <xf numFmtId="0" fontId="40" fillId="11" borderId="0" xfId="0" applyFont="1" applyFill="1" applyAlignment="1">
      <alignment horizontal="center" vertical="center" wrapText="1"/>
    </xf>
    <xf numFmtId="0" fontId="38" fillId="7" borderId="0" xfId="0" applyFont="1" applyFill="1" applyAlignment="1">
      <alignment horizontal="center" vertical="center" wrapText="1"/>
    </xf>
    <xf numFmtId="0" fontId="41" fillId="11" borderId="0" xfId="0" applyFont="1" applyFill="1" applyAlignment="1">
      <alignment horizontal="center" vertical="center" wrapText="1"/>
    </xf>
    <xf numFmtId="0" fontId="78" fillId="7" borderId="0" xfId="0" applyFont="1" applyFill="1" applyAlignment="1">
      <alignment horizontal="center" vertical="center" wrapText="1"/>
    </xf>
    <xf numFmtId="0" fontId="81" fillId="11" borderId="0" xfId="0" applyFont="1" applyFill="1" applyAlignment="1">
      <alignment horizontal="center" vertical="center" wrapText="1"/>
    </xf>
    <xf numFmtId="0" fontId="69" fillId="8" borderId="0" xfId="0" applyFont="1" applyFill="1" applyAlignment="1">
      <alignment horizontal="center" vertical="center" wrapText="1"/>
    </xf>
    <xf numFmtId="0" fontId="66" fillId="7" borderId="0" xfId="0" applyFont="1" applyFill="1" applyAlignment="1">
      <alignment horizontal="center" vertical="center" wrapText="1"/>
    </xf>
    <xf numFmtId="0" fontId="63" fillId="7" borderId="0" xfId="0" applyFont="1" applyFill="1" applyAlignment="1">
      <alignment horizontal="center" vertical="center" wrapText="1"/>
    </xf>
    <xf numFmtId="0" fontId="33" fillId="7" borderId="0" xfId="0" applyFont="1" applyFill="1" applyAlignment="1">
      <alignment horizontal="center" vertical="center" wrapText="1"/>
    </xf>
    <xf numFmtId="0" fontId="34" fillId="7" borderId="0" xfId="0" applyFont="1" applyFill="1" applyAlignment="1">
      <alignment horizontal="center" vertical="center" wrapText="1"/>
    </xf>
    <xf numFmtId="0" fontId="35" fillId="7" borderId="0" xfId="0" applyFont="1" applyFill="1" applyAlignment="1">
      <alignment horizontal="center" vertical="center" wrapText="1"/>
    </xf>
    <xf numFmtId="0" fontId="75" fillId="7" borderId="0" xfId="0" applyFont="1" applyFill="1" applyAlignment="1">
      <alignment horizontal="center" vertical="center" wrapText="1"/>
    </xf>
    <xf numFmtId="0" fontId="111" fillId="8" borderId="0" xfId="0" applyFont="1" applyFill="1" applyAlignment="1">
      <alignment horizontal="center" vertical="center" wrapText="1"/>
    </xf>
    <xf numFmtId="0" fontId="108" fillId="7" borderId="0" xfId="0" applyFont="1" applyFill="1" applyAlignment="1">
      <alignment horizontal="center" vertical="center" wrapText="1"/>
    </xf>
    <xf numFmtId="0" fontId="105" fillId="7" borderId="0" xfId="0" applyFont="1" applyFill="1" applyAlignment="1">
      <alignment horizontal="center" vertical="center" wrapText="1"/>
    </xf>
    <xf numFmtId="0" fontId="25" fillId="7" borderId="0" xfId="0" applyFont="1" applyFill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8" fillId="8" borderId="0" xfId="0" applyFont="1" applyFill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29" fillId="8" borderId="0" xfId="0" applyFont="1" applyFill="1" applyAlignment="1">
      <alignment horizontal="center" vertical="center" wrapText="1"/>
    </xf>
    <xf numFmtId="0" fontId="27" fillId="8" borderId="0" xfId="0" applyFont="1" applyFill="1" applyAlignment="1">
      <alignment horizontal="center" vertical="center" wrapText="1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98D7-59DA-4FC2-A7B1-392E4F7D427C}">
  <sheetPr>
    <tabColor rgb="FF7E7F7F"/>
    <outlinePr summaryBelow="0" summaryRight="0"/>
  </sheetPr>
  <dimension ref="A2:CN259"/>
  <sheetViews>
    <sheetView showGridLines="0" workbookViewId="0"/>
  </sheetViews>
  <sheetFormatPr defaultColWidth="9" defaultRowHeight="13.5" customHeight="1"/>
  <cols>
    <col min="1" max="1" width="11.125" style="41" customWidth="1"/>
    <col min="2" max="2" width="11" style="41" customWidth="1"/>
    <col min="3" max="3" width="11.125" style="41" customWidth="1"/>
    <col min="4" max="4" width="9.375" style="41" customWidth="1"/>
    <col min="5" max="5" width="12.125" style="41" customWidth="1"/>
    <col min="6" max="9" width="9" style="41" customWidth="1"/>
    <col min="10" max="10" width="10.875" style="41" customWidth="1"/>
    <col min="11" max="11" width="9.375" style="41" customWidth="1"/>
    <col min="12" max="13" width="9" style="41" customWidth="1"/>
    <col min="14" max="14" width="11" style="41" customWidth="1"/>
    <col min="15" max="15" width="11" style="41"/>
    <col min="16" max="16" width="10.625" style="41" customWidth="1"/>
    <col min="17" max="17" width="11.125" style="41" customWidth="1"/>
    <col min="18" max="18" width="11" style="41"/>
    <col min="19" max="20" width="11" style="41" customWidth="1"/>
    <col min="21" max="21" width="11" style="41"/>
    <col min="22" max="22" width="11.125" style="41" customWidth="1"/>
    <col min="23" max="23" width="11" style="41" customWidth="1"/>
    <col min="24" max="24" width="11" style="41"/>
    <col min="25" max="25" width="9.375" style="41" customWidth="1"/>
    <col min="26" max="26" width="11.125" style="41" customWidth="1"/>
    <col min="27" max="28" width="11" style="41"/>
    <col min="29" max="29" width="12.625" style="41"/>
    <col min="30" max="30" width="11" style="41"/>
    <col min="31" max="31" width="11.125" style="41" customWidth="1"/>
    <col min="32" max="34" width="11" style="41"/>
    <col min="36" max="36" width="11" style="41"/>
    <col min="38" max="38" width="11.625" style="41" customWidth="1"/>
    <col min="40" max="41" width="11" style="41"/>
    <col min="43" max="43" width="11.625" style="41" customWidth="1"/>
    <col min="44" max="44" width="11" style="41" customWidth="1"/>
    <col min="46" max="46" width="11" style="41"/>
    <col min="47" max="47" width="12.125" style="41" customWidth="1"/>
    <col min="52" max="52" width="10.625" style="41" customWidth="1"/>
    <col min="59" max="59" width="12.125" style="41" customWidth="1"/>
  </cols>
  <sheetData>
    <row r="2" spans="1:62" s="190" customFormat="1" ht="20.25" customHeight="1">
      <c r="A2" s="191"/>
      <c r="B2" s="192" t="s">
        <v>0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"/>
      <c r="W2" s="192" t="s">
        <v>1</v>
      </c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J2" s="191"/>
      <c r="AL2" s="191"/>
      <c r="AN2" s="191"/>
      <c r="AO2" s="191"/>
      <c r="AQ2" s="191"/>
      <c r="AR2" s="192" t="s">
        <v>2</v>
      </c>
      <c r="AT2" s="191"/>
      <c r="AU2" s="191"/>
      <c r="AZ2" s="191"/>
      <c r="BG2" s="191"/>
    </row>
    <row r="3" spans="1:62" ht="27.75" customHeight="1">
      <c r="A3" s="2"/>
      <c r="B3" s="3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  <c r="O3" s="10" t="s">
        <v>16</v>
      </c>
      <c r="P3" s="11" t="s">
        <v>17</v>
      </c>
      <c r="Q3" s="11" t="s">
        <v>18</v>
      </c>
      <c r="R3" s="11" t="s">
        <v>19</v>
      </c>
      <c r="S3" s="12" t="s">
        <v>20</v>
      </c>
      <c r="T3" s="12" t="s">
        <v>21</v>
      </c>
      <c r="V3" s="2"/>
      <c r="W3" s="13" t="s">
        <v>3</v>
      </c>
      <c r="X3" s="14" t="s">
        <v>4</v>
      </c>
      <c r="Y3" s="15" t="s">
        <v>5</v>
      </c>
      <c r="Z3" s="15" t="s">
        <v>6</v>
      </c>
      <c r="AA3" s="15" t="s">
        <v>7</v>
      </c>
      <c r="AB3" s="15" t="s">
        <v>8</v>
      </c>
      <c r="AC3" s="16" t="s">
        <v>9</v>
      </c>
      <c r="AD3" s="17" t="s">
        <v>10</v>
      </c>
      <c r="AE3" s="18" t="s">
        <v>11</v>
      </c>
      <c r="AF3" s="18" t="s">
        <v>12</v>
      </c>
      <c r="AG3" s="18" t="s">
        <v>13</v>
      </c>
      <c r="AH3" s="18" t="s">
        <v>14</v>
      </c>
      <c r="AI3" s="19" t="s">
        <v>15</v>
      </c>
      <c r="AJ3" s="20" t="s">
        <v>16</v>
      </c>
      <c r="AK3" s="21" t="s">
        <v>17</v>
      </c>
      <c r="AL3" s="21" t="s">
        <v>18</v>
      </c>
      <c r="AM3" s="21" t="s">
        <v>19</v>
      </c>
      <c r="AN3" s="22" t="s">
        <v>20</v>
      </c>
      <c r="AO3" s="22" t="s">
        <v>21</v>
      </c>
      <c r="AQ3" s="2"/>
      <c r="AR3" s="13" t="s">
        <v>3</v>
      </c>
      <c r="AS3" s="14" t="s">
        <v>4</v>
      </c>
      <c r="AT3" s="15" t="s">
        <v>5</v>
      </c>
      <c r="AU3" s="15" t="s">
        <v>6</v>
      </c>
      <c r="AV3" s="15" t="s">
        <v>7</v>
      </c>
      <c r="AW3" s="15" t="s">
        <v>8</v>
      </c>
      <c r="AX3" s="16" t="s">
        <v>9</v>
      </c>
      <c r="AY3" s="17" t="s">
        <v>10</v>
      </c>
      <c r="AZ3" s="18" t="s">
        <v>11</v>
      </c>
      <c r="BA3" s="18" t="s">
        <v>12</v>
      </c>
      <c r="BB3" s="18" t="s">
        <v>13</v>
      </c>
      <c r="BC3" s="18" t="s">
        <v>14</v>
      </c>
      <c r="BD3" s="19" t="s">
        <v>15</v>
      </c>
      <c r="BE3" s="20" t="s">
        <v>16</v>
      </c>
      <c r="BF3" s="21" t="s">
        <v>17</v>
      </c>
      <c r="BG3" s="21" t="s">
        <v>18</v>
      </c>
      <c r="BH3" s="21" t="s">
        <v>19</v>
      </c>
      <c r="BI3" s="22" t="s">
        <v>20</v>
      </c>
      <c r="BJ3" s="22" t="s">
        <v>21</v>
      </c>
    </row>
    <row r="4" spans="1:62" ht="14.25" hidden="1" customHeight="1">
      <c r="A4" s="2"/>
      <c r="B4" s="23">
        <v>46021</v>
      </c>
      <c r="C4" s="177">
        <f t="shared" ref="C4:C35" si="0">AS4+X4</f>
        <v>11008</v>
      </c>
      <c r="D4" s="178">
        <f t="shared" ref="D4:D35" si="1">AT4+Y4</f>
        <v>1178</v>
      </c>
      <c r="E4" s="178">
        <f t="shared" ref="E4:E35" si="2">AU4+Z4</f>
        <v>252196</v>
      </c>
      <c r="F4" s="26">
        <f t="shared" ref="F4:F35" si="3">D4/C4</f>
        <v>0.10701308139534883</v>
      </c>
      <c r="G4" s="27">
        <f t="shared" ref="G4:G35" si="4">E4/C4</f>
        <v>22.910247093023255</v>
      </c>
      <c r="H4" s="28">
        <f t="shared" ref="H4:H35" si="5">E4/D4</f>
        <v>214.08828522920203</v>
      </c>
      <c r="I4" s="177">
        <f t="shared" ref="I4:I35" si="6">AY4+AD4</f>
        <v>1961</v>
      </c>
      <c r="J4" s="178">
        <f t="shared" ref="J4:J35" si="7">AZ4+AE4</f>
        <v>66</v>
      </c>
      <c r="K4" s="178">
        <f t="shared" ref="K4:K35" si="8">BA4+AF4</f>
        <v>506</v>
      </c>
      <c r="L4" s="26">
        <f t="shared" ref="L4:L35" si="9">J4/I4</f>
        <v>3.3656297807241206E-2</v>
      </c>
      <c r="M4" s="27">
        <f t="shared" ref="M4:M35" si="10">K4/I4</f>
        <v>0.25803161652218254</v>
      </c>
      <c r="N4" s="28">
        <f t="shared" ref="N4:N35" si="11">K4/J4</f>
        <v>7.666666666666667</v>
      </c>
      <c r="O4" s="177">
        <f t="shared" ref="O4:O35" si="12">BE4+AJ4</f>
        <v>9047</v>
      </c>
      <c r="P4" s="178">
        <f t="shared" ref="P4:P35" si="13">BF4+AK4</f>
        <v>1112</v>
      </c>
      <c r="Q4" s="178">
        <f t="shared" ref="Q4:Q35" si="14">BG4+AL4</f>
        <v>251690</v>
      </c>
      <c r="R4" s="26">
        <f t="shared" ref="R4:R35" si="15">P4/O4</f>
        <v>0.122913673040787</v>
      </c>
      <c r="S4" s="27">
        <f t="shared" ref="S4:S35" si="16">Q4/O4</f>
        <v>27.82027191334144</v>
      </c>
      <c r="T4" s="28">
        <f t="shared" ref="T4:T35" si="17">Q4/P4</f>
        <v>226.33992805755395</v>
      </c>
      <c r="V4" s="2"/>
      <c r="W4" s="29">
        <v>46021</v>
      </c>
      <c r="X4" s="30">
        <v>10807</v>
      </c>
      <c r="Y4" s="30">
        <v>1170</v>
      </c>
      <c r="Z4" s="30">
        <v>252156</v>
      </c>
      <c r="AA4" s="31">
        <v>0.10829999999999999</v>
      </c>
      <c r="AB4" s="32">
        <v>23.33</v>
      </c>
      <c r="AC4" s="33">
        <v>215.52</v>
      </c>
      <c r="AD4" s="34">
        <v>1766</v>
      </c>
      <c r="AE4" s="30">
        <v>58</v>
      </c>
      <c r="AF4" s="30">
        <v>466</v>
      </c>
      <c r="AG4" s="31">
        <v>3.2800000000000003E-2</v>
      </c>
      <c r="AH4" s="32">
        <v>0.26</v>
      </c>
      <c r="AI4" s="33">
        <v>8.0299999999999994</v>
      </c>
      <c r="AJ4" s="34">
        <v>9041</v>
      </c>
      <c r="AK4" s="30">
        <v>1112</v>
      </c>
      <c r="AL4" s="30">
        <v>251690</v>
      </c>
      <c r="AM4" s="31">
        <v>0.123</v>
      </c>
      <c r="AN4" s="32">
        <v>27.84</v>
      </c>
      <c r="AO4" s="33">
        <v>226.34</v>
      </c>
      <c r="AQ4" s="2"/>
      <c r="AR4" s="29">
        <v>46021</v>
      </c>
      <c r="AS4" s="30">
        <v>201</v>
      </c>
      <c r="AT4" s="30">
        <v>8</v>
      </c>
      <c r="AU4" s="30">
        <v>40</v>
      </c>
      <c r="AV4" s="31">
        <v>3.9800000000000002E-2</v>
      </c>
      <c r="AW4" s="32">
        <v>0.2</v>
      </c>
      <c r="AX4" s="33">
        <v>5</v>
      </c>
      <c r="AY4" s="34">
        <v>195</v>
      </c>
      <c r="AZ4" s="30">
        <v>8</v>
      </c>
      <c r="BA4" s="30">
        <v>40</v>
      </c>
      <c r="BB4" s="31">
        <v>4.1000000000000002E-2</v>
      </c>
      <c r="BC4" s="32">
        <v>0.21</v>
      </c>
      <c r="BD4" s="33">
        <v>5</v>
      </c>
      <c r="BE4" s="34">
        <v>6</v>
      </c>
      <c r="BF4" s="30">
        <v>0</v>
      </c>
      <c r="BG4" s="30">
        <v>0</v>
      </c>
      <c r="BH4" s="31">
        <v>0</v>
      </c>
      <c r="BI4" s="32">
        <v>0</v>
      </c>
      <c r="BJ4" s="33" t="s">
        <v>22</v>
      </c>
    </row>
    <row r="5" spans="1:62" ht="14.25" hidden="1" customHeight="1">
      <c r="A5" s="2"/>
      <c r="B5" s="35">
        <v>46022</v>
      </c>
      <c r="C5" s="179">
        <f t="shared" si="0"/>
        <v>11298</v>
      </c>
      <c r="D5" s="180">
        <f t="shared" si="1"/>
        <v>1058</v>
      </c>
      <c r="E5" s="180">
        <f t="shared" si="2"/>
        <v>164510</v>
      </c>
      <c r="F5" s="38">
        <f t="shared" si="3"/>
        <v>9.3644892901398477E-2</v>
      </c>
      <c r="G5" s="39">
        <f t="shared" si="4"/>
        <v>14.560984244999116</v>
      </c>
      <c r="H5" s="40">
        <f t="shared" si="5"/>
        <v>155.49149338374292</v>
      </c>
      <c r="I5" s="179">
        <f t="shared" si="6"/>
        <v>2082</v>
      </c>
      <c r="J5" s="180">
        <f t="shared" si="7"/>
        <v>68</v>
      </c>
      <c r="K5" s="180">
        <f t="shared" si="8"/>
        <v>892</v>
      </c>
      <c r="L5" s="38">
        <f t="shared" si="9"/>
        <v>3.2660902977905859E-2</v>
      </c>
      <c r="M5" s="39">
        <f t="shared" si="10"/>
        <v>0.42843419788664744</v>
      </c>
      <c r="N5" s="40">
        <f t="shared" si="11"/>
        <v>13.117647058823529</v>
      </c>
      <c r="O5" s="179">
        <f t="shared" si="12"/>
        <v>9216</v>
      </c>
      <c r="P5" s="180">
        <f t="shared" si="13"/>
        <v>990</v>
      </c>
      <c r="Q5" s="180">
        <f t="shared" si="14"/>
        <v>163618</v>
      </c>
      <c r="R5" s="38">
        <f t="shared" si="15"/>
        <v>0.107421875</v>
      </c>
      <c r="S5" s="39">
        <f t="shared" si="16"/>
        <v>17.753689236111111</v>
      </c>
      <c r="T5" s="40">
        <f t="shared" si="17"/>
        <v>165.27070707070706</v>
      </c>
      <c r="V5" s="2"/>
      <c r="W5" s="35">
        <v>46022</v>
      </c>
      <c r="X5" s="37">
        <v>10857</v>
      </c>
      <c r="Y5" s="37">
        <v>1033</v>
      </c>
      <c r="Z5" s="37">
        <v>164276</v>
      </c>
      <c r="AA5" s="38">
        <v>9.5100000000000004E-2</v>
      </c>
      <c r="AB5" s="39">
        <v>15.13</v>
      </c>
      <c r="AC5" s="40">
        <v>159.03</v>
      </c>
      <c r="AD5" s="36">
        <v>1650</v>
      </c>
      <c r="AE5" s="37">
        <v>44</v>
      </c>
      <c r="AF5" s="37">
        <v>665</v>
      </c>
      <c r="AG5" s="38">
        <v>2.6700000000000002E-2</v>
      </c>
      <c r="AH5" s="39">
        <v>0.4</v>
      </c>
      <c r="AI5" s="40">
        <v>15.11</v>
      </c>
      <c r="AJ5" s="36">
        <v>9207</v>
      </c>
      <c r="AK5" s="37">
        <v>989</v>
      </c>
      <c r="AL5" s="37">
        <v>163611</v>
      </c>
      <c r="AM5" s="38">
        <v>0.1074</v>
      </c>
      <c r="AN5" s="39">
        <v>17.77</v>
      </c>
      <c r="AO5" s="40">
        <v>165.43</v>
      </c>
      <c r="AQ5" s="2"/>
      <c r="AR5" s="35">
        <v>46022</v>
      </c>
      <c r="AS5" s="37">
        <v>441</v>
      </c>
      <c r="AT5" s="37">
        <v>25</v>
      </c>
      <c r="AU5" s="37">
        <v>234</v>
      </c>
      <c r="AV5" s="38">
        <v>5.67E-2</v>
      </c>
      <c r="AW5" s="39">
        <v>0.53</v>
      </c>
      <c r="AX5" s="40">
        <v>9.36</v>
      </c>
      <c r="AY5" s="36">
        <v>432</v>
      </c>
      <c r="AZ5" s="37">
        <v>24</v>
      </c>
      <c r="BA5" s="37">
        <v>227</v>
      </c>
      <c r="BB5" s="38">
        <v>5.5599999999999997E-2</v>
      </c>
      <c r="BC5" s="39">
        <v>0.53</v>
      </c>
      <c r="BD5" s="40">
        <v>9.4600000000000009</v>
      </c>
      <c r="BE5" s="36">
        <v>9</v>
      </c>
      <c r="BF5" s="37">
        <v>1</v>
      </c>
      <c r="BG5" s="37">
        <v>7</v>
      </c>
      <c r="BH5" s="38">
        <v>0.1111</v>
      </c>
      <c r="BI5" s="39">
        <v>0.78</v>
      </c>
      <c r="BJ5" s="40">
        <v>7</v>
      </c>
    </row>
    <row r="6" spans="1:62" ht="14.25" hidden="1" customHeight="1">
      <c r="B6" s="29">
        <v>46023</v>
      </c>
      <c r="C6" s="181">
        <f t="shared" si="0"/>
        <v>12157</v>
      </c>
      <c r="D6" s="182">
        <f t="shared" si="1"/>
        <v>1363</v>
      </c>
      <c r="E6" s="182">
        <f t="shared" si="2"/>
        <v>258860</v>
      </c>
      <c r="F6" s="31">
        <f t="shared" si="3"/>
        <v>0.11211647610430205</v>
      </c>
      <c r="G6" s="32">
        <f t="shared" si="4"/>
        <v>21.29308217487867</v>
      </c>
      <c r="H6" s="33">
        <f t="shared" si="5"/>
        <v>189.91929567131328</v>
      </c>
      <c r="I6" s="181">
        <f t="shared" si="6"/>
        <v>2355</v>
      </c>
      <c r="J6" s="182">
        <f t="shared" si="7"/>
        <v>67</v>
      </c>
      <c r="K6" s="182">
        <f t="shared" si="8"/>
        <v>280</v>
      </c>
      <c r="L6" s="31">
        <f t="shared" si="9"/>
        <v>2.8450106157112527E-2</v>
      </c>
      <c r="M6" s="32">
        <f t="shared" si="10"/>
        <v>0.11889596602972399</v>
      </c>
      <c r="N6" s="33">
        <f t="shared" si="11"/>
        <v>4.1791044776119399</v>
      </c>
      <c r="O6" s="181">
        <f t="shared" si="12"/>
        <v>9802</v>
      </c>
      <c r="P6" s="182">
        <f t="shared" si="13"/>
        <v>1296</v>
      </c>
      <c r="Q6" s="182">
        <f t="shared" si="14"/>
        <v>258580</v>
      </c>
      <c r="R6" s="31">
        <f t="shared" si="15"/>
        <v>0.13221791471128341</v>
      </c>
      <c r="S6" s="32">
        <f t="shared" si="16"/>
        <v>26.38033054478678</v>
      </c>
      <c r="T6" s="33">
        <f t="shared" si="17"/>
        <v>199.52160493827159</v>
      </c>
      <c r="W6" s="29">
        <v>46023</v>
      </c>
      <c r="X6" s="30">
        <v>11604</v>
      </c>
      <c r="Y6" s="30">
        <v>1332</v>
      </c>
      <c r="Z6" s="30">
        <v>258307</v>
      </c>
      <c r="AA6" s="31">
        <v>0.1148</v>
      </c>
      <c r="AB6" s="32">
        <v>22.26</v>
      </c>
      <c r="AC6" s="33">
        <v>193.92</v>
      </c>
      <c r="AD6" s="34">
        <v>1842</v>
      </c>
      <c r="AE6" s="30">
        <v>43</v>
      </c>
      <c r="AF6" s="30">
        <v>146</v>
      </c>
      <c r="AG6" s="31">
        <v>2.3300000000000001E-2</v>
      </c>
      <c r="AH6" s="32">
        <v>0.08</v>
      </c>
      <c r="AI6" s="33">
        <v>3.4</v>
      </c>
      <c r="AJ6" s="34">
        <v>9762</v>
      </c>
      <c r="AK6" s="30">
        <v>1289</v>
      </c>
      <c r="AL6" s="30">
        <v>258161</v>
      </c>
      <c r="AM6" s="31">
        <v>0.13200000000000001</v>
      </c>
      <c r="AN6" s="32">
        <v>26.45</v>
      </c>
      <c r="AO6" s="33">
        <v>200.28</v>
      </c>
      <c r="AR6" s="29">
        <v>46023</v>
      </c>
      <c r="AS6" s="30">
        <v>553</v>
      </c>
      <c r="AT6" s="30">
        <v>31</v>
      </c>
      <c r="AU6" s="30">
        <v>553</v>
      </c>
      <c r="AV6" s="31">
        <v>5.6099999999999997E-2</v>
      </c>
      <c r="AW6" s="32">
        <v>1</v>
      </c>
      <c r="AX6" s="33">
        <v>17.84</v>
      </c>
      <c r="AY6" s="34">
        <v>513</v>
      </c>
      <c r="AZ6" s="30">
        <v>24</v>
      </c>
      <c r="BA6" s="30">
        <v>134</v>
      </c>
      <c r="BB6" s="31">
        <v>4.6800000000000001E-2</v>
      </c>
      <c r="BC6" s="32">
        <v>0.26</v>
      </c>
      <c r="BD6" s="33">
        <v>5.58</v>
      </c>
      <c r="BE6" s="34">
        <v>40</v>
      </c>
      <c r="BF6" s="30">
        <v>7</v>
      </c>
      <c r="BG6" s="30">
        <v>419</v>
      </c>
      <c r="BH6" s="31">
        <v>0.17499999999999999</v>
      </c>
      <c r="BI6" s="32">
        <v>10.48</v>
      </c>
      <c r="BJ6" s="33">
        <v>59.86</v>
      </c>
    </row>
    <row r="7" spans="1:62" ht="14.25" hidden="1" customHeight="1">
      <c r="B7" s="23">
        <v>46024</v>
      </c>
      <c r="C7" s="177">
        <f t="shared" si="0"/>
        <v>11457</v>
      </c>
      <c r="D7" s="178">
        <f t="shared" si="1"/>
        <v>668</v>
      </c>
      <c r="E7" s="178">
        <f t="shared" si="2"/>
        <v>84408</v>
      </c>
      <c r="F7" s="26">
        <f t="shared" si="3"/>
        <v>5.830496639608973E-2</v>
      </c>
      <c r="G7" s="27">
        <f t="shared" si="4"/>
        <v>7.3673736580256612</v>
      </c>
      <c r="H7" s="28">
        <f t="shared" si="5"/>
        <v>126.35928143712574</v>
      </c>
      <c r="I7" s="177">
        <f t="shared" si="6"/>
        <v>2245</v>
      </c>
      <c r="J7" s="178">
        <f t="shared" si="7"/>
        <v>50</v>
      </c>
      <c r="K7" s="178">
        <f t="shared" si="8"/>
        <v>926</v>
      </c>
      <c r="L7" s="26">
        <f t="shared" si="9"/>
        <v>2.2271714922048998E-2</v>
      </c>
      <c r="M7" s="27">
        <f t="shared" si="10"/>
        <v>0.41247216035634743</v>
      </c>
      <c r="N7" s="28">
        <f t="shared" si="11"/>
        <v>18.52</v>
      </c>
      <c r="O7" s="177">
        <f t="shared" si="12"/>
        <v>9212</v>
      </c>
      <c r="P7" s="178">
        <f t="shared" si="13"/>
        <v>618</v>
      </c>
      <c r="Q7" s="178">
        <f t="shared" si="14"/>
        <v>83482</v>
      </c>
      <c r="R7" s="26">
        <f t="shared" si="15"/>
        <v>6.7086409031697783E-2</v>
      </c>
      <c r="S7" s="27">
        <f t="shared" si="16"/>
        <v>9.0623100303951372</v>
      </c>
      <c r="T7" s="28">
        <f t="shared" si="17"/>
        <v>135.08414239482201</v>
      </c>
      <c r="W7" s="23">
        <v>46024</v>
      </c>
      <c r="X7" s="25">
        <v>10788</v>
      </c>
      <c r="Y7" s="25">
        <v>649</v>
      </c>
      <c r="Z7" s="25">
        <v>84276</v>
      </c>
      <c r="AA7" s="26">
        <v>6.0199999999999997E-2</v>
      </c>
      <c r="AB7" s="27">
        <v>7.81</v>
      </c>
      <c r="AC7" s="28">
        <v>129.86000000000001</v>
      </c>
      <c r="AD7" s="24">
        <v>1636</v>
      </c>
      <c r="AE7" s="25">
        <v>36</v>
      </c>
      <c r="AF7" s="25">
        <v>850</v>
      </c>
      <c r="AG7" s="26">
        <v>2.1999999999999999E-2</v>
      </c>
      <c r="AH7" s="27">
        <v>0.52</v>
      </c>
      <c r="AI7" s="28">
        <v>23.61</v>
      </c>
      <c r="AJ7" s="24">
        <v>9152</v>
      </c>
      <c r="AK7" s="25">
        <v>613</v>
      </c>
      <c r="AL7" s="25">
        <v>83426</v>
      </c>
      <c r="AM7" s="26">
        <v>6.7000000000000004E-2</v>
      </c>
      <c r="AN7" s="27">
        <v>9.1199999999999992</v>
      </c>
      <c r="AO7" s="28">
        <v>136.09</v>
      </c>
      <c r="AR7" s="23">
        <v>46024</v>
      </c>
      <c r="AS7" s="25">
        <v>669</v>
      </c>
      <c r="AT7" s="25">
        <v>19</v>
      </c>
      <c r="AU7" s="25">
        <v>132</v>
      </c>
      <c r="AV7" s="26">
        <v>2.8400000000000002E-2</v>
      </c>
      <c r="AW7" s="27">
        <v>0.2</v>
      </c>
      <c r="AX7" s="28">
        <v>6.95</v>
      </c>
      <c r="AY7" s="24">
        <v>609</v>
      </c>
      <c r="AZ7" s="25">
        <v>14</v>
      </c>
      <c r="BA7" s="25">
        <v>76</v>
      </c>
      <c r="BB7" s="26">
        <v>2.3E-2</v>
      </c>
      <c r="BC7" s="27">
        <v>0.12</v>
      </c>
      <c r="BD7" s="28">
        <v>5.43</v>
      </c>
      <c r="BE7" s="24">
        <v>60</v>
      </c>
      <c r="BF7" s="25">
        <v>5</v>
      </c>
      <c r="BG7" s="25">
        <v>56</v>
      </c>
      <c r="BH7" s="26">
        <v>8.3299999999999999E-2</v>
      </c>
      <c r="BI7" s="27">
        <v>0.93</v>
      </c>
      <c r="BJ7" s="28">
        <v>11.2</v>
      </c>
    </row>
    <row r="8" spans="1:62" ht="14.25" hidden="1" customHeight="1">
      <c r="B8" s="23">
        <v>46025</v>
      </c>
      <c r="C8" s="151">
        <f t="shared" si="0"/>
        <v>11229</v>
      </c>
      <c r="D8" s="178">
        <f t="shared" si="1"/>
        <v>697</v>
      </c>
      <c r="E8" s="178">
        <f t="shared" si="2"/>
        <v>98356</v>
      </c>
      <c r="F8" s="26">
        <f t="shared" si="3"/>
        <v>6.2071422210348205E-2</v>
      </c>
      <c r="G8" s="27">
        <f t="shared" si="4"/>
        <v>8.7591058865437699</v>
      </c>
      <c r="H8" s="28">
        <f t="shared" si="5"/>
        <v>141.11334289813487</v>
      </c>
      <c r="I8" s="177">
        <f t="shared" si="6"/>
        <v>2266</v>
      </c>
      <c r="J8" s="178">
        <f t="shared" si="7"/>
        <v>62</v>
      </c>
      <c r="K8" s="178">
        <f t="shared" si="8"/>
        <v>437</v>
      </c>
      <c r="L8" s="26">
        <f t="shared" si="9"/>
        <v>2.7360988526037071E-2</v>
      </c>
      <c r="M8" s="27">
        <f t="shared" si="10"/>
        <v>0.19285083848190646</v>
      </c>
      <c r="N8" s="28">
        <f t="shared" si="11"/>
        <v>7.0483870967741939</v>
      </c>
      <c r="O8" s="177">
        <f t="shared" si="12"/>
        <v>8963</v>
      </c>
      <c r="P8" s="178">
        <f t="shared" si="13"/>
        <v>635</v>
      </c>
      <c r="Q8" s="178">
        <f t="shared" si="14"/>
        <v>97919</v>
      </c>
      <c r="R8" s="26">
        <f t="shared" si="15"/>
        <v>7.0846814682583956E-2</v>
      </c>
      <c r="S8" s="27">
        <f t="shared" si="16"/>
        <v>10.92480196362825</v>
      </c>
      <c r="T8" s="28">
        <f t="shared" si="17"/>
        <v>154.20314960629921</v>
      </c>
      <c r="W8" s="23">
        <v>46025</v>
      </c>
      <c r="X8" s="43">
        <v>10206</v>
      </c>
      <c r="Y8" s="25">
        <v>660</v>
      </c>
      <c r="Z8" s="25">
        <v>97927</v>
      </c>
      <c r="AA8" s="26">
        <v>6.4699999999999994E-2</v>
      </c>
      <c r="AB8" s="27">
        <v>9.6</v>
      </c>
      <c r="AC8" s="28">
        <v>148.37</v>
      </c>
      <c r="AD8" s="24">
        <v>1327</v>
      </c>
      <c r="AE8" s="25">
        <v>33</v>
      </c>
      <c r="AF8" s="25">
        <v>125</v>
      </c>
      <c r="AG8" s="26">
        <v>2.4899999999999999E-2</v>
      </c>
      <c r="AH8" s="27">
        <v>0.09</v>
      </c>
      <c r="AI8" s="28">
        <v>3.79</v>
      </c>
      <c r="AJ8" s="24">
        <v>8879</v>
      </c>
      <c r="AK8" s="25">
        <v>627</v>
      </c>
      <c r="AL8" s="25">
        <v>97802</v>
      </c>
      <c r="AM8" s="26">
        <v>7.0599999999999996E-2</v>
      </c>
      <c r="AN8" s="27">
        <v>11.02</v>
      </c>
      <c r="AO8" s="28">
        <v>155.97999999999999</v>
      </c>
      <c r="AR8" s="23">
        <v>46025</v>
      </c>
      <c r="AS8" s="43">
        <v>1023</v>
      </c>
      <c r="AT8" s="25">
        <v>37</v>
      </c>
      <c r="AU8" s="25">
        <v>429</v>
      </c>
      <c r="AV8" s="26">
        <v>3.6200000000000003E-2</v>
      </c>
      <c r="AW8" s="27">
        <v>0.42</v>
      </c>
      <c r="AX8" s="28">
        <v>11.59</v>
      </c>
      <c r="AY8" s="24">
        <v>939</v>
      </c>
      <c r="AZ8" s="25">
        <v>29</v>
      </c>
      <c r="BA8" s="25">
        <v>312</v>
      </c>
      <c r="BB8" s="26">
        <v>3.09E-2</v>
      </c>
      <c r="BC8" s="27">
        <v>0.33</v>
      </c>
      <c r="BD8" s="28">
        <v>10.76</v>
      </c>
      <c r="BE8" s="24">
        <v>84</v>
      </c>
      <c r="BF8" s="25">
        <v>8</v>
      </c>
      <c r="BG8" s="25">
        <v>117</v>
      </c>
      <c r="BH8" s="26">
        <v>9.5200000000000007E-2</v>
      </c>
      <c r="BI8" s="27">
        <v>1.39</v>
      </c>
      <c r="BJ8" s="28">
        <v>14.63</v>
      </c>
    </row>
    <row r="9" spans="1:62" ht="14.25" hidden="1" customHeight="1">
      <c r="B9" s="23">
        <v>46026</v>
      </c>
      <c r="C9" s="177">
        <f t="shared" si="0"/>
        <v>10741</v>
      </c>
      <c r="D9" s="178">
        <f t="shared" si="1"/>
        <v>805</v>
      </c>
      <c r="E9" s="178">
        <f t="shared" si="2"/>
        <v>60822</v>
      </c>
      <c r="F9" s="26">
        <f t="shared" si="3"/>
        <v>7.4946466809421838E-2</v>
      </c>
      <c r="G9" s="27">
        <f t="shared" si="4"/>
        <v>5.6626012475560934</v>
      </c>
      <c r="H9" s="28">
        <f t="shared" si="5"/>
        <v>75.555279503105595</v>
      </c>
      <c r="I9" s="177">
        <f t="shared" si="6"/>
        <v>1957</v>
      </c>
      <c r="J9" s="178">
        <f t="shared" si="7"/>
        <v>64</v>
      </c>
      <c r="K9" s="178">
        <f t="shared" si="8"/>
        <v>1122</v>
      </c>
      <c r="L9" s="26">
        <f t="shared" si="9"/>
        <v>3.2703117015840576E-2</v>
      </c>
      <c r="M9" s="27">
        <f t="shared" si="10"/>
        <v>0.57332652018395502</v>
      </c>
      <c r="N9" s="28">
        <f t="shared" si="11"/>
        <v>17.53125</v>
      </c>
      <c r="O9" s="177">
        <f t="shared" si="12"/>
        <v>8784</v>
      </c>
      <c r="P9" s="178">
        <f t="shared" si="13"/>
        <v>741</v>
      </c>
      <c r="Q9" s="178">
        <f t="shared" si="14"/>
        <v>59700</v>
      </c>
      <c r="R9" s="26">
        <f t="shared" si="15"/>
        <v>8.4357923497267756E-2</v>
      </c>
      <c r="S9" s="27">
        <f t="shared" si="16"/>
        <v>6.7964480874316937</v>
      </c>
      <c r="T9" s="28">
        <f t="shared" si="17"/>
        <v>80.566801619433193</v>
      </c>
      <c r="W9" s="23">
        <v>46026</v>
      </c>
      <c r="X9" s="25">
        <v>9986</v>
      </c>
      <c r="Y9" s="25">
        <v>774</v>
      </c>
      <c r="Z9" s="25">
        <v>60393</v>
      </c>
      <c r="AA9" s="26">
        <v>7.7499999999999999E-2</v>
      </c>
      <c r="AB9" s="27">
        <v>6.05</v>
      </c>
      <c r="AC9" s="28">
        <v>78.03</v>
      </c>
      <c r="AD9" s="24">
        <v>1316</v>
      </c>
      <c r="AE9" s="25">
        <v>43</v>
      </c>
      <c r="AF9" s="25">
        <v>896</v>
      </c>
      <c r="AG9" s="26">
        <v>3.27E-2</v>
      </c>
      <c r="AH9" s="27">
        <v>0.68</v>
      </c>
      <c r="AI9" s="28">
        <v>20.84</v>
      </c>
      <c r="AJ9" s="24">
        <v>8670</v>
      </c>
      <c r="AK9" s="25">
        <v>731</v>
      </c>
      <c r="AL9" s="25">
        <v>59497</v>
      </c>
      <c r="AM9" s="26">
        <v>8.43E-2</v>
      </c>
      <c r="AN9" s="27">
        <v>6.86</v>
      </c>
      <c r="AO9" s="28">
        <v>81.39</v>
      </c>
      <c r="AR9" s="23">
        <v>46026</v>
      </c>
      <c r="AS9" s="25">
        <v>755</v>
      </c>
      <c r="AT9" s="25">
        <v>31</v>
      </c>
      <c r="AU9" s="25">
        <v>429</v>
      </c>
      <c r="AV9" s="26">
        <v>4.1099999999999998E-2</v>
      </c>
      <c r="AW9" s="27">
        <v>0.56999999999999995</v>
      </c>
      <c r="AX9" s="28">
        <v>13.84</v>
      </c>
      <c r="AY9" s="24">
        <v>641</v>
      </c>
      <c r="AZ9" s="25">
        <v>21</v>
      </c>
      <c r="BA9" s="25">
        <v>226</v>
      </c>
      <c r="BB9" s="26">
        <v>3.2800000000000003E-2</v>
      </c>
      <c r="BC9" s="27">
        <v>0.35</v>
      </c>
      <c r="BD9" s="28">
        <v>10.76</v>
      </c>
      <c r="BE9" s="24">
        <v>114</v>
      </c>
      <c r="BF9" s="25">
        <v>10</v>
      </c>
      <c r="BG9" s="25">
        <v>203</v>
      </c>
      <c r="BH9" s="26">
        <v>8.77E-2</v>
      </c>
      <c r="BI9" s="27">
        <v>1.78</v>
      </c>
      <c r="BJ9" s="28">
        <v>20.3</v>
      </c>
    </row>
    <row r="10" spans="1:62" ht="14.25" hidden="1" customHeight="1">
      <c r="B10" s="23">
        <v>46027</v>
      </c>
      <c r="C10" s="177">
        <f t="shared" si="0"/>
        <v>11027</v>
      </c>
      <c r="D10" s="178">
        <f t="shared" si="1"/>
        <v>563</v>
      </c>
      <c r="E10" s="178">
        <f t="shared" si="2"/>
        <v>46453</v>
      </c>
      <c r="F10" s="26">
        <f t="shared" si="3"/>
        <v>5.1056497687494332E-2</v>
      </c>
      <c r="G10" s="27">
        <f t="shared" si="4"/>
        <v>4.2126598349505757</v>
      </c>
      <c r="H10" s="28">
        <f t="shared" si="5"/>
        <v>82.509769094138548</v>
      </c>
      <c r="I10" s="177">
        <f t="shared" si="6"/>
        <v>2138</v>
      </c>
      <c r="J10" s="178">
        <f t="shared" si="7"/>
        <v>53</v>
      </c>
      <c r="K10" s="178">
        <f t="shared" si="8"/>
        <v>639</v>
      </c>
      <c r="L10" s="26">
        <f t="shared" si="9"/>
        <v>2.4789522918615529E-2</v>
      </c>
      <c r="M10" s="27">
        <f t="shared" si="10"/>
        <v>0.29887745556594947</v>
      </c>
      <c r="N10" s="28">
        <f t="shared" si="11"/>
        <v>12.056603773584905</v>
      </c>
      <c r="O10" s="177">
        <f t="shared" si="12"/>
        <v>8889</v>
      </c>
      <c r="P10" s="178">
        <f t="shared" si="13"/>
        <v>510</v>
      </c>
      <c r="Q10" s="178">
        <f t="shared" si="14"/>
        <v>45814</v>
      </c>
      <c r="R10" s="26">
        <f t="shared" si="15"/>
        <v>5.7374282821464728E-2</v>
      </c>
      <c r="S10" s="27">
        <f t="shared" si="16"/>
        <v>5.1540105748678142</v>
      </c>
      <c r="T10" s="28">
        <f t="shared" si="17"/>
        <v>89.831372549019605</v>
      </c>
      <c r="W10" s="23">
        <v>46027</v>
      </c>
      <c r="X10" s="25">
        <v>10244</v>
      </c>
      <c r="Y10" s="25">
        <v>535</v>
      </c>
      <c r="Z10" s="25">
        <v>46265</v>
      </c>
      <c r="AA10" s="26">
        <v>5.2200000000000003E-2</v>
      </c>
      <c r="AB10" s="27">
        <v>4.5199999999999996</v>
      </c>
      <c r="AC10" s="28">
        <v>86.48</v>
      </c>
      <c r="AD10" s="24">
        <v>1485</v>
      </c>
      <c r="AE10" s="25">
        <v>32</v>
      </c>
      <c r="AF10" s="25">
        <v>465</v>
      </c>
      <c r="AG10" s="26">
        <v>2.1499999999999998E-2</v>
      </c>
      <c r="AH10" s="27">
        <v>0.31</v>
      </c>
      <c r="AI10" s="28">
        <v>14.53</v>
      </c>
      <c r="AJ10" s="24">
        <v>8759</v>
      </c>
      <c r="AK10" s="25">
        <v>503</v>
      </c>
      <c r="AL10" s="25">
        <v>45800</v>
      </c>
      <c r="AM10" s="26">
        <v>5.74E-2</v>
      </c>
      <c r="AN10" s="27">
        <v>5.23</v>
      </c>
      <c r="AO10" s="28">
        <v>91.05</v>
      </c>
      <c r="AR10" s="23">
        <v>46027</v>
      </c>
      <c r="AS10" s="25">
        <v>783</v>
      </c>
      <c r="AT10" s="25">
        <v>28</v>
      </c>
      <c r="AU10" s="25">
        <v>188</v>
      </c>
      <c r="AV10" s="26">
        <v>3.5799999999999998E-2</v>
      </c>
      <c r="AW10" s="27">
        <v>0.24</v>
      </c>
      <c r="AX10" s="28">
        <v>6.71</v>
      </c>
      <c r="AY10" s="24">
        <v>653</v>
      </c>
      <c r="AZ10" s="25">
        <v>21</v>
      </c>
      <c r="BA10" s="25">
        <v>174</v>
      </c>
      <c r="BB10" s="26">
        <v>3.2199999999999999E-2</v>
      </c>
      <c r="BC10" s="27">
        <v>0.27</v>
      </c>
      <c r="BD10" s="28">
        <v>8.2899999999999991</v>
      </c>
      <c r="BE10" s="24">
        <v>130</v>
      </c>
      <c r="BF10" s="25">
        <v>7</v>
      </c>
      <c r="BG10" s="25">
        <v>14</v>
      </c>
      <c r="BH10" s="26">
        <v>5.3800000000000001E-2</v>
      </c>
      <c r="BI10" s="27">
        <v>0.11</v>
      </c>
      <c r="BJ10" s="28">
        <v>2</v>
      </c>
    </row>
    <row r="11" spans="1:62" ht="14.25" hidden="1" customHeight="1">
      <c r="A11" s="514" t="s">
        <v>23</v>
      </c>
      <c r="B11" s="44">
        <v>46028</v>
      </c>
      <c r="C11" s="152">
        <f t="shared" si="0"/>
        <v>12298</v>
      </c>
      <c r="D11" s="183">
        <f t="shared" si="1"/>
        <v>2207</v>
      </c>
      <c r="E11" s="183">
        <f t="shared" si="2"/>
        <v>503517</v>
      </c>
      <c r="F11" s="47">
        <f t="shared" si="3"/>
        <v>0.17946007480891202</v>
      </c>
      <c r="G11" s="48">
        <f t="shared" si="4"/>
        <v>40.942998861603513</v>
      </c>
      <c r="H11" s="49">
        <f t="shared" si="5"/>
        <v>228.14544630720434</v>
      </c>
      <c r="I11" s="152">
        <f t="shared" si="6"/>
        <v>2772</v>
      </c>
      <c r="J11" s="183">
        <f t="shared" si="7"/>
        <v>79</v>
      </c>
      <c r="K11" s="183">
        <f t="shared" si="8"/>
        <v>1100</v>
      </c>
      <c r="L11" s="47">
        <f t="shared" si="9"/>
        <v>2.84992784992785E-2</v>
      </c>
      <c r="M11" s="48">
        <f t="shared" si="10"/>
        <v>0.3968253968253968</v>
      </c>
      <c r="N11" s="49">
        <f t="shared" si="11"/>
        <v>13.924050632911392</v>
      </c>
      <c r="O11" s="361">
        <f t="shared" si="12"/>
        <v>9526</v>
      </c>
      <c r="P11" s="183">
        <f t="shared" si="13"/>
        <v>2128</v>
      </c>
      <c r="Q11" s="183">
        <f t="shared" si="14"/>
        <v>502417</v>
      </c>
      <c r="R11" s="47">
        <f t="shared" si="15"/>
        <v>0.22338862061725803</v>
      </c>
      <c r="S11" s="48">
        <f t="shared" si="16"/>
        <v>52.741654419483517</v>
      </c>
      <c r="T11" s="49">
        <f t="shared" si="17"/>
        <v>236.09821428571428</v>
      </c>
      <c r="V11" s="514" t="s">
        <v>23</v>
      </c>
      <c r="W11" s="44">
        <v>46028</v>
      </c>
      <c r="X11" s="366">
        <v>11014</v>
      </c>
      <c r="Y11" s="46">
        <v>2161</v>
      </c>
      <c r="Z11" s="46">
        <v>503234</v>
      </c>
      <c r="AA11" s="47">
        <v>0.19620000000000001</v>
      </c>
      <c r="AB11" s="48">
        <v>45.69</v>
      </c>
      <c r="AC11" s="49">
        <v>232.87</v>
      </c>
      <c r="AD11" s="330">
        <v>1635</v>
      </c>
      <c r="AE11" s="46">
        <v>42</v>
      </c>
      <c r="AF11" s="46">
        <v>866</v>
      </c>
      <c r="AG11" s="47">
        <v>2.5700000000000001E-2</v>
      </c>
      <c r="AH11" s="48">
        <v>0.53</v>
      </c>
      <c r="AI11" s="49">
        <v>20.62</v>
      </c>
      <c r="AJ11" s="330">
        <v>9379</v>
      </c>
      <c r="AK11" s="46">
        <v>2119</v>
      </c>
      <c r="AL11" s="46">
        <v>502368</v>
      </c>
      <c r="AM11" s="47">
        <v>0.22589999999999999</v>
      </c>
      <c r="AN11" s="48">
        <v>53.56</v>
      </c>
      <c r="AO11" s="49">
        <v>237.08</v>
      </c>
      <c r="AQ11" s="514" t="s">
        <v>23</v>
      </c>
      <c r="AR11" s="44">
        <v>46028</v>
      </c>
      <c r="AS11" s="46">
        <v>1284</v>
      </c>
      <c r="AT11" s="46">
        <v>46</v>
      </c>
      <c r="AU11" s="46">
        <v>283</v>
      </c>
      <c r="AV11" s="47">
        <v>3.5799999999999998E-2</v>
      </c>
      <c r="AW11" s="48">
        <v>0.22</v>
      </c>
      <c r="AX11" s="49">
        <v>6.15</v>
      </c>
      <c r="AY11" s="330">
        <v>1137</v>
      </c>
      <c r="AZ11" s="46">
        <v>37</v>
      </c>
      <c r="BA11" s="46">
        <v>234</v>
      </c>
      <c r="BB11" s="47">
        <v>3.2500000000000001E-2</v>
      </c>
      <c r="BC11" s="48">
        <v>0.21</v>
      </c>
      <c r="BD11" s="49">
        <v>6.32</v>
      </c>
      <c r="BE11" s="45">
        <v>147</v>
      </c>
      <c r="BF11" s="46">
        <v>9</v>
      </c>
      <c r="BG11" s="46">
        <v>49</v>
      </c>
      <c r="BH11" s="47">
        <v>6.1199999999999997E-2</v>
      </c>
      <c r="BI11" s="48">
        <v>0.33</v>
      </c>
      <c r="BJ11" s="49">
        <v>5.44</v>
      </c>
    </row>
    <row r="12" spans="1:62" ht="14.25" hidden="1" customHeight="1">
      <c r="A12" s="514"/>
      <c r="B12" s="44">
        <v>46029</v>
      </c>
      <c r="C12" s="152">
        <f t="shared" si="0"/>
        <v>12450</v>
      </c>
      <c r="D12" s="183">
        <f t="shared" si="1"/>
        <v>2037</v>
      </c>
      <c r="E12" s="183">
        <f t="shared" si="2"/>
        <v>583052</v>
      </c>
      <c r="F12" s="47">
        <f t="shared" si="3"/>
        <v>0.16361445783132531</v>
      </c>
      <c r="G12" s="48">
        <f t="shared" si="4"/>
        <v>46.8314859437751</v>
      </c>
      <c r="H12" s="49">
        <f t="shared" si="5"/>
        <v>286.23073146784486</v>
      </c>
      <c r="I12" s="152">
        <f t="shared" si="6"/>
        <v>2837</v>
      </c>
      <c r="J12" s="183">
        <f t="shared" si="7"/>
        <v>79</v>
      </c>
      <c r="K12" s="183">
        <f t="shared" si="8"/>
        <v>521</v>
      </c>
      <c r="L12" s="47">
        <f t="shared" si="9"/>
        <v>2.784631653154741E-2</v>
      </c>
      <c r="M12" s="48">
        <f t="shared" si="10"/>
        <v>0.18364469510045822</v>
      </c>
      <c r="N12" s="49">
        <f t="shared" si="11"/>
        <v>6.5949367088607591</v>
      </c>
      <c r="O12" s="361">
        <f t="shared" si="12"/>
        <v>9613</v>
      </c>
      <c r="P12" s="183">
        <f t="shared" si="13"/>
        <v>1958</v>
      </c>
      <c r="Q12" s="183">
        <f t="shared" si="14"/>
        <v>582531</v>
      </c>
      <c r="R12" s="47">
        <f t="shared" si="15"/>
        <v>0.20368251326328929</v>
      </c>
      <c r="S12" s="48">
        <f t="shared" si="16"/>
        <v>60.598252366586912</v>
      </c>
      <c r="T12" s="49">
        <f t="shared" si="17"/>
        <v>297.5132788559755</v>
      </c>
      <c r="V12" s="514"/>
      <c r="W12" s="44">
        <v>46029</v>
      </c>
      <c r="X12" s="366">
        <v>11048</v>
      </c>
      <c r="Y12" s="46">
        <v>1983</v>
      </c>
      <c r="Z12" s="46">
        <v>582405</v>
      </c>
      <c r="AA12" s="47">
        <v>0.17949999999999999</v>
      </c>
      <c r="AB12" s="48">
        <v>52.72</v>
      </c>
      <c r="AC12" s="49">
        <v>293.7</v>
      </c>
      <c r="AD12" s="330">
        <v>1630</v>
      </c>
      <c r="AE12" s="46">
        <v>36</v>
      </c>
      <c r="AF12" s="46">
        <v>316</v>
      </c>
      <c r="AG12" s="47">
        <v>2.2100000000000002E-2</v>
      </c>
      <c r="AH12" s="48">
        <v>0.19</v>
      </c>
      <c r="AI12" s="49">
        <v>8.7799999999999994</v>
      </c>
      <c r="AJ12" s="330">
        <v>9418</v>
      </c>
      <c r="AK12" s="46">
        <v>1947</v>
      </c>
      <c r="AL12" s="46">
        <v>582089</v>
      </c>
      <c r="AM12" s="47">
        <v>0.20669999999999999</v>
      </c>
      <c r="AN12" s="48">
        <v>61.81</v>
      </c>
      <c r="AO12" s="49">
        <v>298.97000000000003</v>
      </c>
      <c r="AQ12" s="514"/>
      <c r="AR12" s="44">
        <v>46029</v>
      </c>
      <c r="AS12" s="46">
        <v>1402</v>
      </c>
      <c r="AT12" s="46">
        <v>54</v>
      </c>
      <c r="AU12" s="46">
        <v>647</v>
      </c>
      <c r="AV12" s="47">
        <v>3.85E-2</v>
      </c>
      <c r="AW12" s="48">
        <v>0.46</v>
      </c>
      <c r="AX12" s="49">
        <v>11.98</v>
      </c>
      <c r="AY12" s="330">
        <v>1207</v>
      </c>
      <c r="AZ12" s="46">
        <v>43</v>
      </c>
      <c r="BA12" s="46">
        <v>205</v>
      </c>
      <c r="BB12" s="47">
        <v>3.56E-2</v>
      </c>
      <c r="BC12" s="48">
        <v>0.17</v>
      </c>
      <c r="BD12" s="49">
        <v>4.7699999999999996</v>
      </c>
      <c r="BE12" s="45">
        <v>195</v>
      </c>
      <c r="BF12" s="46">
        <v>11</v>
      </c>
      <c r="BG12" s="46">
        <v>442</v>
      </c>
      <c r="BH12" s="47">
        <v>5.6399999999999999E-2</v>
      </c>
      <c r="BI12" s="48">
        <v>2.27</v>
      </c>
      <c r="BJ12" s="49">
        <v>40.18</v>
      </c>
    </row>
    <row r="13" spans="1:62" ht="14.25" hidden="1" customHeight="1">
      <c r="A13" s="514"/>
      <c r="B13" s="44">
        <v>46030</v>
      </c>
      <c r="C13" s="152">
        <f t="shared" si="0"/>
        <v>12692</v>
      </c>
      <c r="D13" s="183">
        <f t="shared" si="1"/>
        <v>1873</v>
      </c>
      <c r="E13" s="183">
        <f t="shared" si="2"/>
        <v>761260</v>
      </c>
      <c r="F13" s="47">
        <f t="shared" si="3"/>
        <v>0.14757327450362434</v>
      </c>
      <c r="G13" s="48">
        <f t="shared" si="4"/>
        <v>59.979514654900726</v>
      </c>
      <c r="H13" s="49">
        <f t="shared" si="5"/>
        <v>406.43886812600107</v>
      </c>
      <c r="I13" s="152">
        <f t="shared" si="6"/>
        <v>3105</v>
      </c>
      <c r="J13" s="183">
        <f t="shared" si="7"/>
        <v>76</v>
      </c>
      <c r="K13" s="183">
        <f t="shared" si="8"/>
        <v>283</v>
      </c>
      <c r="L13" s="47">
        <f t="shared" si="9"/>
        <v>2.4476650563607084E-2</v>
      </c>
      <c r="M13" s="48">
        <f t="shared" si="10"/>
        <v>9.1143317230273746E-2</v>
      </c>
      <c r="N13" s="49">
        <f t="shared" si="11"/>
        <v>3.7236842105263159</v>
      </c>
      <c r="O13" s="361">
        <f t="shared" si="12"/>
        <v>9587</v>
      </c>
      <c r="P13" s="183">
        <f t="shared" si="13"/>
        <v>1797</v>
      </c>
      <c r="Q13" s="183">
        <f t="shared" si="14"/>
        <v>760977</v>
      </c>
      <c r="R13" s="47">
        <f t="shared" si="15"/>
        <v>0.18744132679670386</v>
      </c>
      <c r="S13" s="48">
        <f t="shared" si="16"/>
        <v>79.375925732763122</v>
      </c>
      <c r="T13" s="49">
        <f t="shared" si="17"/>
        <v>423.47078464106846</v>
      </c>
      <c r="V13" s="514"/>
      <c r="W13" s="44">
        <v>46030</v>
      </c>
      <c r="X13" s="366">
        <v>10956</v>
      </c>
      <c r="Y13" s="46">
        <v>1818</v>
      </c>
      <c r="Z13" s="46">
        <v>760531</v>
      </c>
      <c r="AA13" s="47">
        <v>0.16589999999999999</v>
      </c>
      <c r="AB13" s="48">
        <v>69.42</v>
      </c>
      <c r="AC13" s="49">
        <v>418.33</v>
      </c>
      <c r="AD13" s="330">
        <v>1656</v>
      </c>
      <c r="AE13" s="46">
        <v>34</v>
      </c>
      <c r="AF13" s="46">
        <v>95</v>
      </c>
      <c r="AG13" s="47">
        <v>2.0500000000000001E-2</v>
      </c>
      <c r="AH13" s="48">
        <v>0.06</v>
      </c>
      <c r="AI13" s="49">
        <v>2.79</v>
      </c>
      <c r="AJ13" s="330">
        <v>9300</v>
      </c>
      <c r="AK13" s="46">
        <v>1784</v>
      </c>
      <c r="AL13" s="46">
        <v>760436</v>
      </c>
      <c r="AM13" s="47">
        <v>0.1918</v>
      </c>
      <c r="AN13" s="48">
        <v>81.77</v>
      </c>
      <c r="AO13" s="49">
        <v>426.25</v>
      </c>
      <c r="AQ13" s="514"/>
      <c r="AR13" s="44">
        <v>46030</v>
      </c>
      <c r="AS13" s="46">
        <v>1736</v>
      </c>
      <c r="AT13" s="46">
        <v>55</v>
      </c>
      <c r="AU13" s="46">
        <v>729</v>
      </c>
      <c r="AV13" s="47">
        <v>3.1699999999999999E-2</v>
      </c>
      <c r="AW13" s="48">
        <v>0.42</v>
      </c>
      <c r="AX13" s="49">
        <v>13.25</v>
      </c>
      <c r="AY13" s="330">
        <v>1449</v>
      </c>
      <c r="AZ13" s="46">
        <v>42</v>
      </c>
      <c r="BA13" s="46">
        <v>188</v>
      </c>
      <c r="BB13" s="47">
        <v>2.9000000000000001E-2</v>
      </c>
      <c r="BC13" s="48">
        <v>0.13</v>
      </c>
      <c r="BD13" s="49">
        <v>4.4800000000000004</v>
      </c>
      <c r="BE13" s="45">
        <v>287</v>
      </c>
      <c r="BF13" s="46">
        <v>13</v>
      </c>
      <c r="BG13" s="46">
        <v>541</v>
      </c>
      <c r="BH13" s="47">
        <v>4.53E-2</v>
      </c>
      <c r="BI13" s="48">
        <v>1.89</v>
      </c>
      <c r="BJ13" s="49">
        <v>41.62</v>
      </c>
    </row>
    <row r="14" spans="1:62" ht="14.25" hidden="1" customHeight="1">
      <c r="A14" s="514"/>
      <c r="B14" s="44">
        <v>46031</v>
      </c>
      <c r="C14" s="152">
        <f t="shared" si="0"/>
        <v>13013</v>
      </c>
      <c r="D14" s="183">
        <f t="shared" si="1"/>
        <v>1560</v>
      </c>
      <c r="E14" s="183">
        <f t="shared" si="2"/>
        <v>255486</v>
      </c>
      <c r="F14" s="47">
        <f t="shared" si="3"/>
        <v>0.11988011988011989</v>
      </c>
      <c r="G14" s="48">
        <f t="shared" si="4"/>
        <v>19.633136094674555</v>
      </c>
      <c r="H14" s="49">
        <f t="shared" si="5"/>
        <v>163.77307692307693</v>
      </c>
      <c r="I14" s="152">
        <f t="shared" si="6"/>
        <v>3348</v>
      </c>
      <c r="J14" s="183">
        <f t="shared" si="7"/>
        <v>68</v>
      </c>
      <c r="K14" s="183">
        <f t="shared" si="8"/>
        <v>413</v>
      </c>
      <c r="L14" s="47">
        <f t="shared" si="9"/>
        <v>2.0310633213859019E-2</v>
      </c>
      <c r="M14" s="48">
        <f t="shared" si="10"/>
        <v>0.12335722819593788</v>
      </c>
      <c r="N14" s="49">
        <f t="shared" si="11"/>
        <v>6.0735294117647056</v>
      </c>
      <c r="O14" s="361">
        <f t="shared" si="12"/>
        <v>9665</v>
      </c>
      <c r="P14" s="183">
        <f t="shared" si="13"/>
        <v>1492</v>
      </c>
      <c r="Q14" s="183">
        <f t="shared" si="14"/>
        <v>255073</v>
      </c>
      <c r="R14" s="47">
        <f t="shared" si="15"/>
        <v>0.15437144335230213</v>
      </c>
      <c r="S14" s="48">
        <f t="shared" si="16"/>
        <v>26.391412312467668</v>
      </c>
      <c r="T14" s="49">
        <f t="shared" si="17"/>
        <v>170.96045576407508</v>
      </c>
      <c r="V14" s="514"/>
      <c r="W14" s="44">
        <v>46031</v>
      </c>
      <c r="X14" s="366">
        <v>10983</v>
      </c>
      <c r="Y14" s="46">
        <v>1509</v>
      </c>
      <c r="Z14" s="46">
        <v>255236</v>
      </c>
      <c r="AA14" s="47">
        <v>0.13739999999999999</v>
      </c>
      <c r="AB14" s="48">
        <v>23.24</v>
      </c>
      <c r="AC14" s="49">
        <v>169.14</v>
      </c>
      <c r="AD14" s="330">
        <v>1631</v>
      </c>
      <c r="AE14" s="46">
        <v>32</v>
      </c>
      <c r="AF14" s="46">
        <v>242</v>
      </c>
      <c r="AG14" s="47">
        <v>1.9599999999999999E-2</v>
      </c>
      <c r="AH14" s="48">
        <v>0.15</v>
      </c>
      <c r="AI14" s="49">
        <v>7.56</v>
      </c>
      <c r="AJ14" s="330">
        <v>9352</v>
      </c>
      <c r="AK14" s="46">
        <v>1477</v>
      </c>
      <c r="AL14" s="46">
        <v>254994</v>
      </c>
      <c r="AM14" s="47">
        <v>0.15790000000000001</v>
      </c>
      <c r="AN14" s="48">
        <v>27.27</v>
      </c>
      <c r="AO14" s="49">
        <v>172.64</v>
      </c>
      <c r="AQ14" s="514"/>
      <c r="AR14" s="44">
        <v>46031</v>
      </c>
      <c r="AS14" s="46">
        <v>2030</v>
      </c>
      <c r="AT14" s="46">
        <v>51</v>
      </c>
      <c r="AU14" s="46">
        <v>250</v>
      </c>
      <c r="AV14" s="47">
        <v>2.5100000000000001E-2</v>
      </c>
      <c r="AW14" s="48">
        <v>0.12</v>
      </c>
      <c r="AX14" s="49">
        <v>4.9000000000000004</v>
      </c>
      <c r="AY14" s="330">
        <v>1717</v>
      </c>
      <c r="AZ14" s="46">
        <v>36</v>
      </c>
      <c r="BA14" s="46">
        <v>171</v>
      </c>
      <c r="BB14" s="47">
        <v>2.1000000000000001E-2</v>
      </c>
      <c r="BC14" s="48">
        <v>0.1</v>
      </c>
      <c r="BD14" s="49">
        <v>4.75</v>
      </c>
      <c r="BE14" s="45">
        <v>313</v>
      </c>
      <c r="BF14" s="46">
        <v>15</v>
      </c>
      <c r="BG14" s="46">
        <v>79</v>
      </c>
      <c r="BH14" s="47">
        <v>4.7899999999999998E-2</v>
      </c>
      <c r="BI14" s="48">
        <v>0.25</v>
      </c>
      <c r="BJ14" s="49">
        <v>5.27</v>
      </c>
    </row>
    <row r="15" spans="1:62" ht="14.25" hidden="1" customHeight="1">
      <c r="A15" s="514"/>
      <c r="B15" s="44">
        <v>46032</v>
      </c>
      <c r="C15" s="152">
        <f t="shared" si="0"/>
        <v>14341</v>
      </c>
      <c r="D15" s="183">
        <f t="shared" si="1"/>
        <v>1517</v>
      </c>
      <c r="E15" s="183">
        <f t="shared" si="2"/>
        <v>233653</v>
      </c>
      <c r="F15" s="47">
        <f t="shared" si="3"/>
        <v>0.10578062896590196</v>
      </c>
      <c r="G15" s="48">
        <f t="shared" si="4"/>
        <v>16.29265741580085</v>
      </c>
      <c r="H15" s="49">
        <f t="shared" si="5"/>
        <v>154.02307185234014</v>
      </c>
      <c r="I15" s="152">
        <f t="shared" si="6"/>
        <v>4285</v>
      </c>
      <c r="J15" s="183">
        <f t="shared" si="7"/>
        <v>109</v>
      </c>
      <c r="K15" s="183">
        <f t="shared" si="8"/>
        <v>715</v>
      </c>
      <c r="L15" s="47">
        <f t="shared" si="9"/>
        <v>2.543757292882147E-2</v>
      </c>
      <c r="M15" s="48">
        <f t="shared" si="10"/>
        <v>0.16686114352392065</v>
      </c>
      <c r="N15" s="49">
        <f t="shared" si="11"/>
        <v>6.5596330275229358</v>
      </c>
      <c r="O15" s="361">
        <f t="shared" si="12"/>
        <v>10056</v>
      </c>
      <c r="P15" s="183">
        <f t="shared" si="13"/>
        <v>1408</v>
      </c>
      <c r="Q15" s="183">
        <f t="shared" si="14"/>
        <v>232938</v>
      </c>
      <c r="R15" s="47">
        <f t="shared" si="15"/>
        <v>0.14001591089896578</v>
      </c>
      <c r="S15" s="48">
        <f t="shared" si="16"/>
        <v>23.164081145584724</v>
      </c>
      <c r="T15" s="49">
        <f t="shared" si="17"/>
        <v>165.43892045454547</v>
      </c>
      <c r="V15" s="514"/>
      <c r="W15" s="44">
        <v>46032</v>
      </c>
      <c r="X15" s="366">
        <v>11492</v>
      </c>
      <c r="Y15" s="46">
        <v>1448</v>
      </c>
      <c r="Z15" s="46">
        <v>231957</v>
      </c>
      <c r="AA15" s="47">
        <v>0.126</v>
      </c>
      <c r="AB15" s="48">
        <v>20.18</v>
      </c>
      <c r="AC15" s="49">
        <v>160.19</v>
      </c>
      <c r="AD15" s="330">
        <v>1881</v>
      </c>
      <c r="AE15" s="46">
        <v>49</v>
      </c>
      <c r="AF15" s="46">
        <v>370</v>
      </c>
      <c r="AG15" s="47">
        <v>2.5999999999999999E-2</v>
      </c>
      <c r="AH15" s="48">
        <v>0.2</v>
      </c>
      <c r="AI15" s="49">
        <v>7.55</v>
      </c>
      <c r="AJ15" s="330">
        <v>9611</v>
      </c>
      <c r="AK15" s="46">
        <v>1399</v>
      </c>
      <c r="AL15" s="46">
        <v>231587</v>
      </c>
      <c r="AM15" s="47">
        <v>0.14560000000000001</v>
      </c>
      <c r="AN15" s="48">
        <v>24.1</v>
      </c>
      <c r="AO15" s="49">
        <v>165.54</v>
      </c>
      <c r="AQ15" s="514"/>
      <c r="AR15" s="44">
        <v>46032</v>
      </c>
      <c r="AS15" s="46">
        <v>2849</v>
      </c>
      <c r="AT15" s="46">
        <v>69</v>
      </c>
      <c r="AU15" s="46">
        <v>1696</v>
      </c>
      <c r="AV15" s="47">
        <v>2.4199999999999999E-2</v>
      </c>
      <c r="AW15" s="48">
        <v>0.6</v>
      </c>
      <c r="AX15" s="49">
        <v>24.58</v>
      </c>
      <c r="AY15" s="330">
        <v>2404</v>
      </c>
      <c r="AZ15" s="46">
        <v>60</v>
      </c>
      <c r="BA15" s="46">
        <v>345</v>
      </c>
      <c r="BB15" s="47">
        <v>2.5000000000000001E-2</v>
      </c>
      <c r="BC15" s="48">
        <v>0.14000000000000001</v>
      </c>
      <c r="BD15" s="49">
        <v>5.75</v>
      </c>
      <c r="BE15" s="45">
        <v>445</v>
      </c>
      <c r="BF15" s="46">
        <v>9</v>
      </c>
      <c r="BG15" s="46">
        <v>1351</v>
      </c>
      <c r="BH15" s="47">
        <v>2.0199999999999999E-2</v>
      </c>
      <c r="BI15" s="48">
        <v>3.04</v>
      </c>
      <c r="BJ15" s="49">
        <v>150.11000000000001</v>
      </c>
    </row>
    <row r="16" spans="1:62" ht="14.25" hidden="1" customHeight="1">
      <c r="A16" s="514"/>
      <c r="B16" s="44">
        <v>46033</v>
      </c>
      <c r="C16" s="152">
        <f t="shared" si="0"/>
        <v>13765</v>
      </c>
      <c r="D16" s="183">
        <f t="shared" si="1"/>
        <v>1513</v>
      </c>
      <c r="E16" s="183">
        <f t="shared" si="2"/>
        <v>240321</v>
      </c>
      <c r="F16" s="47">
        <f t="shared" si="3"/>
        <v>0.10991645477660733</v>
      </c>
      <c r="G16" s="48">
        <f t="shared" si="4"/>
        <v>17.45884489647657</v>
      </c>
      <c r="H16" s="49">
        <f t="shared" si="5"/>
        <v>158.83740912095175</v>
      </c>
      <c r="I16" s="152">
        <f t="shared" si="6"/>
        <v>3749</v>
      </c>
      <c r="J16" s="183">
        <f t="shared" si="7"/>
        <v>92</v>
      </c>
      <c r="K16" s="183">
        <f t="shared" si="8"/>
        <v>547</v>
      </c>
      <c r="L16" s="47">
        <f t="shared" si="9"/>
        <v>2.4539877300613498E-2</v>
      </c>
      <c r="M16" s="48">
        <f t="shared" si="10"/>
        <v>0.14590557481995198</v>
      </c>
      <c r="N16" s="49">
        <f t="shared" si="11"/>
        <v>5.9456521739130439</v>
      </c>
      <c r="O16" s="361">
        <f t="shared" si="12"/>
        <v>10016</v>
      </c>
      <c r="P16" s="183">
        <f t="shared" si="13"/>
        <v>1421</v>
      </c>
      <c r="Q16" s="183">
        <f t="shared" si="14"/>
        <v>239774</v>
      </c>
      <c r="R16" s="47">
        <f t="shared" si="15"/>
        <v>0.14187300319488819</v>
      </c>
      <c r="S16" s="48">
        <f t="shared" si="16"/>
        <v>23.939097444089455</v>
      </c>
      <c r="T16" s="49">
        <f t="shared" si="17"/>
        <v>168.73610133708655</v>
      </c>
      <c r="V16" s="514"/>
      <c r="W16" s="44">
        <v>46033</v>
      </c>
      <c r="X16" s="366">
        <v>11166</v>
      </c>
      <c r="Y16" s="46">
        <v>1442</v>
      </c>
      <c r="Z16" s="46">
        <v>239172</v>
      </c>
      <c r="AA16" s="47">
        <v>0.12909999999999999</v>
      </c>
      <c r="AB16" s="48">
        <v>21.42</v>
      </c>
      <c r="AC16" s="49">
        <v>165.86</v>
      </c>
      <c r="AD16" s="330">
        <v>1668</v>
      </c>
      <c r="AE16" s="46">
        <v>40</v>
      </c>
      <c r="AF16" s="46">
        <v>370</v>
      </c>
      <c r="AG16" s="47">
        <v>2.4E-2</v>
      </c>
      <c r="AH16" s="48">
        <v>0.22</v>
      </c>
      <c r="AI16" s="49">
        <v>9.25</v>
      </c>
      <c r="AJ16" s="330">
        <v>9498</v>
      </c>
      <c r="AK16" s="46">
        <v>1402</v>
      </c>
      <c r="AL16" s="46">
        <v>238802</v>
      </c>
      <c r="AM16" s="47">
        <v>0.14760000000000001</v>
      </c>
      <c r="AN16" s="48">
        <v>25.14</v>
      </c>
      <c r="AO16" s="49">
        <v>170.33</v>
      </c>
      <c r="AQ16" s="514"/>
      <c r="AR16" s="44">
        <v>46033</v>
      </c>
      <c r="AS16" s="46">
        <v>2599</v>
      </c>
      <c r="AT16" s="46">
        <v>71</v>
      </c>
      <c r="AU16" s="46">
        <v>1149</v>
      </c>
      <c r="AV16" s="47">
        <v>2.7300000000000001E-2</v>
      </c>
      <c r="AW16" s="48">
        <v>0.44</v>
      </c>
      <c r="AX16" s="49">
        <v>16.18</v>
      </c>
      <c r="AY16" s="330">
        <v>2081</v>
      </c>
      <c r="AZ16" s="46">
        <v>52</v>
      </c>
      <c r="BA16" s="46">
        <v>177</v>
      </c>
      <c r="BB16" s="47">
        <v>2.5000000000000001E-2</v>
      </c>
      <c r="BC16" s="48">
        <v>0.09</v>
      </c>
      <c r="BD16" s="49">
        <v>3.4</v>
      </c>
      <c r="BE16" s="45">
        <v>518</v>
      </c>
      <c r="BF16" s="46">
        <v>19</v>
      </c>
      <c r="BG16" s="46">
        <v>972</v>
      </c>
      <c r="BH16" s="47">
        <v>3.6700000000000003E-2</v>
      </c>
      <c r="BI16" s="48">
        <v>1.88</v>
      </c>
      <c r="BJ16" s="49">
        <v>51.16</v>
      </c>
    </row>
    <row r="17" spans="1:62" ht="14.25" hidden="1" customHeight="1">
      <c r="A17" s="514"/>
      <c r="B17" s="44">
        <v>46034</v>
      </c>
      <c r="C17" s="152">
        <f t="shared" si="0"/>
        <v>12110</v>
      </c>
      <c r="D17" s="183">
        <f t="shared" si="1"/>
        <v>1821</v>
      </c>
      <c r="E17" s="183">
        <f t="shared" si="2"/>
        <v>357787</v>
      </c>
      <c r="F17" s="47">
        <f t="shared" si="3"/>
        <v>0.15037159372419487</v>
      </c>
      <c r="G17" s="48">
        <f t="shared" si="4"/>
        <v>29.544756399669694</v>
      </c>
      <c r="H17" s="49">
        <f t="shared" si="5"/>
        <v>196.47830862163647</v>
      </c>
      <c r="I17" s="152">
        <f t="shared" si="6"/>
        <v>2560</v>
      </c>
      <c r="J17" s="183">
        <f t="shared" si="7"/>
        <v>79</v>
      </c>
      <c r="K17" s="183">
        <f t="shared" si="8"/>
        <v>369</v>
      </c>
      <c r="L17" s="47">
        <f t="shared" si="9"/>
        <v>3.0859375000000001E-2</v>
      </c>
      <c r="M17" s="48">
        <f t="shared" si="10"/>
        <v>0.14414062499999999</v>
      </c>
      <c r="N17" s="49">
        <f t="shared" si="11"/>
        <v>4.6708860759493671</v>
      </c>
      <c r="O17" s="361">
        <f t="shared" si="12"/>
        <v>9550</v>
      </c>
      <c r="P17" s="183">
        <f t="shared" si="13"/>
        <v>1742</v>
      </c>
      <c r="Q17" s="183">
        <f t="shared" si="14"/>
        <v>357418</v>
      </c>
      <c r="R17" s="47">
        <f t="shared" si="15"/>
        <v>0.1824083769633508</v>
      </c>
      <c r="S17" s="48">
        <f t="shared" si="16"/>
        <v>37.425968586387434</v>
      </c>
      <c r="T17" s="49">
        <f t="shared" si="17"/>
        <v>205.1768082663605</v>
      </c>
      <c r="V17" s="514"/>
      <c r="W17" s="44">
        <v>46034</v>
      </c>
      <c r="X17" s="366">
        <v>10566</v>
      </c>
      <c r="Y17" s="46">
        <v>1777</v>
      </c>
      <c r="Z17" s="46">
        <v>357156</v>
      </c>
      <c r="AA17" s="47">
        <v>0.16819999999999999</v>
      </c>
      <c r="AB17" s="48">
        <v>33.799999999999997</v>
      </c>
      <c r="AC17" s="49">
        <v>200.99</v>
      </c>
      <c r="AD17" s="330">
        <v>1416</v>
      </c>
      <c r="AE17" s="46">
        <v>51</v>
      </c>
      <c r="AF17" s="46">
        <v>261</v>
      </c>
      <c r="AG17" s="47">
        <v>3.5999999999999997E-2</v>
      </c>
      <c r="AH17" s="48">
        <v>0.18</v>
      </c>
      <c r="AI17" s="49">
        <v>5.12</v>
      </c>
      <c r="AJ17" s="330">
        <v>9150</v>
      </c>
      <c r="AK17" s="46">
        <v>1726</v>
      </c>
      <c r="AL17" s="46">
        <v>356895</v>
      </c>
      <c r="AM17" s="47">
        <v>0.18859999999999999</v>
      </c>
      <c r="AN17" s="48">
        <v>39</v>
      </c>
      <c r="AO17" s="49">
        <v>206.78</v>
      </c>
      <c r="AQ17" s="514"/>
      <c r="AR17" s="44">
        <v>46034</v>
      </c>
      <c r="AS17" s="46">
        <v>1544</v>
      </c>
      <c r="AT17" s="46">
        <v>44</v>
      </c>
      <c r="AU17" s="46">
        <v>631</v>
      </c>
      <c r="AV17" s="47">
        <v>2.8500000000000001E-2</v>
      </c>
      <c r="AW17" s="48">
        <v>0.41</v>
      </c>
      <c r="AX17" s="49">
        <v>14.34</v>
      </c>
      <c r="AY17" s="330">
        <v>1144</v>
      </c>
      <c r="AZ17" s="46">
        <v>28</v>
      </c>
      <c r="BA17" s="46">
        <v>108</v>
      </c>
      <c r="BB17" s="47">
        <v>2.4500000000000001E-2</v>
      </c>
      <c r="BC17" s="48">
        <v>0.09</v>
      </c>
      <c r="BD17" s="49">
        <v>3.86</v>
      </c>
      <c r="BE17" s="45">
        <v>400</v>
      </c>
      <c r="BF17" s="46">
        <v>16</v>
      </c>
      <c r="BG17" s="46">
        <v>523</v>
      </c>
      <c r="BH17" s="47">
        <v>0.04</v>
      </c>
      <c r="BI17" s="48">
        <v>1.31</v>
      </c>
      <c r="BJ17" s="49">
        <v>32.69</v>
      </c>
    </row>
    <row r="18" spans="1:62" ht="14.25" hidden="1" customHeight="1">
      <c r="B18" s="35">
        <v>46035</v>
      </c>
      <c r="C18" s="179">
        <f t="shared" si="0"/>
        <v>10963</v>
      </c>
      <c r="D18" s="180">
        <f t="shared" si="1"/>
        <v>641</v>
      </c>
      <c r="E18" s="180">
        <f t="shared" si="2"/>
        <v>42536</v>
      </c>
      <c r="F18" s="38">
        <f t="shared" si="3"/>
        <v>5.8469397062847761E-2</v>
      </c>
      <c r="G18" s="39">
        <f t="shared" si="4"/>
        <v>3.8799598650004561</v>
      </c>
      <c r="H18" s="40">
        <f t="shared" si="5"/>
        <v>66.3588143525741</v>
      </c>
      <c r="I18" s="179">
        <f t="shared" si="6"/>
        <v>1814</v>
      </c>
      <c r="J18" s="180">
        <f t="shared" si="7"/>
        <v>39</v>
      </c>
      <c r="K18" s="180">
        <f t="shared" si="8"/>
        <v>1138</v>
      </c>
      <c r="L18" s="38">
        <f t="shared" si="9"/>
        <v>2.1499448732083794E-2</v>
      </c>
      <c r="M18" s="39">
        <f t="shared" si="10"/>
        <v>0.62734288864388088</v>
      </c>
      <c r="N18" s="40">
        <f t="shared" si="11"/>
        <v>29.179487179487179</v>
      </c>
      <c r="O18" s="362">
        <f t="shared" si="12"/>
        <v>9149</v>
      </c>
      <c r="P18" s="180">
        <f t="shared" si="13"/>
        <v>602</v>
      </c>
      <c r="Q18" s="180">
        <f t="shared" si="14"/>
        <v>41398</v>
      </c>
      <c r="R18" s="38">
        <f t="shared" si="15"/>
        <v>6.5799540933435346E-2</v>
      </c>
      <c r="S18" s="39">
        <f t="shared" si="16"/>
        <v>4.5248661055853097</v>
      </c>
      <c r="T18" s="40">
        <f t="shared" si="17"/>
        <v>68.767441860465112</v>
      </c>
      <c r="W18" s="35">
        <v>46035</v>
      </c>
      <c r="X18" s="367">
        <v>10155</v>
      </c>
      <c r="Y18" s="37">
        <v>617</v>
      </c>
      <c r="Z18" s="37">
        <v>42028</v>
      </c>
      <c r="AA18" s="38">
        <v>6.08E-2</v>
      </c>
      <c r="AB18" s="39">
        <v>4.1399999999999997</v>
      </c>
      <c r="AC18" s="40">
        <v>68.12</v>
      </c>
      <c r="AD18" s="36">
        <v>1293</v>
      </c>
      <c r="AE18" s="37">
        <v>24</v>
      </c>
      <c r="AF18" s="37">
        <v>1076</v>
      </c>
      <c r="AG18" s="38">
        <v>1.8599999999999998E-2</v>
      </c>
      <c r="AH18" s="39">
        <v>0.83</v>
      </c>
      <c r="AI18" s="40">
        <v>44.83</v>
      </c>
      <c r="AJ18" s="36">
        <v>8862</v>
      </c>
      <c r="AK18" s="37">
        <v>593</v>
      </c>
      <c r="AL18" s="37">
        <v>40952</v>
      </c>
      <c r="AM18" s="38">
        <v>6.6900000000000001E-2</v>
      </c>
      <c r="AN18" s="39">
        <v>4.62</v>
      </c>
      <c r="AO18" s="40">
        <v>69.06</v>
      </c>
      <c r="AR18" s="35">
        <v>46035</v>
      </c>
      <c r="AS18" s="37">
        <v>808</v>
      </c>
      <c r="AT18" s="37">
        <v>24</v>
      </c>
      <c r="AU18" s="37">
        <v>508</v>
      </c>
      <c r="AV18" s="38">
        <v>2.9700000000000001E-2</v>
      </c>
      <c r="AW18" s="39">
        <v>0.63</v>
      </c>
      <c r="AX18" s="40">
        <v>21.17</v>
      </c>
      <c r="AY18" s="36">
        <v>521</v>
      </c>
      <c r="AZ18" s="37">
        <v>15</v>
      </c>
      <c r="BA18" s="37">
        <v>62</v>
      </c>
      <c r="BB18" s="38">
        <v>2.8799999999999999E-2</v>
      </c>
      <c r="BC18" s="39">
        <v>0.12</v>
      </c>
      <c r="BD18" s="40">
        <v>4.13</v>
      </c>
      <c r="BE18" s="36">
        <v>287</v>
      </c>
      <c r="BF18" s="37">
        <v>9</v>
      </c>
      <c r="BG18" s="37">
        <v>446</v>
      </c>
      <c r="BH18" s="38">
        <v>3.1399999999999997E-2</v>
      </c>
      <c r="BI18" s="39">
        <v>1.55</v>
      </c>
      <c r="BJ18" s="40">
        <v>49.56</v>
      </c>
    </row>
    <row r="19" spans="1:62" ht="14.25" hidden="1" customHeight="1">
      <c r="B19" s="23">
        <v>46036</v>
      </c>
      <c r="C19" s="177">
        <f t="shared" si="0"/>
        <v>12298</v>
      </c>
      <c r="D19" s="178">
        <f t="shared" si="1"/>
        <v>653</v>
      </c>
      <c r="E19" s="178">
        <f t="shared" si="2"/>
        <v>33101</v>
      </c>
      <c r="F19" s="26">
        <f t="shared" si="3"/>
        <v>5.30980647259717E-2</v>
      </c>
      <c r="G19" s="27">
        <f t="shared" si="4"/>
        <v>2.6915758659944706</v>
      </c>
      <c r="H19" s="28">
        <f t="shared" si="5"/>
        <v>50.690658499234303</v>
      </c>
      <c r="I19" s="177">
        <f t="shared" si="6"/>
        <v>3161</v>
      </c>
      <c r="J19" s="178">
        <f t="shared" si="7"/>
        <v>113</v>
      </c>
      <c r="K19" s="178">
        <f t="shared" si="8"/>
        <v>529</v>
      </c>
      <c r="L19" s="26">
        <f t="shared" si="9"/>
        <v>3.5748180955393866E-2</v>
      </c>
      <c r="M19" s="27">
        <f t="shared" si="10"/>
        <v>0.16735210376463144</v>
      </c>
      <c r="N19" s="28">
        <f t="shared" si="11"/>
        <v>4.6814159292035402</v>
      </c>
      <c r="O19" s="363">
        <f t="shared" si="12"/>
        <v>9137</v>
      </c>
      <c r="P19" s="178">
        <f t="shared" si="13"/>
        <v>540</v>
      </c>
      <c r="Q19" s="178">
        <f t="shared" si="14"/>
        <v>32572</v>
      </c>
      <c r="R19" s="26">
        <f t="shared" si="15"/>
        <v>5.9100361168873808E-2</v>
      </c>
      <c r="S19" s="27">
        <f t="shared" si="16"/>
        <v>3.5648462296158479</v>
      </c>
      <c r="T19" s="28">
        <f t="shared" si="17"/>
        <v>60.318518518518516</v>
      </c>
      <c r="W19" s="23">
        <v>46036</v>
      </c>
      <c r="X19" s="368">
        <v>9888</v>
      </c>
      <c r="Y19" s="25">
        <v>563</v>
      </c>
      <c r="Z19" s="25">
        <v>32623</v>
      </c>
      <c r="AA19" s="26">
        <v>5.6899999999999999E-2</v>
      </c>
      <c r="AB19" s="27">
        <v>3.3</v>
      </c>
      <c r="AC19" s="28">
        <v>57.94</v>
      </c>
      <c r="AD19" s="24">
        <v>1195</v>
      </c>
      <c r="AE19" s="25">
        <v>37</v>
      </c>
      <c r="AF19" s="25">
        <v>279</v>
      </c>
      <c r="AG19" s="26">
        <v>3.1E-2</v>
      </c>
      <c r="AH19" s="27">
        <v>0.23</v>
      </c>
      <c r="AI19" s="28">
        <v>7.54</v>
      </c>
      <c r="AJ19" s="24">
        <v>8693</v>
      </c>
      <c r="AK19" s="25">
        <v>526</v>
      </c>
      <c r="AL19" s="25">
        <v>32344</v>
      </c>
      <c r="AM19" s="26">
        <v>6.0499999999999998E-2</v>
      </c>
      <c r="AN19" s="27">
        <v>3.72</v>
      </c>
      <c r="AO19" s="28">
        <v>61.49</v>
      </c>
      <c r="AR19" s="23">
        <v>46036</v>
      </c>
      <c r="AS19" s="25">
        <v>2410</v>
      </c>
      <c r="AT19" s="25">
        <v>90</v>
      </c>
      <c r="AU19" s="25">
        <v>478</v>
      </c>
      <c r="AV19" s="26">
        <v>3.73E-2</v>
      </c>
      <c r="AW19" s="27">
        <v>0.2</v>
      </c>
      <c r="AX19" s="28">
        <v>5.31</v>
      </c>
      <c r="AY19" s="24">
        <v>1966</v>
      </c>
      <c r="AZ19" s="25">
        <v>76</v>
      </c>
      <c r="BA19" s="25">
        <v>250</v>
      </c>
      <c r="BB19" s="26">
        <v>3.8699999999999998E-2</v>
      </c>
      <c r="BC19" s="27">
        <v>0.13</v>
      </c>
      <c r="BD19" s="28">
        <v>3.29</v>
      </c>
      <c r="BE19" s="42">
        <v>444</v>
      </c>
      <c r="BF19" s="25">
        <v>14</v>
      </c>
      <c r="BG19" s="25">
        <v>228</v>
      </c>
      <c r="BH19" s="26">
        <v>3.15E-2</v>
      </c>
      <c r="BI19" s="27">
        <v>0.51</v>
      </c>
      <c r="BJ19" s="28">
        <v>16.29</v>
      </c>
    </row>
    <row r="20" spans="1:62" ht="14.25" hidden="1" customHeight="1">
      <c r="B20" s="23">
        <v>46037</v>
      </c>
      <c r="C20" s="177">
        <f t="shared" si="0"/>
        <v>12484</v>
      </c>
      <c r="D20" s="178">
        <f t="shared" si="1"/>
        <v>704</v>
      </c>
      <c r="E20" s="178">
        <f t="shared" si="2"/>
        <v>36978</v>
      </c>
      <c r="F20" s="26">
        <f t="shared" si="3"/>
        <v>5.6392181992950978E-2</v>
      </c>
      <c r="G20" s="27">
        <f t="shared" si="4"/>
        <v>2.9620314001922461</v>
      </c>
      <c r="H20" s="28">
        <f t="shared" si="5"/>
        <v>52.52556818181818</v>
      </c>
      <c r="I20" s="177">
        <f t="shared" si="6"/>
        <v>3073</v>
      </c>
      <c r="J20" s="178">
        <f t="shared" si="7"/>
        <v>117</v>
      </c>
      <c r="K20" s="178">
        <f t="shared" si="8"/>
        <v>658</v>
      </c>
      <c r="L20" s="26">
        <f t="shared" si="9"/>
        <v>3.8073543768304588E-2</v>
      </c>
      <c r="M20" s="27">
        <f t="shared" si="10"/>
        <v>0.21412300683371299</v>
      </c>
      <c r="N20" s="28">
        <f t="shared" si="11"/>
        <v>5.6239316239316235</v>
      </c>
      <c r="O20" s="363">
        <f t="shared" si="12"/>
        <v>9411</v>
      </c>
      <c r="P20" s="178">
        <f t="shared" si="13"/>
        <v>587</v>
      </c>
      <c r="Q20" s="178">
        <f t="shared" si="14"/>
        <v>36320</v>
      </c>
      <c r="R20" s="26">
        <f t="shared" si="15"/>
        <v>6.2373817872702159E-2</v>
      </c>
      <c r="S20" s="27">
        <f t="shared" si="16"/>
        <v>3.8593135692274996</v>
      </c>
      <c r="T20" s="28">
        <f t="shared" si="17"/>
        <v>61.873935264054516</v>
      </c>
      <c r="W20" s="23">
        <v>46037</v>
      </c>
      <c r="X20" s="368">
        <v>10206</v>
      </c>
      <c r="Y20" s="25">
        <v>609</v>
      </c>
      <c r="Z20" s="25">
        <v>36146</v>
      </c>
      <c r="AA20" s="26">
        <v>5.9700000000000003E-2</v>
      </c>
      <c r="AB20" s="27">
        <v>3.54</v>
      </c>
      <c r="AC20" s="28">
        <v>59.35</v>
      </c>
      <c r="AD20" s="24">
        <v>1346</v>
      </c>
      <c r="AE20" s="25">
        <v>43</v>
      </c>
      <c r="AF20" s="25">
        <v>343</v>
      </c>
      <c r="AG20" s="26">
        <v>3.1899999999999998E-2</v>
      </c>
      <c r="AH20" s="27">
        <v>0.25</v>
      </c>
      <c r="AI20" s="28">
        <v>7.98</v>
      </c>
      <c r="AJ20" s="24">
        <v>8860</v>
      </c>
      <c r="AK20" s="25">
        <v>566</v>
      </c>
      <c r="AL20" s="25">
        <v>35803</v>
      </c>
      <c r="AM20" s="26">
        <v>6.3899999999999998E-2</v>
      </c>
      <c r="AN20" s="27">
        <v>4.04</v>
      </c>
      <c r="AO20" s="28">
        <v>63.26</v>
      </c>
      <c r="AR20" s="23">
        <v>46037</v>
      </c>
      <c r="AS20" s="25">
        <v>2278</v>
      </c>
      <c r="AT20" s="25">
        <v>95</v>
      </c>
      <c r="AU20" s="25">
        <v>832</v>
      </c>
      <c r="AV20" s="26">
        <v>4.1700000000000001E-2</v>
      </c>
      <c r="AW20" s="27">
        <v>0.37</v>
      </c>
      <c r="AX20" s="28">
        <v>8.76</v>
      </c>
      <c r="AY20" s="24">
        <v>1727</v>
      </c>
      <c r="AZ20" s="25">
        <v>74</v>
      </c>
      <c r="BA20" s="25">
        <v>315</v>
      </c>
      <c r="BB20" s="26">
        <v>4.2799999999999998E-2</v>
      </c>
      <c r="BC20" s="27">
        <v>0.18</v>
      </c>
      <c r="BD20" s="28">
        <v>4.26</v>
      </c>
      <c r="BE20" s="42">
        <v>551</v>
      </c>
      <c r="BF20" s="25">
        <v>21</v>
      </c>
      <c r="BG20" s="25">
        <v>517</v>
      </c>
      <c r="BH20" s="26">
        <v>3.8100000000000002E-2</v>
      </c>
      <c r="BI20" s="27">
        <v>0.94</v>
      </c>
      <c r="BJ20" s="28">
        <v>24.62</v>
      </c>
    </row>
    <row r="21" spans="1:62" ht="14.25" hidden="1" customHeight="1">
      <c r="A21" s="627" t="s">
        <v>24</v>
      </c>
      <c r="B21" s="51">
        <v>46038</v>
      </c>
      <c r="C21" s="153">
        <f t="shared" si="0"/>
        <v>12476</v>
      </c>
      <c r="D21" s="184">
        <f t="shared" si="1"/>
        <v>720</v>
      </c>
      <c r="E21" s="184">
        <f t="shared" si="2"/>
        <v>62246</v>
      </c>
      <c r="F21" s="54">
        <f t="shared" si="3"/>
        <v>5.771080474511061E-2</v>
      </c>
      <c r="G21" s="55">
        <f t="shared" si="4"/>
        <v>4.9892593780057712</v>
      </c>
      <c r="H21" s="56">
        <f t="shared" si="5"/>
        <v>86.452777777777783</v>
      </c>
      <c r="I21" s="153">
        <f t="shared" si="6"/>
        <v>2888</v>
      </c>
      <c r="J21" s="184">
        <f t="shared" si="7"/>
        <v>120</v>
      </c>
      <c r="K21" s="184">
        <f t="shared" si="8"/>
        <v>617</v>
      </c>
      <c r="L21" s="54">
        <f t="shared" si="9"/>
        <v>4.1551246537396121E-2</v>
      </c>
      <c r="M21" s="55">
        <f t="shared" si="10"/>
        <v>0.21364265927977838</v>
      </c>
      <c r="N21" s="56">
        <f t="shared" si="11"/>
        <v>5.1416666666666666</v>
      </c>
      <c r="O21" s="364">
        <f t="shared" si="12"/>
        <v>9588</v>
      </c>
      <c r="P21" s="184">
        <f t="shared" si="13"/>
        <v>600</v>
      </c>
      <c r="Q21" s="184">
        <f t="shared" si="14"/>
        <v>61629</v>
      </c>
      <c r="R21" s="54">
        <f t="shared" si="15"/>
        <v>6.2578222778473094E-2</v>
      </c>
      <c r="S21" s="55">
        <f t="shared" si="16"/>
        <v>6.4277221526908637</v>
      </c>
      <c r="T21" s="56">
        <f t="shared" si="17"/>
        <v>102.715</v>
      </c>
      <c r="V21" s="626" t="s">
        <v>24</v>
      </c>
      <c r="W21" s="51">
        <v>46038</v>
      </c>
      <c r="X21" s="369">
        <v>10690</v>
      </c>
      <c r="Y21" s="53">
        <v>633</v>
      </c>
      <c r="Z21" s="53">
        <v>61906</v>
      </c>
      <c r="AA21" s="54">
        <v>5.9200000000000003E-2</v>
      </c>
      <c r="AB21" s="55">
        <v>5.79</v>
      </c>
      <c r="AC21" s="56">
        <v>97.8</v>
      </c>
      <c r="AD21" s="76">
        <v>1547</v>
      </c>
      <c r="AE21" s="71">
        <v>47</v>
      </c>
      <c r="AF21" s="53">
        <v>357</v>
      </c>
      <c r="AG21" s="54">
        <v>3.04E-2</v>
      </c>
      <c r="AH21" s="55">
        <v>0.23</v>
      </c>
      <c r="AI21" s="56">
        <v>7.6</v>
      </c>
      <c r="AJ21" s="76">
        <v>9143</v>
      </c>
      <c r="AK21" s="53">
        <v>586</v>
      </c>
      <c r="AL21" s="53">
        <v>61549</v>
      </c>
      <c r="AM21" s="54">
        <v>6.4100000000000004E-2</v>
      </c>
      <c r="AN21" s="55">
        <v>6.73</v>
      </c>
      <c r="AO21" s="56">
        <v>105.03</v>
      </c>
      <c r="AQ21" s="630" t="s">
        <v>24</v>
      </c>
      <c r="AR21" s="51">
        <v>46038</v>
      </c>
      <c r="AS21" s="71">
        <v>1786</v>
      </c>
      <c r="AT21" s="71">
        <v>87</v>
      </c>
      <c r="AU21" s="53">
        <v>340</v>
      </c>
      <c r="AV21" s="54">
        <v>4.87E-2</v>
      </c>
      <c r="AW21" s="55">
        <v>0.19</v>
      </c>
      <c r="AX21" s="56">
        <v>3.91</v>
      </c>
      <c r="AY21" s="76">
        <v>1341</v>
      </c>
      <c r="AZ21" s="71">
        <v>73</v>
      </c>
      <c r="BA21" s="53">
        <v>260</v>
      </c>
      <c r="BB21" s="54">
        <v>5.4399999999999997E-2</v>
      </c>
      <c r="BC21" s="55">
        <v>0.19</v>
      </c>
      <c r="BD21" s="56">
        <v>3.56</v>
      </c>
      <c r="BE21" s="52">
        <v>445</v>
      </c>
      <c r="BF21" s="53">
        <v>14</v>
      </c>
      <c r="BG21" s="53">
        <v>80</v>
      </c>
      <c r="BH21" s="54">
        <v>3.15E-2</v>
      </c>
      <c r="BI21" s="55">
        <v>0.18</v>
      </c>
      <c r="BJ21" s="56">
        <v>5.71</v>
      </c>
    </row>
    <row r="22" spans="1:62" ht="14.25" hidden="1" customHeight="1">
      <c r="A22" s="513"/>
      <c r="B22" s="51">
        <v>46039</v>
      </c>
      <c r="C22" s="153">
        <f t="shared" si="0"/>
        <v>12936</v>
      </c>
      <c r="D22" s="184">
        <f t="shared" si="1"/>
        <v>648</v>
      </c>
      <c r="E22" s="184">
        <f t="shared" si="2"/>
        <v>61129</v>
      </c>
      <c r="F22" s="54">
        <f t="shared" si="3"/>
        <v>5.0092764378478663E-2</v>
      </c>
      <c r="G22" s="55">
        <f t="shared" si="4"/>
        <v>4.7254947433518861</v>
      </c>
      <c r="H22" s="56">
        <f t="shared" si="5"/>
        <v>94.334876543209873</v>
      </c>
      <c r="I22" s="153">
        <f t="shared" si="6"/>
        <v>3246</v>
      </c>
      <c r="J22" s="184">
        <f t="shared" si="7"/>
        <v>82</v>
      </c>
      <c r="K22" s="184">
        <f t="shared" si="8"/>
        <v>324</v>
      </c>
      <c r="L22" s="54">
        <f t="shared" si="9"/>
        <v>2.5261860751694395E-2</v>
      </c>
      <c r="M22" s="55">
        <f t="shared" si="10"/>
        <v>9.9815157116451017E-2</v>
      </c>
      <c r="N22" s="56">
        <f t="shared" si="11"/>
        <v>3.9512195121951219</v>
      </c>
      <c r="O22" s="364">
        <f t="shared" si="12"/>
        <v>9690</v>
      </c>
      <c r="P22" s="184">
        <f t="shared" si="13"/>
        <v>566</v>
      </c>
      <c r="Q22" s="184">
        <f t="shared" si="14"/>
        <v>60805</v>
      </c>
      <c r="R22" s="54">
        <f t="shared" si="15"/>
        <v>5.841073271413829E-2</v>
      </c>
      <c r="S22" s="55">
        <f t="shared" si="16"/>
        <v>6.2750257997936014</v>
      </c>
      <c r="T22" s="56">
        <f t="shared" si="17"/>
        <v>107.42932862190813</v>
      </c>
      <c r="V22" s="513"/>
      <c r="W22" s="51">
        <v>46039</v>
      </c>
      <c r="X22" s="369">
        <v>10966</v>
      </c>
      <c r="Y22" s="53">
        <v>577</v>
      </c>
      <c r="Z22" s="53">
        <v>60476</v>
      </c>
      <c r="AA22" s="54">
        <v>5.2600000000000001E-2</v>
      </c>
      <c r="AB22" s="55">
        <v>5.51</v>
      </c>
      <c r="AC22" s="56">
        <v>104.81</v>
      </c>
      <c r="AD22" s="76">
        <v>1756</v>
      </c>
      <c r="AE22" s="71">
        <v>30</v>
      </c>
      <c r="AF22" s="53">
        <v>85</v>
      </c>
      <c r="AG22" s="54">
        <v>1.7100000000000001E-2</v>
      </c>
      <c r="AH22" s="55">
        <v>0.05</v>
      </c>
      <c r="AI22" s="56">
        <v>2.83</v>
      </c>
      <c r="AJ22" s="76">
        <v>9210</v>
      </c>
      <c r="AK22" s="53">
        <v>547</v>
      </c>
      <c r="AL22" s="53">
        <v>60391</v>
      </c>
      <c r="AM22" s="54">
        <v>5.9400000000000001E-2</v>
      </c>
      <c r="AN22" s="55">
        <v>6.56</v>
      </c>
      <c r="AO22" s="56">
        <v>110.4</v>
      </c>
      <c r="AQ22" s="513"/>
      <c r="AR22" s="51">
        <v>46039</v>
      </c>
      <c r="AS22" s="71">
        <v>1970</v>
      </c>
      <c r="AT22" s="71">
        <v>71</v>
      </c>
      <c r="AU22" s="53">
        <v>653</v>
      </c>
      <c r="AV22" s="54">
        <v>3.5999999999999997E-2</v>
      </c>
      <c r="AW22" s="55">
        <v>0.33</v>
      </c>
      <c r="AX22" s="56">
        <v>9.1999999999999993</v>
      </c>
      <c r="AY22" s="76">
        <v>1490</v>
      </c>
      <c r="AZ22" s="71">
        <v>52</v>
      </c>
      <c r="BA22" s="53">
        <v>239</v>
      </c>
      <c r="BB22" s="54">
        <v>3.49E-2</v>
      </c>
      <c r="BC22" s="55">
        <v>0.16</v>
      </c>
      <c r="BD22" s="56">
        <v>4.5999999999999996</v>
      </c>
      <c r="BE22" s="52">
        <v>480</v>
      </c>
      <c r="BF22" s="53">
        <v>19</v>
      </c>
      <c r="BG22" s="53">
        <v>414</v>
      </c>
      <c r="BH22" s="54">
        <v>3.9600000000000003E-2</v>
      </c>
      <c r="BI22" s="55">
        <v>0.86</v>
      </c>
      <c r="BJ22" s="56">
        <v>21.79</v>
      </c>
    </row>
    <row r="23" spans="1:62" ht="14.25" hidden="1" customHeight="1">
      <c r="B23" s="23">
        <v>46040</v>
      </c>
      <c r="C23" s="177">
        <f t="shared" si="0"/>
        <v>12667</v>
      </c>
      <c r="D23" s="178">
        <f t="shared" si="1"/>
        <v>662</v>
      </c>
      <c r="E23" s="178">
        <f t="shared" si="2"/>
        <v>39601</v>
      </c>
      <c r="F23" s="26">
        <f t="shared" si="3"/>
        <v>5.2261782584668827E-2</v>
      </c>
      <c r="G23" s="27">
        <f t="shared" si="4"/>
        <v>3.1263124654614352</v>
      </c>
      <c r="H23" s="28">
        <f t="shared" si="5"/>
        <v>59.820241691842902</v>
      </c>
      <c r="I23" s="177">
        <f t="shared" si="6"/>
        <v>3087</v>
      </c>
      <c r="J23" s="178">
        <f t="shared" si="7"/>
        <v>86</v>
      </c>
      <c r="K23" s="178">
        <f t="shared" si="8"/>
        <v>546</v>
      </c>
      <c r="L23" s="26">
        <f t="shared" si="9"/>
        <v>2.7858762552640103E-2</v>
      </c>
      <c r="M23" s="27">
        <f t="shared" si="10"/>
        <v>0.17687074829931973</v>
      </c>
      <c r="N23" s="28">
        <f t="shared" si="11"/>
        <v>6.3488372093023253</v>
      </c>
      <c r="O23" s="363">
        <f t="shared" si="12"/>
        <v>9580</v>
      </c>
      <c r="P23" s="178">
        <f t="shared" si="13"/>
        <v>576</v>
      </c>
      <c r="Q23" s="178">
        <f t="shared" si="14"/>
        <v>39055</v>
      </c>
      <c r="R23" s="26">
        <f t="shared" si="15"/>
        <v>6.0125260960334027E-2</v>
      </c>
      <c r="S23" s="27">
        <f t="shared" si="16"/>
        <v>4.0767223382045925</v>
      </c>
      <c r="T23" s="28">
        <f t="shared" si="17"/>
        <v>67.803819444444443</v>
      </c>
      <c r="W23" s="23">
        <v>46040</v>
      </c>
      <c r="X23" s="368">
        <v>10788</v>
      </c>
      <c r="Y23" s="25">
        <v>591</v>
      </c>
      <c r="Z23" s="25">
        <v>38536</v>
      </c>
      <c r="AA23" s="26">
        <v>5.4800000000000001E-2</v>
      </c>
      <c r="AB23" s="27">
        <v>3.57</v>
      </c>
      <c r="AC23" s="28">
        <v>65.2</v>
      </c>
      <c r="AD23" s="24">
        <v>1707</v>
      </c>
      <c r="AE23" s="25">
        <v>32</v>
      </c>
      <c r="AF23" s="25">
        <v>181</v>
      </c>
      <c r="AG23" s="26">
        <v>1.8700000000000001E-2</v>
      </c>
      <c r="AH23" s="27">
        <v>0.11</v>
      </c>
      <c r="AI23" s="28">
        <v>5.66</v>
      </c>
      <c r="AJ23" s="24">
        <v>9081</v>
      </c>
      <c r="AK23" s="25">
        <v>559</v>
      </c>
      <c r="AL23" s="25">
        <v>38355</v>
      </c>
      <c r="AM23" s="26">
        <v>6.1600000000000002E-2</v>
      </c>
      <c r="AN23" s="27">
        <v>4.22</v>
      </c>
      <c r="AO23" s="28">
        <v>68.61</v>
      </c>
      <c r="AR23" s="23">
        <v>46040</v>
      </c>
      <c r="AS23" s="25">
        <v>1879</v>
      </c>
      <c r="AT23" s="25">
        <v>71</v>
      </c>
      <c r="AU23" s="25">
        <v>1065</v>
      </c>
      <c r="AV23" s="26">
        <v>3.78E-2</v>
      </c>
      <c r="AW23" s="27">
        <v>0.56999999999999995</v>
      </c>
      <c r="AX23" s="28">
        <v>15</v>
      </c>
      <c r="AY23" s="24">
        <v>1380</v>
      </c>
      <c r="AZ23" s="25">
        <v>54</v>
      </c>
      <c r="BA23" s="25">
        <v>365</v>
      </c>
      <c r="BB23" s="26">
        <v>3.9100000000000003E-2</v>
      </c>
      <c r="BC23" s="27">
        <v>0.26</v>
      </c>
      <c r="BD23" s="28">
        <v>6.76</v>
      </c>
      <c r="BE23" s="42">
        <v>499</v>
      </c>
      <c r="BF23" s="25">
        <v>17</v>
      </c>
      <c r="BG23" s="25">
        <v>700</v>
      </c>
      <c r="BH23" s="26">
        <v>3.4099999999999998E-2</v>
      </c>
      <c r="BI23" s="27">
        <v>1.4</v>
      </c>
      <c r="BJ23" s="28">
        <v>41.18</v>
      </c>
    </row>
    <row r="24" spans="1:62" ht="14.25" hidden="1" customHeight="1">
      <c r="A24" s="629" t="s">
        <v>25</v>
      </c>
      <c r="B24" s="51">
        <v>46041</v>
      </c>
      <c r="C24" s="153">
        <f t="shared" si="0"/>
        <v>11535</v>
      </c>
      <c r="D24" s="184">
        <f t="shared" si="1"/>
        <v>848</v>
      </c>
      <c r="E24" s="184">
        <f t="shared" si="2"/>
        <v>67730</v>
      </c>
      <c r="F24" s="54">
        <f t="shared" si="3"/>
        <v>7.351538794971825E-2</v>
      </c>
      <c r="G24" s="55">
        <f t="shared" si="4"/>
        <v>5.8716948417858692</v>
      </c>
      <c r="H24" s="56">
        <f t="shared" si="5"/>
        <v>79.870283018867923</v>
      </c>
      <c r="I24" s="153">
        <f t="shared" si="6"/>
        <v>2460</v>
      </c>
      <c r="J24" s="184">
        <f t="shared" si="7"/>
        <v>80</v>
      </c>
      <c r="K24" s="184">
        <f t="shared" si="8"/>
        <v>379</v>
      </c>
      <c r="L24" s="54">
        <f t="shared" si="9"/>
        <v>3.2520325203252036E-2</v>
      </c>
      <c r="M24" s="55">
        <f t="shared" si="10"/>
        <v>0.15406504065040649</v>
      </c>
      <c r="N24" s="56">
        <f t="shared" si="11"/>
        <v>4.7374999999999998</v>
      </c>
      <c r="O24" s="364">
        <f t="shared" si="12"/>
        <v>9075</v>
      </c>
      <c r="P24" s="184">
        <f t="shared" si="13"/>
        <v>768</v>
      </c>
      <c r="Q24" s="184">
        <f t="shared" si="14"/>
        <v>67351</v>
      </c>
      <c r="R24" s="54">
        <f t="shared" si="15"/>
        <v>8.4628099173553725E-2</v>
      </c>
      <c r="S24" s="55">
        <f t="shared" si="16"/>
        <v>7.4215977961432511</v>
      </c>
      <c r="T24" s="56">
        <f t="shared" si="17"/>
        <v>87.696614583333329</v>
      </c>
      <c r="V24" s="625" t="s">
        <v>25</v>
      </c>
      <c r="W24" s="51">
        <v>46041</v>
      </c>
      <c r="X24" s="369">
        <v>9870</v>
      </c>
      <c r="Y24" s="53">
        <v>786</v>
      </c>
      <c r="Z24" s="53">
        <v>67370</v>
      </c>
      <c r="AA24" s="54">
        <v>7.9600000000000004E-2</v>
      </c>
      <c r="AB24" s="55">
        <v>6.83</v>
      </c>
      <c r="AC24" s="56">
        <v>85.71</v>
      </c>
      <c r="AD24" s="76">
        <v>1243</v>
      </c>
      <c r="AE24" s="71">
        <v>37</v>
      </c>
      <c r="AF24" s="53">
        <v>194</v>
      </c>
      <c r="AG24" s="54">
        <v>2.98E-2</v>
      </c>
      <c r="AH24" s="55">
        <v>0.16</v>
      </c>
      <c r="AI24" s="56">
        <v>5.24</v>
      </c>
      <c r="AJ24" s="76">
        <v>8627</v>
      </c>
      <c r="AK24" s="53">
        <v>749</v>
      </c>
      <c r="AL24" s="53">
        <v>67176</v>
      </c>
      <c r="AM24" s="54">
        <v>8.6800000000000002E-2</v>
      </c>
      <c r="AN24" s="55">
        <v>7.79</v>
      </c>
      <c r="AO24" s="56">
        <v>89.69</v>
      </c>
      <c r="AQ24" s="631" t="s">
        <v>25</v>
      </c>
      <c r="AR24" s="51">
        <v>46041</v>
      </c>
      <c r="AS24" s="71">
        <v>1665</v>
      </c>
      <c r="AT24" s="71">
        <v>62</v>
      </c>
      <c r="AU24" s="53">
        <v>360</v>
      </c>
      <c r="AV24" s="54">
        <v>3.7199999999999997E-2</v>
      </c>
      <c r="AW24" s="55">
        <v>0.22</v>
      </c>
      <c r="AX24" s="56">
        <v>5.81</v>
      </c>
      <c r="AY24" s="76">
        <v>1217</v>
      </c>
      <c r="AZ24" s="71">
        <v>43</v>
      </c>
      <c r="BA24" s="53">
        <v>185</v>
      </c>
      <c r="BB24" s="54">
        <v>3.5299999999999998E-2</v>
      </c>
      <c r="BC24" s="55">
        <v>0.15</v>
      </c>
      <c r="BD24" s="56">
        <v>4.3</v>
      </c>
      <c r="BE24" s="52">
        <v>448</v>
      </c>
      <c r="BF24" s="53">
        <v>19</v>
      </c>
      <c r="BG24" s="53">
        <v>175</v>
      </c>
      <c r="BH24" s="54">
        <v>4.24E-2</v>
      </c>
      <c r="BI24" s="55">
        <v>0.39</v>
      </c>
      <c r="BJ24" s="56">
        <v>9.2100000000000009</v>
      </c>
    </row>
    <row r="25" spans="1:62" ht="14.25" hidden="1" customHeight="1">
      <c r="A25" s="513"/>
      <c r="B25" s="51">
        <v>46042</v>
      </c>
      <c r="C25" s="153">
        <f t="shared" si="0"/>
        <v>11366</v>
      </c>
      <c r="D25" s="184">
        <f t="shared" si="1"/>
        <v>726</v>
      </c>
      <c r="E25" s="184">
        <f t="shared" si="2"/>
        <v>48091</v>
      </c>
      <c r="F25" s="54">
        <f t="shared" si="3"/>
        <v>6.3874714059475632E-2</v>
      </c>
      <c r="G25" s="55">
        <f t="shared" si="4"/>
        <v>4.2311279253915188</v>
      </c>
      <c r="H25" s="56">
        <f t="shared" si="5"/>
        <v>66.241046831955927</v>
      </c>
      <c r="I25" s="153">
        <f t="shared" si="6"/>
        <v>2340</v>
      </c>
      <c r="J25" s="184">
        <f t="shared" si="7"/>
        <v>96</v>
      </c>
      <c r="K25" s="184">
        <f t="shared" si="8"/>
        <v>395</v>
      </c>
      <c r="L25" s="54">
        <f t="shared" si="9"/>
        <v>4.1025641025641026E-2</v>
      </c>
      <c r="M25" s="55">
        <f t="shared" si="10"/>
        <v>0.16880341880341881</v>
      </c>
      <c r="N25" s="56">
        <f t="shared" si="11"/>
        <v>4.114583333333333</v>
      </c>
      <c r="O25" s="364">
        <f t="shared" si="12"/>
        <v>9026</v>
      </c>
      <c r="P25" s="184">
        <f t="shared" si="13"/>
        <v>630</v>
      </c>
      <c r="Q25" s="184">
        <f t="shared" si="14"/>
        <v>47696</v>
      </c>
      <c r="R25" s="54">
        <f t="shared" si="15"/>
        <v>6.9798360292488371E-2</v>
      </c>
      <c r="S25" s="55">
        <f t="shared" si="16"/>
        <v>5.2842898293817857</v>
      </c>
      <c r="T25" s="56">
        <f t="shared" si="17"/>
        <v>75.707936507936509</v>
      </c>
      <c r="V25" s="513"/>
      <c r="W25" s="51">
        <v>46042</v>
      </c>
      <c r="X25" s="369">
        <v>9818</v>
      </c>
      <c r="Y25" s="53">
        <v>654</v>
      </c>
      <c r="Z25" s="53">
        <v>47735</v>
      </c>
      <c r="AA25" s="54">
        <v>6.6600000000000006E-2</v>
      </c>
      <c r="AB25" s="55">
        <v>4.8600000000000003</v>
      </c>
      <c r="AC25" s="56">
        <v>72.989999999999995</v>
      </c>
      <c r="AD25" s="76">
        <v>1245</v>
      </c>
      <c r="AE25" s="71">
        <v>43</v>
      </c>
      <c r="AF25" s="53">
        <v>186</v>
      </c>
      <c r="AG25" s="54">
        <v>3.4500000000000003E-2</v>
      </c>
      <c r="AH25" s="55">
        <v>0.15</v>
      </c>
      <c r="AI25" s="56">
        <v>4.33</v>
      </c>
      <c r="AJ25" s="76">
        <v>8573</v>
      </c>
      <c r="AK25" s="53">
        <v>611</v>
      </c>
      <c r="AL25" s="53">
        <v>47549</v>
      </c>
      <c r="AM25" s="54">
        <v>7.1300000000000002E-2</v>
      </c>
      <c r="AN25" s="55">
        <v>5.55</v>
      </c>
      <c r="AO25" s="56">
        <v>77.819999999999993</v>
      </c>
      <c r="AQ25" s="513"/>
      <c r="AR25" s="51">
        <v>46042</v>
      </c>
      <c r="AS25" s="71">
        <v>1548</v>
      </c>
      <c r="AT25" s="71">
        <v>72</v>
      </c>
      <c r="AU25" s="53">
        <v>356</v>
      </c>
      <c r="AV25" s="54">
        <v>4.65E-2</v>
      </c>
      <c r="AW25" s="55">
        <v>0.23</v>
      </c>
      <c r="AX25" s="56">
        <v>4.9400000000000004</v>
      </c>
      <c r="AY25" s="76">
        <v>1095</v>
      </c>
      <c r="AZ25" s="71">
        <v>53</v>
      </c>
      <c r="BA25" s="53">
        <v>209</v>
      </c>
      <c r="BB25" s="54">
        <v>4.8399999999999999E-2</v>
      </c>
      <c r="BC25" s="55">
        <v>0.19</v>
      </c>
      <c r="BD25" s="56">
        <v>3.94</v>
      </c>
      <c r="BE25" s="52">
        <v>453</v>
      </c>
      <c r="BF25" s="53">
        <v>19</v>
      </c>
      <c r="BG25" s="53">
        <v>147</v>
      </c>
      <c r="BH25" s="54">
        <v>4.19E-2</v>
      </c>
      <c r="BI25" s="55">
        <v>0.32</v>
      </c>
      <c r="BJ25" s="56">
        <v>7.74</v>
      </c>
    </row>
    <row r="26" spans="1:62" ht="14.25" hidden="1" customHeight="1">
      <c r="A26" s="513"/>
      <c r="B26" s="51">
        <v>46043</v>
      </c>
      <c r="C26" s="153">
        <f t="shared" si="0"/>
        <v>10780</v>
      </c>
      <c r="D26" s="184">
        <f t="shared" si="1"/>
        <v>704</v>
      </c>
      <c r="E26" s="184">
        <f t="shared" si="2"/>
        <v>54424</v>
      </c>
      <c r="F26" s="54">
        <f t="shared" si="3"/>
        <v>6.5306122448979598E-2</v>
      </c>
      <c r="G26" s="55">
        <f t="shared" si="4"/>
        <v>5.0486085343228204</v>
      </c>
      <c r="H26" s="56">
        <f t="shared" si="5"/>
        <v>77.306818181818187</v>
      </c>
      <c r="I26" s="153">
        <f t="shared" si="6"/>
        <v>1853</v>
      </c>
      <c r="J26" s="184">
        <f t="shared" si="7"/>
        <v>61</v>
      </c>
      <c r="K26" s="184">
        <f t="shared" si="8"/>
        <v>388</v>
      </c>
      <c r="L26" s="54">
        <f t="shared" si="9"/>
        <v>3.2919589854290339E-2</v>
      </c>
      <c r="M26" s="55">
        <f t="shared" si="10"/>
        <v>0.20939017808958446</v>
      </c>
      <c r="N26" s="56">
        <f t="shared" si="11"/>
        <v>6.360655737704918</v>
      </c>
      <c r="O26" s="364">
        <f t="shared" si="12"/>
        <v>8927</v>
      </c>
      <c r="P26" s="184">
        <f t="shared" si="13"/>
        <v>643</v>
      </c>
      <c r="Q26" s="184">
        <f t="shared" si="14"/>
        <v>54036</v>
      </c>
      <c r="R26" s="54">
        <f t="shared" si="15"/>
        <v>7.2028677047160303E-2</v>
      </c>
      <c r="S26" s="55">
        <f t="shared" si="16"/>
        <v>6.053097345132743</v>
      </c>
      <c r="T26" s="56">
        <f t="shared" si="17"/>
        <v>84.037325038880255</v>
      </c>
      <c r="V26" s="513"/>
      <c r="W26" s="51">
        <v>46043</v>
      </c>
      <c r="X26" s="369">
        <v>9765</v>
      </c>
      <c r="Y26" s="53">
        <v>672</v>
      </c>
      <c r="Z26" s="53">
        <v>54209</v>
      </c>
      <c r="AA26" s="54">
        <v>6.88E-2</v>
      </c>
      <c r="AB26" s="55">
        <v>5.55</v>
      </c>
      <c r="AC26" s="56">
        <v>80.67</v>
      </c>
      <c r="AD26" s="76">
        <v>1194</v>
      </c>
      <c r="AE26" s="71">
        <v>38</v>
      </c>
      <c r="AF26" s="53">
        <v>304</v>
      </c>
      <c r="AG26" s="54">
        <v>3.1800000000000002E-2</v>
      </c>
      <c r="AH26" s="55">
        <v>0.25</v>
      </c>
      <c r="AI26" s="56">
        <v>8</v>
      </c>
      <c r="AJ26" s="76">
        <v>8571</v>
      </c>
      <c r="AK26" s="53">
        <v>634</v>
      </c>
      <c r="AL26" s="53">
        <v>53905</v>
      </c>
      <c r="AM26" s="54">
        <v>7.3999999999999996E-2</v>
      </c>
      <c r="AN26" s="55">
        <v>6.29</v>
      </c>
      <c r="AO26" s="56">
        <v>85.02</v>
      </c>
      <c r="AQ26" s="513"/>
      <c r="AR26" s="51">
        <v>46043</v>
      </c>
      <c r="AS26" s="71">
        <v>1015</v>
      </c>
      <c r="AT26" s="71">
        <v>32</v>
      </c>
      <c r="AU26" s="53">
        <v>215</v>
      </c>
      <c r="AV26" s="54">
        <v>3.15E-2</v>
      </c>
      <c r="AW26" s="55">
        <v>0.21</v>
      </c>
      <c r="AX26" s="56">
        <v>6.72</v>
      </c>
      <c r="AY26" s="76">
        <v>659</v>
      </c>
      <c r="AZ26" s="71">
        <v>23</v>
      </c>
      <c r="BA26" s="53">
        <v>84</v>
      </c>
      <c r="BB26" s="54">
        <v>3.49E-2</v>
      </c>
      <c r="BC26" s="55">
        <v>0.13</v>
      </c>
      <c r="BD26" s="56">
        <v>3.65</v>
      </c>
      <c r="BE26" s="57">
        <v>356</v>
      </c>
      <c r="BF26" s="53">
        <v>9</v>
      </c>
      <c r="BG26" s="53">
        <v>131</v>
      </c>
      <c r="BH26" s="54">
        <v>2.53E-2</v>
      </c>
      <c r="BI26" s="55">
        <v>0.37</v>
      </c>
      <c r="BJ26" s="56">
        <v>14.56</v>
      </c>
    </row>
    <row r="27" spans="1:62" ht="14.25" hidden="1" customHeight="1">
      <c r="A27" s="633" t="s">
        <v>26</v>
      </c>
      <c r="B27" s="58">
        <v>46044</v>
      </c>
      <c r="C27" s="159">
        <f t="shared" si="0"/>
        <v>11330</v>
      </c>
      <c r="D27" s="186">
        <f t="shared" si="1"/>
        <v>870</v>
      </c>
      <c r="E27" s="186">
        <f t="shared" si="2"/>
        <v>117551</v>
      </c>
      <c r="F27" s="61">
        <f t="shared" si="3"/>
        <v>7.6787290379523393E-2</v>
      </c>
      <c r="G27" s="62">
        <f t="shared" si="4"/>
        <v>10.375198587819947</v>
      </c>
      <c r="H27" s="63">
        <f t="shared" si="5"/>
        <v>135.11609195402298</v>
      </c>
      <c r="I27" s="159">
        <f t="shared" si="6"/>
        <v>2248</v>
      </c>
      <c r="J27" s="186">
        <f t="shared" si="7"/>
        <v>99</v>
      </c>
      <c r="K27" s="186">
        <f t="shared" si="8"/>
        <v>1073</v>
      </c>
      <c r="L27" s="61">
        <f t="shared" si="9"/>
        <v>4.4039145907473307E-2</v>
      </c>
      <c r="M27" s="62">
        <f t="shared" si="10"/>
        <v>0.47731316725978645</v>
      </c>
      <c r="N27" s="63">
        <f t="shared" si="11"/>
        <v>10.838383838383839</v>
      </c>
      <c r="O27" s="365">
        <f t="shared" si="12"/>
        <v>9082</v>
      </c>
      <c r="P27" s="186">
        <f t="shared" si="13"/>
        <v>771</v>
      </c>
      <c r="Q27" s="186">
        <f t="shared" si="14"/>
        <v>116478</v>
      </c>
      <c r="R27" s="61">
        <f t="shared" si="15"/>
        <v>8.4893195331424795E-2</v>
      </c>
      <c r="S27" s="62">
        <f t="shared" si="16"/>
        <v>12.82514864567276</v>
      </c>
      <c r="T27" s="63">
        <f t="shared" si="17"/>
        <v>151.0739299610895</v>
      </c>
      <c r="V27" s="628" t="s">
        <v>26</v>
      </c>
      <c r="W27" s="58">
        <v>46044</v>
      </c>
      <c r="X27" s="370">
        <v>9655</v>
      </c>
      <c r="Y27" s="60">
        <v>786</v>
      </c>
      <c r="Z27" s="60">
        <v>116851</v>
      </c>
      <c r="AA27" s="61">
        <v>8.14E-2</v>
      </c>
      <c r="AB27" s="62">
        <v>12.1</v>
      </c>
      <c r="AC27" s="63">
        <v>148.66999999999999</v>
      </c>
      <c r="AD27" s="331">
        <v>1091</v>
      </c>
      <c r="AE27" s="60">
        <v>37</v>
      </c>
      <c r="AF27" s="60">
        <v>750</v>
      </c>
      <c r="AG27" s="61">
        <v>3.39E-2</v>
      </c>
      <c r="AH27" s="62">
        <v>0.69</v>
      </c>
      <c r="AI27" s="63">
        <v>20.27</v>
      </c>
      <c r="AJ27" s="331">
        <v>8564</v>
      </c>
      <c r="AK27" s="60">
        <v>749</v>
      </c>
      <c r="AL27" s="60">
        <v>116101</v>
      </c>
      <c r="AM27" s="61">
        <v>8.7499999999999994E-2</v>
      </c>
      <c r="AN27" s="62">
        <v>13.56</v>
      </c>
      <c r="AO27" s="63">
        <v>155.01</v>
      </c>
      <c r="AQ27" s="632" t="s">
        <v>26</v>
      </c>
      <c r="AR27" s="58">
        <v>46044</v>
      </c>
      <c r="AS27" s="60">
        <v>1675</v>
      </c>
      <c r="AT27" s="60">
        <v>84</v>
      </c>
      <c r="AU27" s="60">
        <v>700</v>
      </c>
      <c r="AV27" s="61">
        <v>5.0099999999999999E-2</v>
      </c>
      <c r="AW27" s="62">
        <v>0.42</v>
      </c>
      <c r="AX27" s="63">
        <v>8.33</v>
      </c>
      <c r="AY27" s="331">
        <v>1157</v>
      </c>
      <c r="AZ27" s="60">
        <v>62</v>
      </c>
      <c r="BA27" s="60">
        <v>323</v>
      </c>
      <c r="BB27" s="61">
        <v>5.3600000000000002E-2</v>
      </c>
      <c r="BC27" s="62">
        <v>0.28000000000000003</v>
      </c>
      <c r="BD27" s="63">
        <v>5.21</v>
      </c>
      <c r="BE27" s="59">
        <v>518</v>
      </c>
      <c r="BF27" s="60">
        <v>22</v>
      </c>
      <c r="BG27" s="60">
        <v>377</v>
      </c>
      <c r="BH27" s="61">
        <v>4.2500000000000003E-2</v>
      </c>
      <c r="BI27" s="62">
        <v>0.73</v>
      </c>
      <c r="BJ27" s="63">
        <v>17.14</v>
      </c>
    </row>
    <row r="28" spans="1:62" ht="14.25" hidden="1" customHeight="1">
      <c r="A28" s="504"/>
      <c r="B28" s="58">
        <v>46045</v>
      </c>
      <c r="C28" s="159">
        <f t="shared" si="0"/>
        <v>11161</v>
      </c>
      <c r="D28" s="186">
        <f t="shared" si="1"/>
        <v>761</v>
      </c>
      <c r="E28" s="186">
        <f t="shared" si="2"/>
        <v>123473</v>
      </c>
      <c r="F28" s="61">
        <f t="shared" si="3"/>
        <v>6.8183854493324966E-2</v>
      </c>
      <c r="G28" s="62">
        <f t="shared" si="4"/>
        <v>11.0628975898217</v>
      </c>
      <c r="H28" s="63">
        <f t="shared" si="5"/>
        <v>162.25098554533508</v>
      </c>
      <c r="I28" s="159">
        <f t="shared" si="6"/>
        <v>2196</v>
      </c>
      <c r="J28" s="186">
        <f t="shared" si="7"/>
        <v>83</v>
      </c>
      <c r="K28" s="186">
        <f t="shared" si="8"/>
        <v>2437</v>
      </c>
      <c r="L28" s="61">
        <f t="shared" si="9"/>
        <v>3.7795992714025499E-2</v>
      </c>
      <c r="M28" s="62">
        <f t="shared" si="10"/>
        <v>1.1097449908925319</v>
      </c>
      <c r="N28" s="63">
        <f t="shared" si="11"/>
        <v>29.361445783132531</v>
      </c>
      <c r="O28" s="365">
        <f t="shared" si="12"/>
        <v>8965</v>
      </c>
      <c r="P28" s="186">
        <f t="shared" si="13"/>
        <v>678</v>
      </c>
      <c r="Q28" s="186">
        <f t="shared" si="14"/>
        <v>121036</v>
      </c>
      <c r="R28" s="61">
        <f t="shared" si="15"/>
        <v>7.5627440044617952E-2</v>
      </c>
      <c r="S28" s="62">
        <f t="shared" si="16"/>
        <v>13.500948131622978</v>
      </c>
      <c r="T28" s="63">
        <f t="shared" si="17"/>
        <v>178.51917404129793</v>
      </c>
      <c r="V28" s="504"/>
      <c r="W28" s="58">
        <v>46045</v>
      </c>
      <c r="X28" s="370">
        <v>9627</v>
      </c>
      <c r="Y28" s="60">
        <v>676</v>
      </c>
      <c r="Z28" s="60">
        <v>122676</v>
      </c>
      <c r="AA28" s="61">
        <v>7.0199999999999999E-2</v>
      </c>
      <c r="AB28" s="62">
        <v>12.74</v>
      </c>
      <c r="AC28" s="63">
        <v>181.47</v>
      </c>
      <c r="AD28" s="331">
        <v>1134</v>
      </c>
      <c r="AE28" s="60">
        <v>28</v>
      </c>
      <c r="AF28" s="60">
        <v>1868</v>
      </c>
      <c r="AG28" s="61">
        <v>2.47E-2</v>
      </c>
      <c r="AH28" s="62">
        <v>1.65</v>
      </c>
      <c r="AI28" s="63">
        <v>66.709999999999994</v>
      </c>
      <c r="AJ28" s="331">
        <v>8493</v>
      </c>
      <c r="AK28" s="60">
        <v>648</v>
      </c>
      <c r="AL28" s="60">
        <v>120808</v>
      </c>
      <c r="AM28" s="61">
        <v>7.6300000000000007E-2</v>
      </c>
      <c r="AN28" s="62">
        <v>14.22</v>
      </c>
      <c r="AO28" s="63">
        <v>186.43</v>
      </c>
      <c r="AQ28" s="504"/>
      <c r="AR28" s="58">
        <v>46045</v>
      </c>
      <c r="AS28" s="60">
        <v>1534</v>
      </c>
      <c r="AT28" s="60">
        <v>85</v>
      </c>
      <c r="AU28" s="60">
        <v>797</v>
      </c>
      <c r="AV28" s="61">
        <v>5.5399999999999998E-2</v>
      </c>
      <c r="AW28" s="62">
        <v>0.52</v>
      </c>
      <c r="AX28" s="63">
        <v>9.3800000000000008</v>
      </c>
      <c r="AY28" s="331">
        <v>1062</v>
      </c>
      <c r="AZ28" s="60">
        <v>55</v>
      </c>
      <c r="BA28" s="60">
        <v>569</v>
      </c>
      <c r="BB28" s="61">
        <v>5.1799999999999999E-2</v>
      </c>
      <c r="BC28" s="62">
        <v>0.54</v>
      </c>
      <c r="BD28" s="63">
        <v>10.35</v>
      </c>
      <c r="BE28" s="59">
        <v>472</v>
      </c>
      <c r="BF28" s="60">
        <v>30</v>
      </c>
      <c r="BG28" s="60">
        <v>228</v>
      </c>
      <c r="BH28" s="61">
        <v>6.3600000000000004E-2</v>
      </c>
      <c r="BI28" s="62">
        <v>0.48</v>
      </c>
      <c r="BJ28" s="63">
        <v>7.6</v>
      </c>
    </row>
    <row r="29" spans="1:62" ht="13.35" hidden="1" customHeight="1">
      <c r="A29" s="504"/>
      <c r="B29" s="58">
        <v>46046</v>
      </c>
      <c r="C29" s="159">
        <f t="shared" si="0"/>
        <v>11525</v>
      </c>
      <c r="D29" s="186">
        <f t="shared" si="1"/>
        <v>784</v>
      </c>
      <c r="E29" s="186">
        <f t="shared" si="2"/>
        <v>109114</v>
      </c>
      <c r="F29" s="61">
        <f t="shared" si="3"/>
        <v>6.8026030368763563E-2</v>
      </c>
      <c r="G29" s="62">
        <f t="shared" si="4"/>
        <v>9.4675921908893717</v>
      </c>
      <c r="H29" s="63">
        <f t="shared" si="5"/>
        <v>139.17602040816325</v>
      </c>
      <c r="I29" s="159">
        <f t="shared" si="6"/>
        <v>2317</v>
      </c>
      <c r="J29" s="186">
        <f t="shared" si="7"/>
        <v>69</v>
      </c>
      <c r="K29" s="186">
        <f t="shared" si="8"/>
        <v>625</v>
      </c>
      <c r="L29" s="61">
        <f t="shared" si="9"/>
        <v>2.9779887785930083E-2</v>
      </c>
      <c r="M29" s="62">
        <f t="shared" si="10"/>
        <v>0.26974536037980146</v>
      </c>
      <c r="N29" s="63">
        <f t="shared" si="11"/>
        <v>9.0579710144927539</v>
      </c>
      <c r="O29" s="365">
        <f t="shared" si="12"/>
        <v>9208</v>
      </c>
      <c r="P29" s="186">
        <f t="shared" si="13"/>
        <v>715</v>
      </c>
      <c r="Q29" s="186">
        <f t="shared" si="14"/>
        <v>108489</v>
      </c>
      <c r="R29" s="61">
        <f t="shared" si="15"/>
        <v>7.7649869678540401E-2</v>
      </c>
      <c r="S29" s="62">
        <f t="shared" si="16"/>
        <v>11.782037358818419</v>
      </c>
      <c r="T29" s="63">
        <f t="shared" si="17"/>
        <v>151.73286713286714</v>
      </c>
      <c r="V29" s="504"/>
      <c r="W29" s="58">
        <v>46046</v>
      </c>
      <c r="X29" s="370">
        <v>9987</v>
      </c>
      <c r="Y29" s="60">
        <v>725</v>
      </c>
      <c r="Z29" s="60">
        <v>108487</v>
      </c>
      <c r="AA29" s="61">
        <v>7.2599999999999998E-2</v>
      </c>
      <c r="AB29" s="62">
        <v>10.86</v>
      </c>
      <c r="AC29" s="63">
        <v>149.63999999999999</v>
      </c>
      <c r="AD29" s="331">
        <v>1237</v>
      </c>
      <c r="AE29" s="60">
        <v>32</v>
      </c>
      <c r="AF29" s="60">
        <v>226</v>
      </c>
      <c r="AG29" s="61">
        <v>2.5899999999999999E-2</v>
      </c>
      <c r="AH29" s="62">
        <v>0.18</v>
      </c>
      <c r="AI29" s="63">
        <v>7.06</v>
      </c>
      <c r="AJ29" s="331">
        <v>8750</v>
      </c>
      <c r="AK29" s="60">
        <v>693</v>
      </c>
      <c r="AL29" s="60">
        <v>108261</v>
      </c>
      <c r="AM29" s="61">
        <v>7.9200000000000007E-2</v>
      </c>
      <c r="AN29" s="62">
        <v>12.37</v>
      </c>
      <c r="AO29" s="63">
        <v>156.22</v>
      </c>
      <c r="AQ29" s="504"/>
      <c r="AR29" s="58">
        <v>46046</v>
      </c>
      <c r="AS29" s="60">
        <v>1538</v>
      </c>
      <c r="AT29" s="60">
        <v>59</v>
      </c>
      <c r="AU29" s="60">
        <v>627</v>
      </c>
      <c r="AV29" s="61">
        <v>3.8399999999999997E-2</v>
      </c>
      <c r="AW29" s="62">
        <v>0.41</v>
      </c>
      <c r="AX29" s="63">
        <v>10.63</v>
      </c>
      <c r="AY29" s="331">
        <v>1080</v>
      </c>
      <c r="AZ29" s="60">
        <v>37</v>
      </c>
      <c r="BA29" s="60">
        <v>399</v>
      </c>
      <c r="BB29" s="61">
        <v>3.4299999999999997E-2</v>
      </c>
      <c r="BC29" s="62">
        <v>0.37</v>
      </c>
      <c r="BD29" s="63">
        <v>10.78</v>
      </c>
      <c r="BE29" s="59">
        <v>458</v>
      </c>
      <c r="BF29" s="60">
        <v>22</v>
      </c>
      <c r="BG29" s="60">
        <v>228</v>
      </c>
      <c r="BH29" s="61">
        <v>4.8000000000000001E-2</v>
      </c>
      <c r="BI29" s="62">
        <v>0.5</v>
      </c>
      <c r="BJ29" s="63">
        <v>10.36</v>
      </c>
    </row>
    <row r="30" spans="1:62" ht="14.25" hidden="1" customHeight="1">
      <c r="B30" s="23">
        <v>46047</v>
      </c>
      <c r="C30" s="177">
        <f t="shared" si="0"/>
        <v>11483</v>
      </c>
      <c r="D30" s="178">
        <f t="shared" si="1"/>
        <v>652</v>
      </c>
      <c r="E30" s="178">
        <f t="shared" si="2"/>
        <v>36658</v>
      </c>
      <c r="F30" s="26">
        <f t="shared" si="3"/>
        <v>5.6779587215884351E-2</v>
      </c>
      <c r="G30" s="27">
        <f t="shared" si="4"/>
        <v>3.1923713315335713</v>
      </c>
      <c r="H30" s="28">
        <f t="shared" si="5"/>
        <v>56.223926380368098</v>
      </c>
      <c r="I30" s="177">
        <f t="shared" si="6"/>
        <v>2369</v>
      </c>
      <c r="J30" s="178">
        <f t="shared" si="7"/>
        <v>91</v>
      </c>
      <c r="K30" s="178">
        <f t="shared" si="8"/>
        <v>849</v>
      </c>
      <c r="L30" s="26">
        <f t="shared" si="9"/>
        <v>3.8412832418742084E-2</v>
      </c>
      <c r="M30" s="27">
        <f t="shared" si="10"/>
        <v>0.35837906289573662</v>
      </c>
      <c r="N30" s="28">
        <f t="shared" si="11"/>
        <v>9.3296703296703303</v>
      </c>
      <c r="O30" s="363">
        <f t="shared" si="12"/>
        <v>9114</v>
      </c>
      <c r="P30" s="178">
        <f t="shared" si="13"/>
        <v>561</v>
      </c>
      <c r="Q30" s="178">
        <f t="shared" si="14"/>
        <v>35809</v>
      </c>
      <c r="R30" s="26">
        <f t="shared" si="15"/>
        <v>6.1553653719552334E-2</v>
      </c>
      <c r="S30" s="27">
        <f t="shared" si="16"/>
        <v>3.9290103138029404</v>
      </c>
      <c r="T30" s="28">
        <f t="shared" si="17"/>
        <v>63.830659536541887</v>
      </c>
      <c r="W30" s="23">
        <v>46047</v>
      </c>
      <c r="X30" s="368">
        <v>9783</v>
      </c>
      <c r="Y30" s="25">
        <v>567</v>
      </c>
      <c r="Z30" s="25">
        <v>35350</v>
      </c>
      <c r="AA30" s="26">
        <v>5.8000000000000003E-2</v>
      </c>
      <c r="AB30" s="27">
        <v>3.61</v>
      </c>
      <c r="AC30" s="28">
        <v>62.35</v>
      </c>
      <c r="AD30" s="24">
        <v>1187</v>
      </c>
      <c r="AE30" s="25">
        <v>37</v>
      </c>
      <c r="AF30" s="25">
        <v>128</v>
      </c>
      <c r="AG30" s="26">
        <v>3.1199999999999999E-2</v>
      </c>
      <c r="AH30" s="27">
        <v>0.11</v>
      </c>
      <c r="AI30" s="28">
        <v>3.46</v>
      </c>
      <c r="AJ30" s="24">
        <v>8596</v>
      </c>
      <c r="AK30" s="25">
        <v>530</v>
      </c>
      <c r="AL30" s="25">
        <v>35222</v>
      </c>
      <c r="AM30" s="26">
        <v>6.1699999999999998E-2</v>
      </c>
      <c r="AN30" s="27">
        <v>4.0999999999999996</v>
      </c>
      <c r="AO30" s="28">
        <v>66.459999999999994</v>
      </c>
      <c r="AR30" s="23">
        <v>46047</v>
      </c>
      <c r="AS30" s="25">
        <v>1700</v>
      </c>
      <c r="AT30" s="25">
        <v>85</v>
      </c>
      <c r="AU30" s="25">
        <v>1308</v>
      </c>
      <c r="AV30" s="26">
        <v>0.05</v>
      </c>
      <c r="AW30" s="27">
        <v>0.77</v>
      </c>
      <c r="AX30" s="28">
        <v>15.39</v>
      </c>
      <c r="AY30" s="24">
        <v>1182</v>
      </c>
      <c r="AZ30" s="25">
        <v>54</v>
      </c>
      <c r="BA30" s="25">
        <v>721</v>
      </c>
      <c r="BB30" s="26">
        <v>4.5699999999999998E-2</v>
      </c>
      <c r="BC30" s="27">
        <v>0.61</v>
      </c>
      <c r="BD30" s="28">
        <v>13.35</v>
      </c>
      <c r="BE30" s="42">
        <v>518</v>
      </c>
      <c r="BF30" s="25">
        <v>31</v>
      </c>
      <c r="BG30" s="25">
        <v>587</v>
      </c>
      <c r="BH30" s="26">
        <v>5.9799999999999999E-2</v>
      </c>
      <c r="BI30" s="27">
        <v>1.1299999999999999</v>
      </c>
      <c r="BJ30" s="28">
        <v>18.940000000000001</v>
      </c>
    </row>
    <row r="31" spans="1:62" ht="14.25" hidden="1" customHeight="1">
      <c r="B31" s="23">
        <v>46048</v>
      </c>
      <c r="C31" s="177">
        <f t="shared" si="0"/>
        <v>10929</v>
      </c>
      <c r="D31" s="178">
        <f t="shared" si="1"/>
        <v>700</v>
      </c>
      <c r="E31" s="64">
        <f t="shared" si="2"/>
        <v>48370</v>
      </c>
      <c r="F31" s="26">
        <f t="shared" si="3"/>
        <v>6.4049775825784611E-2</v>
      </c>
      <c r="G31" s="27">
        <f t="shared" si="4"/>
        <v>4.4258395095617162</v>
      </c>
      <c r="H31" s="28">
        <f t="shared" si="5"/>
        <v>69.099999999999994</v>
      </c>
      <c r="I31" s="177">
        <f t="shared" si="6"/>
        <v>2038</v>
      </c>
      <c r="J31" s="178">
        <f t="shared" si="7"/>
        <v>92</v>
      </c>
      <c r="K31" s="64">
        <f t="shared" si="8"/>
        <v>2051</v>
      </c>
      <c r="L31" s="26">
        <f t="shared" si="9"/>
        <v>4.5142296368989206E-2</v>
      </c>
      <c r="M31" s="27">
        <f t="shared" si="10"/>
        <v>1.006378802747792</v>
      </c>
      <c r="N31" s="28">
        <f t="shared" si="11"/>
        <v>22.293478260869566</v>
      </c>
      <c r="O31" s="363">
        <f t="shared" si="12"/>
        <v>8891</v>
      </c>
      <c r="P31" s="178">
        <f t="shared" si="13"/>
        <v>608</v>
      </c>
      <c r="Q31" s="64">
        <f t="shared" si="14"/>
        <v>46319</v>
      </c>
      <c r="R31" s="26">
        <f t="shared" si="15"/>
        <v>6.8383758857271396E-2</v>
      </c>
      <c r="S31" s="27">
        <f t="shared" si="16"/>
        <v>5.2096502080755824</v>
      </c>
      <c r="T31" s="28">
        <f t="shared" si="17"/>
        <v>76.182565789473685</v>
      </c>
      <c r="W31" s="23">
        <v>46048</v>
      </c>
      <c r="X31" s="368">
        <v>9654</v>
      </c>
      <c r="Y31" s="25">
        <v>624</v>
      </c>
      <c r="Z31" s="64">
        <v>46070</v>
      </c>
      <c r="AA31" s="26">
        <v>6.4600000000000005E-2</v>
      </c>
      <c r="AB31" s="27">
        <v>4.7699999999999996</v>
      </c>
      <c r="AC31" s="28">
        <v>73.83</v>
      </c>
      <c r="AD31" s="24">
        <v>1124</v>
      </c>
      <c r="AE31" s="25">
        <v>35</v>
      </c>
      <c r="AF31" s="64">
        <v>448</v>
      </c>
      <c r="AG31" s="26">
        <v>3.1099999999999999E-2</v>
      </c>
      <c r="AH31" s="27">
        <v>0.4</v>
      </c>
      <c r="AI31" s="28">
        <v>12.8</v>
      </c>
      <c r="AJ31" s="24">
        <v>8530</v>
      </c>
      <c r="AK31" s="25">
        <v>589</v>
      </c>
      <c r="AL31" s="64">
        <v>45622</v>
      </c>
      <c r="AM31" s="26">
        <v>6.9099999999999995E-2</v>
      </c>
      <c r="AN31" s="27">
        <v>5.35</v>
      </c>
      <c r="AO31" s="28">
        <v>77.459999999999994</v>
      </c>
      <c r="AR31" s="23">
        <v>46048</v>
      </c>
      <c r="AS31" s="25">
        <v>1275</v>
      </c>
      <c r="AT31" s="25">
        <v>76</v>
      </c>
      <c r="AU31" s="64">
        <v>2300</v>
      </c>
      <c r="AV31" s="26">
        <v>5.96E-2</v>
      </c>
      <c r="AW31" s="27">
        <v>1.8</v>
      </c>
      <c r="AX31" s="28">
        <v>30.26</v>
      </c>
      <c r="AY31" s="24">
        <v>914</v>
      </c>
      <c r="AZ31" s="25">
        <v>57</v>
      </c>
      <c r="BA31" s="64">
        <v>1603</v>
      </c>
      <c r="BB31" s="26">
        <v>6.2399999999999997E-2</v>
      </c>
      <c r="BC31" s="27">
        <v>1.75</v>
      </c>
      <c r="BD31" s="28">
        <v>28.12</v>
      </c>
      <c r="BE31" s="24">
        <v>361</v>
      </c>
      <c r="BF31" s="25">
        <v>19</v>
      </c>
      <c r="BG31" s="64">
        <v>697</v>
      </c>
      <c r="BH31" s="26">
        <v>5.2600000000000001E-2</v>
      </c>
      <c r="BI31" s="27">
        <v>1.93</v>
      </c>
      <c r="BJ31" s="28">
        <v>36.68</v>
      </c>
    </row>
    <row r="32" spans="1:62" ht="14.25" hidden="1" customHeight="1">
      <c r="A32" s="603" t="s">
        <v>27</v>
      </c>
      <c r="B32" s="88">
        <v>46049</v>
      </c>
      <c r="C32" s="153">
        <f t="shared" si="0"/>
        <v>10427</v>
      </c>
      <c r="D32" s="184">
        <f t="shared" si="1"/>
        <v>1032</v>
      </c>
      <c r="E32" s="65">
        <f t="shared" si="2"/>
        <v>128288</v>
      </c>
      <c r="F32" s="54">
        <f t="shared" si="3"/>
        <v>9.897381797257121E-2</v>
      </c>
      <c r="G32" s="55">
        <f t="shared" si="4"/>
        <v>12.303442984559316</v>
      </c>
      <c r="H32" s="56">
        <f t="shared" si="5"/>
        <v>124.31007751937985</v>
      </c>
      <c r="I32" s="153">
        <f t="shared" si="6"/>
        <v>1838</v>
      </c>
      <c r="J32" s="184">
        <f t="shared" si="7"/>
        <v>80</v>
      </c>
      <c r="K32" s="65">
        <f t="shared" si="8"/>
        <v>771</v>
      </c>
      <c r="L32" s="54">
        <f t="shared" si="9"/>
        <v>4.3525571273122961E-2</v>
      </c>
      <c r="M32" s="55">
        <f t="shared" si="10"/>
        <v>0.41947769314472255</v>
      </c>
      <c r="N32" s="56">
        <f t="shared" si="11"/>
        <v>9.6374999999999993</v>
      </c>
      <c r="O32" s="364">
        <f t="shared" si="12"/>
        <v>8589</v>
      </c>
      <c r="P32" s="184">
        <f t="shared" si="13"/>
        <v>952</v>
      </c>
      <c r="Q32" s="65">
        <f t="shared" si="14"/>
        <v>127517</v>
      </c>
      <c r="R32" s="54">
        <f t="shared" si="15"/>
        <v>0.11083944580277098</v>
      </c>
      <c r="S32" s="55">
        <f t="shared" si="16"/>
        <v>14.846547910117593</v>
      </c>
      <c r="T32" s="56">
        <f t="shared" si="17"/>
        <v>133.94642857142858</v>
      </c>
      <c r="V32" s="604" t="s">
        <v>27</v>
      </c>
      <c r="W32" s="88">
        <v>46049</v>
      </c>
      <c r="X32" s="369">
        <v>9103</v>
      </c>
      <c r="Y32" s="53">
        <v>949</v>
      </c>
      <c r="Z32" s="65">
        <v>127178</v>
      </c>
      <c r="AA32" s="54">
        <v>0.1043</v>
      </c>
      <c r="AB32" s="55">
        <v>13.97</v>
      </c>
      <c r="AC32" s="56">
        <v>134.01</v>
      </c>
      <c r="AD32" s="76">
        <v>888</v>
      </c>
      <c r="AE32" s="71">
        <v>30</v>
      </c>
      <c r="AF32" s="65">
        <v>214</v>
      </c>
      <c r="AG32" s="54">
        <v>3.3799999999999997E-2</v>
      </c>
      <c r="AH32" s="55">
        <v>0.24</v>
      </c>
      <c r="AI32" s="56">
        <v>7.13</v>
      </c>
      <c r="AJ32" s="76">
        <v>8215</v>
      </c>
      <c r="AK32" s="53">
        <v>919</v>
      </c>
      <c r="AL32" s="65">
        <v>126964</v>
      </c>
      <c r="AM32" s="54">
        <v>0.1119</v>
      </c>
      <c r="AN32" s="55">
        <v>15.46</v>
      </c>
      <c r="AO32" s="56">
        <v>138.15</v>
      </c>
      <c r="AQ32" s="605" t="s">
        <v>27</v>
      </c>
      <c r="AR32" s="88">
        <v>46049</v>
      </c>
      <c r="AS32" s="71">
        <v>1324</v>
      </c>
      <c r="AT32" s="71">
        <v>83</v>
      </c>
      <c r="AU32" s="65">
        <v>1110</v>
      </c>
      <c r="AV32" s="54">
        <v>6.2700000000000006E-2</v>
      </c>
      <c r="AW32" s="55">
        <v>0.84</v>
      </c>
      <c r="AX32" s="56">
        <v>13.37</v>
      </c>
      <c r="AY32" s="76">
        <v>950</v>
      </c>
      <c r="AZ32" s="71">
        <v>50</v>
      </c>
      <c r="BA32" s="65">
        <v>557</v>
      </c>
      <c r="BB32" s="54">
        <v>5.2600000000000001E-2</v>
      </c>
      <c r="BC32" s="55">
        <v>0.59</v>
      </c>
      <c r="BD32" s="56">
        <v>11.14</v>
      </c>
      <c r="BE32" s="57">
        <v>374</v>
      </c>
      <c r="BF32" s="53">
        <v>33</v>
      </c>
      <c r="BG32" s="65">
        <v>553</v>
      </c>
      <c r="BH32" s="54">
        <v>8.8200000000000001E-2</v>
      </c>
      <c r="BI32" s="55">
        <v>1.48</v>
      </c>
      <c r="BJ32" s="56">
        <v>16.760000000000002</v>
      </c>
    </row>
    <row r="33" spans="1:62" ht="14.25" hidden="1" customHeight="1">
      <c r="A33" s="502"/>
      <c r="B33" s="88">
        <v>46050</v>
      </c>
      <c r="C33" s="153">
        <f t="shared" si="0"/>
        <v>10442</v>
      </c>
      <c r="D33" s="184">
        <f t="shared" si="1"/>
        <v>855</v>
      </c>
      <c r="E33" s="65">
        <f t="shared" si="2"/>
        <v>99419</v>
      </c>
      <c r="F33" s="54">
        <f t="shared" si="3"/>
        <v>8.1880865734533612E-2</v>
      </c>
      <c r="G33" s="55">
        <f t="shared" si="4"/>
        <v>9.5210687607737974</v>
      </c>
      <c r="H33" s="56">
        <f t="shared" si="5"/>
        <v>116.27953216374269</v>
      </c>
      <c r="I33" s="153">
        <f t="shared" si="6"/>
        <v>1754</v>
      </c>
      <c r="J33" s="184">
        <f t="shared" si="7"/>
        <v>64</v>
      </c>
      <c r="K33" s="65">
        <f t="shared" si="8"/>
        <v>369</v>
      </c>
      <c r="L33" s="54">
        <f t="shared" si="9"/>
        <v>3.6488027366020526E-2</v>
      </c>
      <c r="M33" s="55">
        <f t="shared" si="10"/>
        <v>0.2103762827822121</v>
      </c>
      <c r="N33" s="56">
        <f t="shared" si="11"/>
        <v>5.765625</v>
      </c>
      <c r="O33" s="364">
        <f t="shared" si="12"/>
        <v>8688</v>
      </c>
      <c r="P33" s="184">
        <f t="shared" si="13"/>
        <v>791</v>
      </c>
      <c r="Q33" s="65">
        <f t="shared" si="14"/>
        <v>99050</v>
      </c>
      <c r="R33" s="54">
        <f t="shared" si="15"/>
        <v>9.1045119705340696E-2</v>
      </c>
      <c r="S33" s="55">
        <f t="shared" si="16"/>
        <v>11.400782688766114</v>
      </c>
      <c r="T33" s="56">
        <f t="shared" si="17"/>
        <v>125.22123893805309</v>
      </c>
      <c r="V33" s="502"/>
      <c r="W33" s="88">
        <v>46050</v>
      </c>
      <c r="X33" s="369">
        <v>9312</v>
      </c>
      <c r="Y33" s="66">
        <v>806</v>
      </c>
      <c r="Z33" s="67">
        <v>98541</v>
      </c>
      <c r="AA33" s="68">
        <v>8.6599999999999996E-2</v>
      </c>
      <c r="AB33" s="69">
        <v>10.58</v>
      </c>
      <c r="AC33" s="70">
        <v>122.26</v>
      </c>
      <c r="AD33" s="76">
        <v>1006</v>
      </c>
      <c r="AE33" s="71">
        <v>36</v>
      </c>
      <c r="AF33" s="67">
        <v>247</v>
      </c>
      <c r="AG33" s="68">
        <v>3.5799999999999998E-2</v>
      </c>
      <c r="AH33" s="69">
        <v>0.25</v>
      </c>
      <c r="AI33" s="70">
        <v>6.86</v>
      </c>
      <c r="AJ33" s="76">
        <v>8306</v>
      </c>
      <c r="AK33" s="66">
        <v>770</v>
      </c>
      <c r="AL33" s="67">
        <v>98294</v>
      </c>
      <c r="AM33" s="68">
        <v>9.2700000000000005E-2</v>
      </c>
      <c r="AN33" s="69">
        <v>11.83</v>
      </c>
      <c r="AO33" s="70">
        <v>127.65</v>
      </c>
      <c r="AQ33" s="502"/>
      <c r="AR33" s="88">
        <v>46050</v>
      </c>
      <c r="AS33" s="71">
        <v>1130</v>
      </c>
      <c r="AT33" s="71">
        <v>49</v>
      </c>
      <c r="AU33" s="65">
        <v>878</v>
      </c>
      <c r="AV33" s="54">
        <v>4.3400000000000001E-2</v>
      </c>
      <c r="AW33" s="55">
        <v>0.78</v>
      </c>
      <c r="AX33" s="56">
        <v>17.920000000000002</v>
      </c>
      <c r="AY33" s="76">
        <v>748</v>
      </c>
      <c r="AZ33" s="71">
        <v>28</v>
      </c>
      <c r="BA33" s="65">
        <v>122</v>
      </c>
      <c r="BB33" s="54">
        <v>3.7400000000000003E-2</v>
      </c>
      <c r="BC33" s="55">
        <v>0.16</v>
      </c>
      <c r="BD33" s="56">
        <v>4.3600000000000003</v>
      </c>
      <c r="BE33" s="57">
        <v>382</v>
      </c>
      <c r="BF33" s="53">
        <v>21</v>
      </c>
      <c r="BG33" s="65">
        <v>756</v>
      </c>
      <c r="BH33" s="54">
        <v>5.5E-2</v>
      </c>
      <c r="BI33" s="55">
        <v>1.98</v>
      </c>
      <c r="BJ33" s="56">
        <v>36</v>
      </c>
    </row>
    <row r="34" spans="1:62" ht="14.25" hidden="1" customHeight="1">
      <c r="A34" s="502"/>
      <c r="B34" s="88">
        <v>46051</v>
      </c>
      <c r="C34" s="153">
        <f t="shared" si="0"/>
        <v>10742</v>
      </c>
      <c r="D34" s="184">
        <f t="shared" si="1"/>
        <v>1129</v>
      </c>
      <c r="E34" s="72">
        <f t="shared" si="2"/>
        <v>116578</v>
      </c>
      <c r="F34" s="73">
        <f t="shared" si="3"/>
        <v>0.10510147086203686</v>
      </c>
      <c r="G34" s="74">
        <f t="shared" si="4"/>
        <v>10.85254142617762</v>
      </c>
      <c r="H34" s="75">
        <f t="shared" si="5"/>
        <v>103.2577502214349</v>
      </c>
      <c r="I34" s="153">
        <f t="shared" si="6"/>
        <v>1963</v>
      </c>
      <c r="J34" s="184">
        <f t="shared" si="7"/>
        <v>69</v>
      </c>
      <c r="K34" s="72">
        <f t="shared" si="8"/>
        <v>362</v>
      </c>
      <c r="L34" s="73">
        <f t="shared" si="9"/>
        <v>3.5150280183392765E-2</v>
      </c>
      <c r="M34" s="74">
        <f t="shared" si="10"/>
        <v>0.18441161487519103</v>
      </c>
      <c r="N34" s="75">
        <f t="shared" si="11"/>
        <v>5.2463768115942031</v>
      </c>
      <c r="O34" s="364">
        <f t="shared" si="12"/>
        <v>8779</v>
      </c>
      <c r="P34" s="184">
        <f t="shared" si="13"/>
        <v>1060</v>
      </c>
      <c r="Q34" s="72">
        <f t="shared" si="14"/>
        <v>116216</v>
      </c>
      <c r="R34" s="73">
        <f t="shared" si="15"/>
        <v>0.12074268139879257</v>
      </c>
      <c r="S34" s="74">
        <f t="shared" si="16"/>
        <v>13.23795420890762</v>
      </c>
      <c r="T34" s="75">
        <f t="shared" si="17"/>
        <v>109.6377358490566</v>
      </c>
      <c r="V34" s="502"/>
      <c r="W34" s="88">
        <v>46051</v>
      </c>
      <c r="X34" s="369">
        <v>9540</v>
      </c>
      <c r="Y34" s="71">
        <v>1073</v>
      </c>
      <c r="Z34" s="72">
        <v>115795</v>
      </c>
      <c r="AA34" s="73">
        <v>0.1125</v>
      </c>
      <c r="AB34" s="74">
        <v>12.14</v>
      </c>
      <c r="AC34" s="75">
        <v>107.92</v>
      </c>
      <c r="AD34" s="76">
        <v>1164</v>
      </c>
      <c r="AE34" s="71">
        <v>40</v>
      </c>
      <c r="AF34" s="72">
        <v>205</v>
      </c>
      <c r="AG34" s="73">
        <v>3.44E-2</v>
      </c>
      <c r="AH34" s="74">
        <v>0.18</v>
      </c>
      <c r="AI34" s="75">
        <v>5.13</v>
      </c>
      <c r="AJ34" s="76">
        <v>8376</v>
      </c>
      <c r="AK34" s="71">
        <v>1033</v>
      </c>
      <c r="AL34" s="72">
        <v>115590</v>
      </c>
      <c r="AM34" s="73">
        <v>0.12330000000000001</v>
      </c>
      <c r="AN34" s="74">
        <v>13.8</v>
      </c>
      <c r="AO34" s="75">
        <v>111.9</v>
      </c>
      <c r="AQ34" s="502"/>
      <c r="AR34" s="88">
        <v>46051</v>
      </c>
      <c r="AS34" s="71">
        <v>1202</v>
      </c>
      <c r="AT34" s="71">
        <v>56</v>
      </c>
      <c r="AU34" s="72">
        <v>783</v>
      </c>
      <c r="AV34" s="73">
        <v>4.6600000000000003E-2</v>
      </c>
      <c r="AW34" s="74">
        <v>0.65</v>
      </c>
      <c r="AX34" s="75">
        <v>13.98</v>
      </c>
      <c r="AY34" s="76">
        <v>799</v>
      </c>
      <c r="AZ34" s="71">
        <v>29</v>
      </c>
      <c r="BA34" s="72">
        <v>157</v>
      </c>
      <c r="BB34" s="73">
        <v>3.6299999999999999E-2</v>
      </c>
      <c r="BC34" s="74">
        <v>0.2</v>
      </c>
      <c r="BD34" s="75">
        <v>5.41</v>
      </c>
      <c r="BE34" s="76">
        <v>403</v>
      </c>
      <c r="BF34" s="71">
        <v>27</v>
      </c>
      <c r="BG34" s="72">
        <v>626</v>
      </c>
      <c r="BH34" s="73">
        <v>6.7000000000000004E-2</v>
      </c>
      <c r="BI34" s="74">
        <v>1.55</v>
      </c>
      <c r="BJ34" s="75">
        <v>23.19</v>
      </c>
    </row>
    <row r="35" spans="1:62" ht="14.25" hidden="1" customHeight="1">
      <c r="A35" s="618" t="s">
        <v>28</v>
      </c>
      <c r="B35" s="88">
        <v>46052</v>
      </c>
      <c r="C35" s="153">
        <f t="shared" si="0"/>
        <v>11162</v>
      </c>
      <c r="D35" s="184">
        <f t="shared" si="1"/>
        <v>711</v>
      </c>
      <c r="E35" s="72">
        <f t="shared" si="2"/>
        <v>85403</v>
      </c>
      <c r="F35" s="73">
        <f t="shared" si="3"/>
        <v>6.3698261960222186E-2</v>
      </c>
      <c r="G35" s="74">
        <f t="shared" si="4"/>
        <v>7.6512273786059843</v>
      </c>
      <c r="H35" s="75">
        <f t="shared" si="5"/>
        <v>120.11673699015471</v>
      </c>
      <c r="I35" s="153">
        <f t="shared" si="6"/>
        <v>2081</v>
      </c>
      <c r="J35" s="184">
        <f t="shared" si="7"/>
        <v>65</v>
      </c>
      <c r="K35" s="72">
        <f t="shared" si="8"/>
        <v>958</v>
      </c>
      <c r="L35" s="73">
        <f t="shared" si="9"/>
        <v>3.1234983181162902E-2</v>
      </c>
      <c r="M35" s="74">
        <f t="shared" si="10"/>
        <v>0.46035559827006245</v>
      </c>
      <c r="N35" s="75">
        <f t="shared" si="11"/>
        <v>14.738461538461538</v>
      </c>
      <c r="O35" s="364">
        <f t="shared" si="12"/>
        <v>9081</v>
      </c>
      <c r="P35" s="184">
        <f t="shared" si="13"/>
        <v>646</v>
      </c>
      <c r="Q35" s="72">
        <f t="shared" si="14"/>
        <v>84445</v>
      </c>
      <c r="R35" s="73">
        <f t="shared" si="15"/>
        <v>7.1137539918511183E-2</v>
      </c>
      <c r="S35" s="74">
        <f t="shared" si="16"/>
        <v>9.2990860037440815</v>
      </c>
      <c r="T35" s="75">
        <f t="shared" si="17"/>
        <v>130.71981424148606</v>
      </c>
      <c r="V35" s="619" t="s">
        <v>28</v>
      </c>
      <c r="W35" s="88">
        <v>46052</v>
      </c>
      <c r="X35" s="369">
        <v>9986</v>
      </c>
      <c r="Y35" s="71">
        <v>652</v>
      </c>
      <c r="Z35" s="72">
        <v>84060</v>
      </c>
      <c r="AA35" s="73">
        <v>6.5299999999999997E-2</v>
      </c>
      <c r="AB35" s="74">
        <v>8.42</v>
      </c>
      <c r="AC35" s="75">
        <v>128.93</v>
      </c>
      <c r="AD35" s="76">
        <v>1309</v>
      </c>
      <c r="AE35" s="71">
        <v>31</v>
      </c>
      <c r="AF35" s="72">
        <v>724</v>
      </c>
      <c r="AG35" s="73">
        <v>2.3699999999999999E-2</v>
      </c>
      <c r="AH35" s="74">
        <v>0.55000000000000004</v>
      </c>
      <c r="AI35" s="75">
        <v>23.35</v>
      </c>
      <c r="AJ35" s="76">
        <v>8677</v>
      </c>
      <c r="AK35" s="71">
        <v>621</v>
      </c>
      <c r="AL35" s="72">
        <v>83336</v>
      </c>
      <c r="AM35" s="73">
        <v>7.1599999999999997E-2</v>
      </c>
      <c r="AN35" s="74">
        <v>9.6</v>
      </c>
      <c r="AO35" s="75">
        <v>134.19999999999999</v>
      </c>
      <c r="AQ35" s="620" t="s">
        <v>28</v>
      </c>
      <c r="AR35" s="88">
        <v>46052</v>
      </c>
      <c r="AS35" s="71">
        <v>1176</v>
      </c>
      <c r="AT35" s="71">
        <v>59</v>
      </c>
      <c r="AU35" s="72">
        <v>1343</v>
      </c>
      <c r="AV35" s="73">
        <v>5.0200000000000002E-2</v>
      </c>
      <c r="AW35" s="74">
        <v>1.1399999999999999</v>
      </c>
      <c r="AX35" s="75">
        <v>22.76</v>
      </c>
      <c r="AY35" s="76">
        <v>772</v>
      </c>
      <c r="AZ35" s="71">
        <v>34</v>
      </c>
      <c r="BA35" s="72">
        <v>234</v>
      </c>
      <c r="BB35" s="73">
        <v>4.3999999999999997E-2</v>
      </c>
      <c r="BC35" s="74">
        <v>0.3</v>
      </c>
      <c r="BD35" s="75">
        <v>6.88</v>
      </c>
      <c r="BE35" s="76">
        <v>404</v>
      </c>
      <c r="BF35" s="71">
        <v>25</v>
      </c>
      <c r="BG35" s="72">
        <v>1109</v>
      </c>
      <c r="BH35" s="73">
        <v>6.1899999999999997E-2</v>
      </c>
      <c r="BI35" s="74">
        <v>2.75</v>
      </c>
      <c r="BJ35" s="75">
        <v>44.36</v>
      </c>
    </row>
    <row r="36" spans="1:62" ht="14.25" hidden="1" customHeight="1">
      <c r="A36" s="502"/>
      <c r="B36" s="88">
        <v>46053</v>
      </c>
      <c r="C36" s="153">
        <f t="shared" ref="C36:C72" si="18">AS36+X36</f>
        <v>10852</v>
      </c>
      <c r="D36" s="184">
        <f t="shared" ref="D36:D72" si="19">AT36+Y36</f>
        <v>729</v>
      </c>
      <c r="E36" s="72">
        <f t="shared" ref="E36:E72" si="20">AU36+Z36</f>
        <v>79547</v>
      </c>
      <c r="F36" s="73">
        <f t="shared" ref="F36:F67" si="21">D36/C36</f>
        <v>6.717655731662367E-2</v>
      </c>
      <c r="G36" s="74">
        <f t="shared" ref="G36:G72" si="22">E36/C36</f>
        <v>7.3301695539992631</v>
      </c>
      <c r="H36" s="75">
        <f t="shared" ref="H36:H72" si="23">E36/D36</f>
        <v>109.11796982167353</v>
      </c>
      <c r="I36" s="153">
        <f t="shared" ref="I36:I72" si="24">AY36+AD36</f>
        <v>1845</v>
      </c>
      <c r="J36" s="184">
        <f t="shared" ref="J36:J72" si="25">AZ36+AE36</f>
        <v>75</v>
      </c>
      <c r="K36" s="72">
        <f t="shared" ref="K36:K72" si="26">BA36+AF36</f>
        <v>921</v>
      </c>
      <c r="L36" s="73">
        <f t="shared" ref="L36:L67" si="27">J36/I36</f>
        <v>4.065040650406504E-2</v>
      </c>
      <c r="M36" s="74">
        <f t="shared" ref="M36:M72" si="28">K36/I36</f>
        <v>0.49918699186991872</v>
      </c>
      <c r="N36" s="75">
        <f t="shared" ref="N36:N72" si="29">K36/J36</f>
        <v>12.28</v>
      </c>
      <c r="O36" s="364">
        <f t="shared" ref="O36:O72" si="30">BE36+AJ36</f>
        <v>9007</v>
      </c>
      <c r="P36" s="184">
        <f t="shared" ref="P36:P72" si="31">BF36+AK36</f>
        <v>654</v>
      </c>
      <c r="Q36" s="72">
        <f t="shared" ref="Q36:Q72" si="32">BG36+AL36</f>
        <v>78626</v>
      </c>
      <c r="R36" s="73">
        <f t="shared" ref="R36:R67" si="33">P36/O36</f>
        <v>7.2610192072832244E-2</v>
      </c>
      <c r="S36" s="74">
        <f t="shared" ref="S36:S72" si="34">Q36/O36</f>
        <v>8.7294326634839567</v>
      </c>
      <c r="T36" s="75">
        <f t="shared" ref="T36:T72" si="35">Q36/P36</f>
        <v>120.22324159021407</v>
      </c>
      <c r="V36" s="502"/>
      <c r="W36" s="88">
        <v>46053</v>
      </c>
      <c r="X36" s="369">
        <v>9835</v>
      </c>
      <c r="Y36" s="71">
        <v>678</v>
      </c>
      <c r="Z36" s="72">
        <v>78401</v>
      </c>
      <c r="AA36" s="73">
        <v>6.8900000000000003E-2</v>
      </c>
      <c r="AB36" s="74">
        <v>7.97</v>
      </c>
      <c r="AC36" s="75">
        <v>115.64</v>
      </c>
      <c r="AD36" s="76">
        <v>1204</v>
      </c>
      <c r="AE36" s="71">
        <v>49</v>
      </c>
      <c r="AF36" s="72">
        <v>580</v>
      </c>
      <c r="AG36" s="73">
        <v>4.07E-2</v>
      </c>
      <c r="AH36" s="74">
        <v>0.48</v>
      </c>
      <c r="AI36" s="75">
        <v>11.84</v>
      </c>
      <c r="AJ36" s="76">
        <v>8631</v>
      </c>
      <c r="AK36" s="71">
        <v>629</v>
      </c>
      <c r="AL36" s="72">
        <v>77821</v>
      </c>
      <c r="AM36" s="73">
        <v>7.2900000000000006E-2</v>
      </c>
      <c r="AN36" s="74">
        <v>9.02</v>
      </c>
      <c r="AO36" s="75">
        <v>123.72</v>
      </c>
      <c r="AQ36" s="502"/>
      <c r="AR36" s="88">
        <v>46053</v>
      </c>
      <c r="AS36" s="71">
        <v>1017</v>
      </c>
      <c r="AT36" s="71">
        <v>51</v>
      </c>
      <c r="AU36" s="72">
        <v>1146</v>
      </c>
      <c r="AV36" s="73">
        <v>5.0099999999999999E-2</v>
      </c>
      <c r="AW36" s="74">
        <v>1.1299999999999999</v>
      </c>
      <c r="AX36" s="75">
        <v>22.47</v>
      </c>
      <c r="AY36" s="76">
        <v>641</v>
      </c>
      <c r="AZ36" s="71">
        <v>26</v>
      </c>
      <c r="BA36" s="72">
        <v>341</v>
      </c>
      <c r="BB36" s="73">
        <v>4.0599999999999997E-2</v>
      </c>
      <c r="BC36" s="74">
        <v>0.53</v>
      </c>
      <c r="BD36" s="75">
        <v>13.12</v>
      </c>
      <c r="BE36" s="76">
        <v>376</v>
      </c>
      <c r="BF36" s="71">
        <v>25</v>
      </c>
      <c r="BG36" s="72">
        <v>805</v>
      </c>
      <c r="BH36" s="73">
        <v>6.6500000000000004E-2</v>
      </c>
      <c r="BI36" s="74">
        <v>2.14</v>
      </c>
      <c r="BJ36" s="75">
        <v>32.200000000000003</v>
      </c>
    </row>
    <row r="37" spans="1:62" ht="14.25" customHeight="1">
      <c r="A37" s="90"/>
      <c r="B37" s="216">
        <v>46054</v>
      </c>
      <c r="C37" s="177">
        <f t="shared" si="18"/>
        <v>10721</v>
      </c>
      <c r="D37" s="178">
        <f t="shared" si="19"/>
        <v>600</v>
      </c>
      <c r="E37" s="64">
        <f t="shared" si="20"/>
        <v>38118</v>
      </c>
      <c r="F37" s="26">
        <f t="shared" si="21"/>
        <v>5.5964928644715979E-2</v>
      </c>
      <c r="G37" s="27">
        <f t="shared" si="22"/>
        <v>3.5554519167988059</v>
      </c>
      <c r="H37" s="28">
        <f t="shared" si="23"/>
        <v>63.53</v>
      </c>
      <c r="I37" s="177">
        <f t="shared" si="24"/>
        <v>1850</v>
      </c>
      <c r="J37" s="178">
        <f t="shared" si="25"/>
        <v>62</v>
      </c>
      <c r="K37" s="64">
        <f t="shared" si="26"/>
        <v>992</v>
      </c>
      <c r="L37" s="26">
        <f t="shared" si="27"/>
        <v>3.3513513513513511E-2</v>
      </c>
      <c r="M37" s="27">
        <f t="shared" si="28"/>
        <v>0.53621621621621618</v>
      </c>
      <c r="N37" s="28">
        <f t="shared" si="29"/>
        <v>16</v>
      </c>
      <c r="O37" s="363">
        <f t="shared" si="30"/>
        <v>8871</v>
      </c>
      <c r="P37" s="178">
        <f t="shared" si="31"/>
        <v>538</v>
      </c>
      <c r="Q37" s="64">
        <f t="shared" si="32"/>
        <v>37126</v>
      </c>
      <c r="R37" s="26">
        <f t="shared" si="33"/>
        <v>6.0647052192537479E-2</v>
      </c>
      <c r="S37" s="27">
        <f t="shared" si="34"/>
        <v>4.185097508736332</v>
      </c>
      <c r="T37" s="28">
        <f t="shared" si="35"/>
        <v>69.007434944237914</v>
      </c>
      <c r="V37" s="90"/>
      <c r="W37" s="216">
        <v>46054</v>
      </c>
      <c r="X37" s="368">
        <v>9653</v>
      </c>
      <c r="Y37" s="25">
        <v>551</v>
      </c>
      <c r="Z37" s="64">
        <v>35831</v>
      </c>
      <c r="AA37" s="26">
        <v>5.7099999999999998E-2</v>
      </c>
      <c r="AB37" s="27">
        <v>3.71</v>
      </c>
      <c r="AC37" s="28">
        <v>65.03</v>
      </c>
      <c r="AD37" s="24">
        <v>1167</v>
      </c>
      <c r="AE37" s="25">
        <v>38</v>
      </c>
      <c r="AF37" s="64">
        <v>616</v>
      </c>
      <c r="AG37" s="26">
        <v>3.2599999999999997E-2</v>
      </c>
      <c r="AH37" s="27">
        <v>0.53</v>
      </c>
      <c r="AI37" s="28">
        <v>16.21</v>
      </c>
      <c r="AJ37" s="24">
        <v>8486</v>
      </c>
      <c r="AK37" s="25">
        <v>513</v>
      </c>
      <c r="AL37" s="64">
        <v>35215</v>
      </c>
      <c r="AM37" s="26">
        <v>6.0499999999999998E-2</v>
      </c>
      <c r="AN37" s="27">
        <v>4.1500000000000004</v>
      </c>
      <c r="AO37" s="28">
        <v>68.650000000000006</v>
      </c>
      <c r="AQ37" s="90"/>
      <c r="AR37" s="216">
        <v>46054</v>
      </c>
      <c r="AS37" s="25">
        <v>1068</v>
      </c>
      <c r="AT37" s="25">
        <v>49</v>
      </c>
      <c r="AU37" s="64">
        <v>2287</v>
      </c>
      <c r="AV37" s="26">
        <v>4.5900000000000003E-2</v>
      </c>
      <c r="AW37" s="27">
        <v>2.14</v>
      </c>
      <c r="AX37" s="28">
        <v>46.67</v>
      </c>
      <c r="AY37" s="24">
        <v>683</v>
      </c>
      <c r="AZ37" s="25">
        <v>24</v>
      </c>
      <c r="BA37" s="64">
        <v>376</v>
      </c>
      <c r="BB37" s="26">
        <v>3.5099999999999999E-2</v>
      </c>
      <c r="BC37" s="27">
        <v>0.55000000000000004</v>
      </c>
      <c r="BD37" s="28">
        <v>15.67</v>
      </c>
      <c r="BE37" s="24">
        <v>385</v>
      </c>
      <c r="BF37" s="25">
        <v>25</v>
      </c>
      <c r="BG37" s="64">
        <v>1911</v>
      </c>
      <c r="BH37" s="26">
        <v>6.4899999999999999E-2</v>
      </c>
      <c r="BI37" s="27">
        <v>4.96</v>
      </c>
      <c r="BJ37" s="28">
        <v>76.44</v>
      </c>
    </row>
    <row r="38" spans="1:62" ht="14.25" customHeight="1">
      <c r="A38" s="90"/>
      <c r="B38" s="216">
        <v>46055</v>
      </c>
      <c r="C38" s="177">
        <f t="shared" si="18"/>
        <v>10217</v>
      </c>
      <c r="D38" s="178">
        <f t="shared" si="19"/>
        <v>721</v>
      </c>
      <c r="E38" s="64">
        <f t="shared" si="20"/>
        <v>81623</v>
      </c>
      <c r="F38" s="26">
        <f t="shared" si="21"/>
        <v>7.0568660076343354E-2</v>
      </c>
      <c r="G38" s="27">
        <f t="shared" si="22"/>
        <v>7.9889400019575216</v>
      </c>
      <c r="H38" s="28">
        <f t="shared" si="23"/>
        <v>113.20804438280166</v>
      </c>
      <c r="I38" s="177">
        <f t="shared" si="24"/>
        <v>1690</v>
      </c>
      <c r="J38" s="178">
        <f t="shared" si="25"/>
        <v>59</v>
      </c>
      <c r="K38" s="64">
        <f t="shared" si="26"/>
        <v>943</v>
      </c>
      <c r="L38" s="26">
        <f t="shared" si="27"/>
        <v>3.4911242603550295E-2</v>
      </c>
      <c r="M38" s="27">
        <f t="shared" si="28"/>
        <v>0.55798816568047338</v>
      </c>
      <c r="N38" s="28">
        <f t="shared" si="29"/>
        <v>15.983050847457626</v>
      </c>
      <c r="O38" s="363">
        <f t="shared" si="30"/>
        <v>8527</v>
      </c>
      <c r="P38" s="178">
        <f t="shared" si="31"/>
        <v>662</v>
      </c>
      <c r="Q38" s="64">
        <f t="shared" si="32"/>
        <v>80680</v>
      </c>
      <c r="R38" s="26">
        <f t="shared" si="33"/>
        <v>7.7635745279699783E-2</v>
      </c>
      <c r="S38" s="27">
        <f t="shared" si="34"/>
        <v>9.4617098627887888</v>
      </c>
      <c r="T38" s="28">
        <f t="shared" si="35"/>
        <v>121.87311178247734</v>
      </c>
      <c r="V38" s="90"/>
      <c r="W38" s="216">
        <v>46055</v>
      </c>
      <c r="X38" s="368">
        <v>9312</v>
      </c>
      <c r="Y38" s="25">
        <v>664</v>
      </c>
      <c r="Z38" s="64">
        <v>79195</v>
      </c>
      <c r="AA38" s="26">
        <v>7.1300000000000002E-2</v>
      </c>
      <c r="AB38" s="27">
        <v>8.5</v>
      </c>
      <c r="AC38" s="28">
        <v>119.27</v>
      </c>
      <c r="AD38" s="24">
        <v>1113</v>
      </c>
      <c r="AE38" s="25">
        <v>35</v>
      </c>
      <c r="AF38" s="64">
        <v>339</v>
      </c>
      <c r="AG38" s="26">
        <v>3.1399999999999997E-2</v>
      </c>
      <c r="AH38" s="27">
        <v>0.3</v>
      </c>
      <c r="AI38" s="28">
        <v>9.69</v>
      </c>
      <c r="AJ38" s="24">
        <v>8199</v>
      </c>
      <c r="AK38" s="25">
        <v>629</v>
      </c>
      <c r="AL38" s="64">
        <v>78856</v>
      </c>
      <c r="AM38" s="26">
        <v>7.6700000000000004E-2</v>
      </c>
      <c r="AN38" s="27">
        <v>9.6199999999999992</v>
      </c>
      <c r="AO38" s="28">
        <v>125.37</v>
      </c>
      <c r="AQ38" s="90"/>
      <c r="AR38" s="216">
        <v>46055</v>
      </c>
      <c r="AS38" s="25">
        <v>905</v>
      </c>
      <c r="AT38" s="25">
        <v>57</v>
      </c>
      <c r="AU38" s="64">
        <v>2428</v>
      </c>
      <c r="AV38" s="26">
        <v>6.3E-2</v>
      </c>
      <c r="AW38" s="27">
        <v>2.68</v>
      </c>
      <c r="AX38" s="28">
        <v>42.6</v>
      </c>
      <c r="AY38" s="24">
        <v>577</v>
      </c>
      <c r="AZ38" s="25">
        <v>24</v>
      </c>
      <c r="BA38" s="64">
        <v>604</v>
      </c>
      <c r="BB38" s="26">
        <v>4.1599999999999998E-2</v>
      </c>
      <c r="BC38" s="27">
        <v>1.05</v>
      </c>
      <c r="BD38" s="28">
        <v>25.17</v>
      </c>
      <c r="BE38" s="24">
        <v>328</v>
      </c>
      <c r="BF38" s="25">
        <v>33</v>
      </c>
      <c r="BG38" s="64">
        <v>1824</v>
      </c>
      <c r="BH38" s="26">
        <v>0.10059999999999999</v>
      </c>
      <c r="BI38" s="27">
        <v>5.56</v>
      </c>
      <c r="BJ38" s="28">
        <v>55.27</v>
      </c>
    </row>
    <row r="39" spans="1:62" ht="16.350000000000001" customHeight="1">
      <c r="A39" s="607" t="s">
        <v>29</v>
      </c>
      <c r="B39" s="88">
        <v>46056</v>
      </c>
      <c r="C39" s="153">
        <f t="shared" si="18"/>
        <v>10483</v>
      </c>
      <c r="D39" s="184">
        <f t="shared" si="19"/>
        <v>783</v>
      </c>
      <c r="E39" s="72">
        <f t="shared" si="20"/>
        <v>87173</v>
      </c>
      <c r="F39" s="73">
        <f t="shared" si="21"/>
        <v>7.4692359057521696E-2</v>
      </c>
      <c r="G39" s="74">
        <f t="shared" si="22"/>
        <v>8.3156539158637788</v>
      </c>
      <c r="H39" s="75">
        <f t="shared" si="23"/>
        <v>111.33205619412516</v>
      </c>
      <c r="I39" s="153">
        <f t="shared" si="24"/>
        <v>1673</v>
      </c>
      <c r="J39" s="184">
        <f t="shared" si="25"/>
        <v>56</v>
      </c>
      <c r="K39" s="72">
        <f t="shared" si="26"/>
        <v>478</v>
      </c>
      <c r="L39" s="73">
        <f t="shared" si="27"/>
        <v>3.3472803347280332E-2</v>
      </c>
      <c r="M39" s="74">
        <f t="shared" si="28"/>
        <v>0.2857142857142857</v>
      </c>
      <c r="N39" s="75">
        <f t="shared" si="29"/>
        <v>8.5357142857142865</v>
      </c>
      <c r="O39" s="364">
        <f t="shared" si="30"/>
        <v>8810</v>
      </c>
      <c r="P39" s="184">
        <f t="shared" si="31"/>
        <v>727</v>
      </c>
      <c r="Q39" s="72">
        <f t="shared" si="32"/>
        <v>86695</v>
      </c>
      <c r="R39" s="73">
        <f t="shared" si="33"/>
        <v>8.2519863791146425E-2</v>
      </c>
      <c r="S39" s="74">
        <f t="shared" si="34"/>
        <v>9.8405221339387055</v>
      </c>
      <c r="T39" s="75">
        <f t="shared" si="35"/>
        <v>119.25034387895461</v>
      </c>
      <c r="V39" s="609" t="s">
        <v>29</v>
      </c>
      <c r="W39" s="88">
        <v>46056</v>
      </c>
      <c r="X39" s="369">
        <v>9658</v>
      </c>
      <c r="Y39" s="71">
        <v>731</v>
      </c>
      <c r="Z39" s="72">
        <v>83684</v>
      </c>
      <c r="AA39" s="73">
        <v>7.5700000000000003E-2</v>
      </c>
      <c r="AB39" s="74">
        <v>8.66</v>
      </c>
      <c r="AC39" s="75">
        <v>114.48</v>
      </c>
      <c r="AD39" s="76">
        <v>1176</v>
      </c>
      <c r="AE39" s="71">
        <v>28</v>
      </c>
      <c r="AF39" s="72">
        <v>283</v>
      </c>
      <c r="AG39" s="73">
        <v>2.3800000000000002E-2</v>
      </c>
      <c r="AH39" s="74">
        <v>0.24</v>
      </c>
      <c r="AI39" s="75">
        <v>10.11</v>
      </c>
      <c r="AJ39" s="76">
        <v>8482</v>
      </c>
      <c r="AK39" s="71">
        <v>703</v>
      </c>
      <c r="AL39" s="72">
        <v>83401</v>
      </c>
      <c r="AM39" s="73">
        <v>8.2900000000000001E-2</v>
      </c>
      <c r="AN39" s="74">
        <v>9.83</v>
      </c>
      <c r="AO39" s="75">
        <v>118.64</v>
      </c>
      <c r="AQ39" s="611" t="s">
        <v>29</v>
      </c>
      <c r="AR39" s="88">
        <v>46056</v>
      </c>
      <c r="AS39" s="71">
        <v>825</v>
      </c>
      <c r="AT39" s="71">
        <v>52</v>
      </c>
      <c r="AU39" s="72">
        <v>3489</v>
      </c>
      <c r="AV39" s="73">
        <v>6.3E-2</v>
      </c>
      <c r="AW39" s="74">
        <v>4.2300000000000004</v>
      </c>
      <c r="AX39" s="75">
        <v>67.099999999999994</v>
      </c>
      <c r="AY39" s="76">
        <v>497</v>
      </c>
      <c r="AZ39" s="71">
        <v>28</v>
      </c>
      <c r="BA39" s="72">
        <v>195</v>
      </c>
      <c r="BB39" s="73">
        <v>5.6300000000000003E-2</v>
      </c>
      <c r="BC39" s="74">
        <v>0.39</v>
      </c>
      <c r="BD39" s="75">
        <v>6.96</v>
      </c>
      <c r="BE39" s="76">
        <v>328</v>
      </c>
      <c r="BF39" s="71">
        <v>24</v>
      </c>
      <c r="BG39" s="72">
        <v>3294</v>
      </c>
      <c r="BH39" s="73">
        <v>7.3200000000000001E-2</v>
      </c>
      <c r="BI39" s="74">
        <v>10.039999999999999</v>
      </c>
      <c r="BJ39" s="75">
        <v>137.25</v>
      </c>
    </row>
    <row r="40" spans="1:62" ht="16.350000000000001" customHeight="1">
      <c r="A40" s="502"/>
      <c r="B40" s="88">
        <v>46057</v>
      </c>
      <c r="C40" s="153">
        <f t="shared" si="18"/>
        <v>10832</v>
      </c>
      <c r="D40" s="184">
        <f t="shared" si="19"/>
        <v>729</v>
      </c>
      <c r="E40" s="72">
        <f t="shared" si="20"/>
        <v>82041</v>
      </c>
      <c r="F40" s="73">
        <f t="shared" si="21"/>
        <v>6.7300590841949781E-2</v>
      </c>
      <c r="G40" s="74">
        <f t="shared" si="22"/>
        <v>7.573947562776957</v>
      </c>
      <c r="H40" s="75">
        <f t="shared" si="23"/>
        <v>112.53909465020575</v>
      </c>
      <c r="I40" s="153">
        <f t="shared" si="24"/>
        <v>2069</v>
      </c>
      <c r="J40" s="184">
        <f t="shared" si="25"/>
        <v>96</v>
      </c>
      <c r="K40" s="72">
        <f t="shared" si="26"/>
        <v>1427</v>
      </c>
      <c r="L40" s="73">
        <f t="shared" si="27"/>
        <v>4.6399226679555337E-2</v>
      </c>
      <c r="M40" s="74">
        <f t="shared" si="28"/>
        <v>0.68970517158047362</v>
      </c>
      <c r="N40" s="75">
        <f t="shared" si="29"/>
        <v>14.864583333333334</v>
      </c>
      <c r="O40" s="364">
        <f t="shared" si="30"/>
        <v>8763</v>
      </c>
      <c r="P40" s="184">
        <f t="shared" si="31"/>
        <v>633</v>
      </c>
      <c r="Q40" s="72">
        <f t="shared" si="32"/>
        <v>80614</v>
      </c>
      <c r="R40" s="73">
        <f t="shared" si="33"/>
        <v>7.2235535775419371E-2</v>
      </c>
      <c r="S40" s="74">
        <f t="shared" si="34"/>
        <v>9.199360949446536</v>
      </c>
      <c r="T40" s="75">
        <f t="shared" si="35"/>
        <v>127.3522906793049</v>
      </c>
      <c r="V40" s="502"/>
      <c r="W40" s="88">
        <v>46057</v>
      </c>
      <c r="X40" s="369">
        <v>9655</v>
      </c>
      <c r="Y40" s="71">
        <v>656</v>
      </c>
      <c r="Z40" s="72">
        <v>79454</v>
      </c>
      <c r="AA40" s="73">
        <v>6.7900000000000002E-2</v>
      </c>
      <c r="AB40" s="74">
        <v>8.23</v>
      </c>
      <c r="AC40" s="75">
        <v>121.12</v>
      </c>
      <c r="AD40" s="76">
        <v>1236</v>
      </c>
      <c r="AE40" s="71">
        <v>44</v>
      </c>
      <c r="AF40" s="72">
        <v>225</v>
      </c>
      <c r="AG40" s="73">
        <v>3.56E-2</v>
      </c>
      <c r="AH40" s="74">
        <v>0.18</v>
      </c>
      <c r="AI40" s="75">
        <v>5.1100000000000003</v>
      </c>
      <c r="AJ40" s="76">
        <v>8419</v>
      </c>
      <c r="AK40" s="71">
        <v>612</v>
      </c>
      <c r="AL40" s="72">
        <v>79229</v>
      </c>
      <c r="AM40" s="73">
        <v>7.2700000000000001E-2</v>
      </c>
      <c r="AN40" s="74">
        <v>9.41</v>
      </c>
      <c r="AO40" s="75">
        <v>129.46</v>
      </c>
      <c r="AQ40" s="502"/>
      <c r="AR40" s="88">
        <v>46057</v>
      </c>
      <c r="AS40" s="71">
        <v>1177</v>
      </c>
      <c r="AT40" s="71">
        <v>73</v>
      </c>
      <c r="AU40" s="72">
        <v>2587</v>
      </c>
      <c r="AV40" s="73">
        <v>6.2E-2</v>
      </c>
      <c r="AW40" s="74">
        <v>2.2000000000000002</v>
      </c>
      <c r="AX40" s="75">
        <v>35.44</v>
      </c>
      <c r="AY40" s="76">
        <v>833</v>
      </c>
      <c r="AZ40" s="71">
        <v>52</v>
      </c>
      <c r="BA40" s="72">
        <v>1202</v>
      </c>
      <c r="BB40" s="73">
        <v>6.2399999999999997E-2</v>
      </c>
      <c r="BC40" s="74">
        <v>1.44</v>
      </c>
      <c r="BD40" s="75">
        <v>23.12</v>
      </c>
      <c r="BE40" s="76">
        <v>344</v>
      </c>
      <c r="BF40" s="71">
        <v>21</v>
      </c>
      <c r="BG40" s="72">
        <v>1385</v>
      </c>
      <c r="BH40" s="73">
        <v>6.0999999999999999E-2</v>
      </c>
      <c r="BI40" s="74">
        <v>4.03</v>
      </c>
      <c r="BJ40" s="75">
        <v>65.95</v>
      </c>
    </row>
    <row r="41" spans="1:62" ht="16.350000000000001" customHeight="1">
      <c r="A41" s="502"/>
      <c r="B41" s="88">
        <v>46058</v>
      </c>
      <c r="C41" s="153">
        <f t="shared" si="18"/>
        <v>11013</v>
      </c>
      <c r="D41" s="184">
        <f t="shared" si="19"/>
        <v>749</v>
      </c>
      <c r="E41" s="72">
        <f t="shared" si="20"/>
        <v>62564</v>
      </c>
      <c r="F41" s="73">
        <f t="shared" si="21"/>
        <v>6.8010533006446924E-2</v>
      </c>
      <c r="G41" s="74">
        <f t="shared" si="22"/>
        <v>5.6809225460819031</v>
      </c>
      <c r="H41" s="75">
        <f t="shared" si="23"/>
        <v>83.530040053404534</v>
      </c>
      <c r="I41" s="153">
        <f t="shared" si="24"/>
        <v>1925</v>
      </c>
      <c r="J41" s="184">
        <f t="shared" si="25"/>
        <v>45</v>
      </c>
      <c r="K41" s="72">
        <f t="shared" si="26"/>
        <v>228</v>
      </c>
      <c r="L41" s="73">
        <f t="shared" si="27"/>
        <v>2.3376623376623377E-2</v>
      </c>
      <c r="M41" s="74">
        <f t="shared" si="28"/>
        <v>0.11844155844155844</v>
      </c>
      <c r="N41" s="75">
        <f t="shared" si="29"/>
        <v>5.0666666666666664</v>
      </c>
      <c r="O41" s="364">
        <f t="shared" si="30"/>
        <v>9088</v>
      </c>
      <c r="P41" s="184">
        <f t="shared" si="31"/>
        <v>704</v>
      </c>
      <c r="Q41" s="72">
        <f t="shared" si="32"/>
        <v>62336</v>
      </c>
      <c r="R41" s="73">
        <f t="shared" si="33"/>
        <v>7.746478873239436E-2</v>
      </c>
      <c r="S41" s="74">
        <f t="shared" si="34"/>
        <v>6.859154929577465</v>
      </c>
      <c r="T41" s="75">
        <f t="shared" si="35"/>
        <v>88.545454545454547</v>
      </c>
      <c r="V41" s="502"/>
      <c r="W41" s="88">
        <v>46058</v>
      </c>
      <c r="X41" s="369">
        <v>10076</v>
      </c>
      <c r="Y41" s="71">
        <v>685</v>
      </c>
      <c r="Z41" s="72">
        <v>60079</v>
      </c>
      <c r="AA41" s="73">
        <v>6.8000000000000005E-2</v>
      </c>
      <c r="AB41" s="74">
        <v>5.96</v>
      </c>
      <c r="AC41" s="75">
        <v>87.71</v>
      </c>
      <c r="AD41" s="76">
        <v>1399</v>
      </c>
      <c r="AE41" s="71">
        <v>21</v>
      </c>
      <c r="AF41" s="72">
        <v>102</v>
      </c>
      <c r="AG41" s="73">
        <v>1.4999999999999999E-2</v>
      </c>
      <c r="AH41" s="74">
        <v>7.0000000000000007E-2</v>
      </c>
      <c r="AI41" s="75">
        <v>4.8600000000000003</v>
      </c>
      <c r="AJ41" s="76">
        <v>8677</v>
      </c>
      <c r="AK41" s="71">
        <v>664</v>
      </c>
      <c r="AL41" s="72">
        <v>59977</v>
      </c>
      <c r="AM41" s="73">
        <v>7.6499999999999999E-2</v>
      </c>
      <c r="AN41" s="74">
        <v>6.91</v>
      </c>
      <c r="AO41" s="75">
        <v>90.33</v>
      </c>
      <c r="AQ41" s="502"/>
      <c r="AR41" s="88">
        <v>46058</v>
      </c>
      <c r="AS41" s="71">
        <v>937</v>
      </c>
      <c r="AT41" s="71">
        <v>64</v>
      </c>
      <c r="AU41" s="72">
        <v>2485</v>
      </c>
      <c r="AV41" s="73">
        <v>6.83E-2</v>
      </c>
      <c r="AW41" s="74">
        <v>2.65</v>
      </c>
      <c r="AX41" s="75">
        <v>38.83</v>
      </c>
      <c r="AY41" s="76">
        <v>526</v>
      </c>
      <c r="AZ41" s="71">
        <v>24</v>
      </c>
      <c r="BA41" s="72">
        <v>126</v>
      </c>
      <c r="BB41" s="73">
        <v>4.5600000000000002E-2</v>
      </c>
      <c r="BC41" s="74">
        <v>0.24</v>
      </c>
      <c r="BD41" s="75">
        <v>5.25</v>
      </c>
      <c r="BE41" s="76">
        <v>411</v>
      </c>
      <c r="BF41" s="71">
        <v>40</v>
      </c>
      <c r="BG41" s="72">
        <v>2359</v>
      </c>
      <c r="BH41" s="73">
        <v>9.7299999999999998E-2</v>
      </c>
      <c r="BI41" s="74">
        <v>5.74</v>
      </c>
      <c r="BJ41" s="75">
        <v>58.98</v>
      </c>
    </row>
    <row r="42" spans="1:62" ht="16.350000000000001" customHeight="1">
      <c r="A42" s="608" t="s">
        <v>30</v>
      </c>
      <c r="B42" s="132">
        <v>46059</v>
      </c>
      <c r="C42" s="133">
        <f t="shared" si="18"/>
        <v>10662</v>
      </c>
      <c r="D42" s="166">
        <f t="shared" si="19"/>
        <v>901</v>
      </c>
      <c r="E42" s="134">
        <f t="shared" si="20"/>
        <v>340948</v>
      </c>
      <c r="F42" s="135">
        <f t="shared" si="21"/>
        <v>8.4505721253048213E-2</v>
      </c>
      <c r="G42" s="136">
        <f t="shared" si="22"/>
        <v>31.977865316075782</v>
      </c>
      <c r="H42" s="137">
        <f t="shared" si="23"/>
        <v>378.41065482796893</v>
      </c>
      <c r="I42" s="133">
        <f t="shared" si="24"/>
        <v>1759</v>
      </c>
      <c r="J42" s="166">
        <f t="shared" si="25"/>
        <v>57</v>
      </c>
      <c r="K42" s="134">
        <f t="shared" si="26"/>
        <v>545</v>
      </c>
      <c r="L42" s="135">
        <f t="shared" si="27"/>
        <v>3.2404775440591248E-2</v>
      </c>
      <c r="M42" s="136">
        <f t="shared" si="28"/>
        <v>0.30983513359863557</v>
      </c>
      <c r="N42" s="137">
        <f t="shared" si="29"/>
        <v>9.5614035087719298</v>
      </c>
      <c r="O42" s="138">
        <f t="shared" si="30"/>
        <v>8903</v>
      </c>
      <c r="P42" s="166">
        <f t="shared" si="31"/>
        <v>844</v>
      </c>
      <c r="Q42" s="134">
        <f t="shared" si="32"/>
        <v>340403</v>
      </c>
      <c r="R42" s="135">
        <f t="shared" si="33"/>
        <v>9.4799505784567001E-2</v>
      </c>
      <c r="S42" s="136">
        <f t="shared" si="34"/>
        <v>38.234640008985735</v>
      </c>
      <c r="T42" s="137">
        <f t="shared" si="35"/>
        <v>403.32109004739334</v>
      </c>
      <c r="V42" s="610" t="s">
        <v>30</v>
      </c>
      <c r="W42" s="132">
        <v>46059</v>
      </c>
      <c r="X42" s="140">
        <v>9993</v>
      </c>
      <c r="Y42" s="141">
        <v>847</v>
      </c>
      <c r="Z42" s="134">
        <v>338435</v>
      </c>
      <c r="AA42" s="135">
        <v>8.48E-2</v>
      </c>
      <c r="AB42" s="136">
        <v>33.869999999999997</v>
      </c>
      <c r="AC42" s="137">
        <v>399.57</v>
      </c>
      <c r="AD42" s="144">
        <v>1432</v>
      </c>
      <c r="AE42" s="141">
        <v>41</v>
      </c>
      <c r="AF42" s="134">
        <v>452</v>
      </c>
      <c r="AG42" s="135">
        <v>2.86E-2</v>
      </c>
      <c r="AH42" s="136">
        <v>0.32</v>
      </c>
      <c r="AI42" s="137">
        <v>11.02</v>
      </c>
      <c r="AJ42" s="144">
        <v>8561</v>
      </c>
      <c r="AK42" s="141">
        <v>806</v>
      </c>
      <c r="AL42" s="134">
        <v>337983</v>
      </c>
      <c r="AM42" s="135">
        <v>9.4100000000000003E-2</v>
      </c>
      <c r="AN42" s="136">
        <v>39.479999999999997</v>
      </c>
      <c r="AO42" s="137">
        <v>419.33</v>
      </c>
      <c r="AQ42" s="612" t="s">
        <v>30</v>
      </c>
      <c r="AR42" s="132">
        <v>46059</v>
      </c>
      <c r="AS42" s="141">
        <v>669</v>
      </c>
      <c r="AT42" s="141">
        <v>54</v>
      </c>
      <c r="AU42" s="134">
        <v>2513</v>
      </c>
      <c r="AV42" s="135">
        <v>8.0699999999999994E-2</v>
      </c>
      <c r="AW42" s="136">
        <v>3.76</v>
      </c>
      <c r="AX42" s="137">
        <v>46.54</v>
      </c>
      <c r="AY42" s="144">
        <v>327</v>
      </c>
      <c r="AZ42" s="141">
        <v>16</v>
      </c>
      <c r="BA42" s="134">
        <v>93</v>
      </c>
      <c r="BB42" s="135">
        <v>4.8899999999999999E-2</v>
      </c>
      <c r="BC42" s="136">
        <v>0.28000000000000003</v>
      </c>
      <c r="BD42" s="137">
        <v>5.81</v>
      </c>
      <c r="BE42" s="144">
        <v>342</v>
      </c>
      <c r="BF42" s="141">
        <v>38</v>
      </c>
      <c r="BG42" s="134">
        <v>2420</v>
      </c>
      <c r="BH42" s="135">
        <v>0.1111</v>
      </c>
      <c r="BI42" s="136">
        <v>7.08</v>
      </c>
      <c r="BJ42" s="137">
        <v>63.68</v>
      </c>
    </row>
    <row r="43" spans="1:62" ht="16.350000000000001" customHeight="1">
      <c r="A43" s="506"/>
      <c r="B43" s="132">
        <v>46060</v>
      </c>
      <c r="C43" s="133">
        <f t="shared" si="18"/>
        <v>11009</v>
      </c>
      <c r="D43" s="166">
        <f t="shared" si="19"/>
        <v>867</v>
      </c>
      <c r="E43" s="134">
        <f t="shared" si="20"/>
        <v>248769</v>
      </c>
      <c r="F43" s="135">
        <f t="shared" si="21"/>
        <v>7.8753746934326463E-2</v>
      </c>
      <c r="G43" s="136">
        <f t="shared" si="22"/>
        <v>22.596875283858662</v>
      </c>
      <c r="H43" s="137">
        <f t="shared" si="23"/>
        <v>286.93079584775086</v>
      </c>
      <c r="I43" s="133">
        <f t="shared" si="24"/>
        <v>2133</v>
      </c>
      <c r="J43" s="166">
        <f t="shared" si="25"/>
        <v>55</v>
      </c>
      <c r="K43" s="134">
        <f t="shared" si="26"/>
        <v>633</v>
      </c>
      <c r="L43" s="135">
        <f t="shared" si="27"/>
        <v>2.5785278949835913E-2</v>
      </c>
      <c r="M43" s="136">
        <f t="shared" si="28"/>
        <v>0.29676511954992968</v>
      </c>
      <c r="N43" s="137">
        <f t="shared" si="29"/>
        <v>11.50909090909091</v>
      </c>
      <c r="O43" s="138">
        <f t="shared" si="30"/>
        <v>8876</v>
      </c>
      <c r="P43" s="166">
        <f t="shared" si="31"/>
        <v>812</v>
      </c>
      <c r="Q43" s="134">
        <f t="shared" si="32"/>
        <v>248136</v>
      </c>
      <c r="R43" s="135">
        <f t="shared" si="33"/>
        <v>9.1482649842271294E-2</v>
      </c>
      <c r="S43" s="136">
        <f t="shared" si="34"/>
        <v>27.955835962145109</v>
      </c>
      <c r="T43" s="137">
        <f t="shared" si="35"/>
        <v>305.58620689655174</v>
      </c>
      <c r="V43" s="506"/>
      <c r="W43" s="132">
        <v>46060</v>
      </c>
      <c r="X43" s="140">
        <v>9939</v>
      </c>
      <c r="Y43" s="141">
        <v>812</v>
      </c>
      <c r="Z43" s="134">
        <v>245961</v>
      </c>
      <c r="AA43" s="135">
        <v>8.1699999999999995E-2</v>
      </c>
      <c r="AB43" s="136">
        <v>24.75</v>
      </c>
      <c r="AC43" s="137">
        <v>302.91000000000003</v>
      </c>
      <c r="AD43" s="144">
        <v>1446</v>
      </c>
      <c r="AE43" s="141">
        <v>32</v>
      </c>
      <c r="AF43" s="134">
        <v>483</v>
      </c>
      <c r="AG43" s="135">
        <v>2.2100000000000002E-2</v>
      </c>
      <c r="AH43" s="136">
        <v>0.33</v>
      </c>
      <c r="AI43" s="137">
        <v>15.09</v>
      </c>
      <c r="AJ43" s="144">
        <v>8493</v>
      </c>
      <c r="AK43" s="141">
        <v>780</v>
      </c>
      <c r="AL43" s="134">
        <v>245478</v>
      </c>
      <c r="AM43" s="135">
        <v>9.1800000000000007E-2</v>
      </c>
      <c r="AN43" s="136">
        <v>28.9</v>
      </c>
      <c r="AO43" s="137">
        <v>314.72000000000003</v>
      </c>
      <c r="AQ43" s="506"/>
      <c r="AR43" s="132">
        <v>46060</v>
      </c>
      <c r="AS43" s="141">
        <v>1070</v>
      </c>
      <c r="AT43" s="141">
        <v>55</v>
      </c>
      <c r="AU43" s="134">
        <v>2808</v>
      </c>
      <c r="AV43" s="135">
        <v>5.1400000000000001E-2</v>
      </c>
      <c r="AW43" s="136">
        <v>2.62</v>
      </c>
      <c r="AX43" s="137">
        <v>51.05</v>
      </c>
      <c r="AY43" s="144">
        <v>687</v>
      </c>
      <c r="AZ43" s="141">
        <v>23</v>
      </c>
      <c r="BA43" s="134">
        <v>150</v>
      </c>
      <c r="BB43" s="135">
        <v>3.3500000000000002E-2</v>
      </c>
      <c r="BC43" s="136">
        <v>0.22</v>
      </c>
      <c r="BD43" s="137">
        <v>6.52</v>
      </c>
      <c r="BE43" s="144">
        <v>383</v>
      </c>
      <c r="BF43" s="141">
        <v>32</v>
      </c>
      <c r="BG43" s="134">
        <v>2658</v>
      </c>
      <c r="BH43" s="135">
        <v>8.3599999999999994E-2</v>
      </c>
      <c r="BI43" s="136">
        <v>6.94</v>
      </c>
      <c r="BJ43" s="137">
        <v>83.06</v>
      </c>
    </row>
    <row r="44" spans="1:62" ht="16.350000000000001" customHeight="1">
      <c r="A44" s="506"/>
      <c r="B44" s="132">
        <v>46061</v>
      </c>
      <c r="C44" s="133">
        <f t="shared" si="18"/>
        <v>10834</v>
      </c>
      <c r="D44" s="166">
        <f t="shared" si="19"/>
        <v>755</v>
      </c>
      <c r="E44" s="134">
        <f t="shared" si="20"/>
        <v>158940</v>
      </c>
      <c r="F44" s="135">
        <f t="shared" si="21"/>
        <v>6.9688019198818535E-2</v>
      </c>
      <c r="G44" s="136">
        <f t="shared" si="22"/>
        <v>14.6704818165036</v>
      </c>
      <c r="H44" s="137">
        <f t="shared" si="23"/>
        <v>210.51655629139074</v>
      </c>
      <c r="I44" s="133">
        <f t="shared" si="24"/>
        <v>2009</v>
      </c>
      <c r="J44" s="166">
        <f t="shared" si="25"/>
        <v>63</v>
      </c>
      <c r="K44" s="134">
        <f t="shared" si="26"/>
        <v>808</v>
      </c>
      <c r="L44" s="135">
        <f t="shared" si="27"/>
        <v>3.1358885017421602E-2</v>
      </c>
      <c r="M44" s="136">
        <f t="shared" si="28"/>
        <v>0.40219014435042311</v>
      </c>
      <c r="N44" s="137">
        <f t="shared" si="29"/>
        <v>12.825396825396826</v>
      </c>
      <c r="O44" s="138">
        <f t="shared" si="30"/>
        <v>8825</v>
      </c>
      <c r="P44" s="166">
        <f t="shared" si="31"/>
        <v>692</v>
      </c>
      <c r="Q44" s="134">
        <f t="shared" si="32"/>
        <v>158132</v>
      </c>
      <c r="R44" s="135">
        <f t="shared" si="33"/>
        <v>7.8413597733711052E-2</v>
      </c>
      <c r="S44" s="136">
        <f t="shared" si="34"/>
        <v>17.918640226628895</v>
      </c>
      <c r="T44" s="137">
        <f t="shared" si="35"/>
        <v>228.51445086705203</v>
      </c>
      <c r="V44" s="506"/>
      <c r="W44" s="132">
        <v>46061</v>
      </c>
      <c r="X44" s="140">
        <v>9635</v>
      </c>
      <c r="Y44" s="141">
        <v>701</v>
      </c>
      <c r="Z44" s="134">
        <v>155625</v>
      </c>
      <c r="AA44" s="135">
        <v>7.2800000000000004E-2</v>
      </c>
      <c r="AB44" s="136">
        <v>16.149999999999999</v>
      </c>
      <c r="AC44" s="137">
        <v>222</v>
      </c>
      <c r="AD44" s="144">
        <v>1233</v>
      </c>
      <c r="AE44" s="141">
        <v>38</v>
      </c>
      <c r="AF44" s="134">
        <v>603</v>
      </c>
      <c r="AG44" s="135">
        <v>3.0800000000000001E-2</v>
      </c>
      <c r="AH44" s="136">
        <v>0.49</v>
      </c>
      <c r="AI44" s="137">
        <v>15.87</v>
      </c>
      <c r="AJ44" s="144">
        <v>8402</v>
      </c>
      <c r="AK44" s="141">
        <v>663</v>
      </c>
      <c r="AL44" s="134">
        <v>155022</v>
      </c>
      <c r="AM44" s="135">
        <v>7.8899999999999998E-2</v>
      </c>
      <c r="AN44" s="136">
        <v>18.45</v>
      </c>
      <c r="AO44" s="137">
        <v>233.82</v>
      </c>
      <c r="AQ44" s="506"/>
      <c r="AR44" s="132">
        <v>46061</v>
      </c>
      <c r="AS44" s="141">
        <v>1199</v>
      </c>
      <c r="AT44" s="141">
        <v>54</v>
      </c>
      <c r="AU44" s="134">
        <v>3315</v>
      </c>
      <c r="AV44" s="135">
        <v>4.4999999999999998E-2</v>
      </c>
      <c r="AW44" s="136">
        <v>2.76</v>
      </c>
      <c r="AX44" s="137">
        <v>61.39</v>
      </c>
      <c r="AY44" s="144">
        <v>776</v>
      </c>
      <c r="AZ44" s="141">
        <v>25</v>
      </c>
      <c r="BA44" s="134">
        <v>205</v>
      </c>
      <c r="BB44" s="135">
        <v>3.2199999999999999E-2</v>
      </c>
      <c r="BC44" s="136">
        <v>0.26</v>
      </c>
      <c r="BD44" s="137">
        <v>8.1999999999999993</v>
      </c>
      <c r="BE44" s="144">
        <v>423</v>
      </c>
      <c r="BF44" s="141">
        <v>29</v>
      </c>
      <c r="BG44" s="134">
        <v>3110</v>
      </c>
      <c r="BH44" s="135">
        <v>6.8599999999999994E-2</v>
      </c>
      <c r="BI44" s="136">
        <v>7.35</v>
      </c>
      <c r="BJ44" s="137">
        <v>107.24</v>
      </c>
    </row>
    <row r="45" spans="1:62" ht="16.350000000000001" customHeight="1">
      <c r="A45" s="589" t="s">
        <v>25</v>
      </c>
      <c r="B45" s="88">
        <v>46062</v>
      </c>
      <c r="C45" s="153">
        <f t="shared" si="18"/>
        <v>10978</v>
      </c>
      <c r="D45" s="184">
        <f t="shared" si="19"/>
        <v>751</v>
      </c>
      <c r="E45" s="72">
        <f t="shared" si="20"/>
        <v>68851</v>
      </c>
      <c r="F45" s="73">
        <f t="shared" si="21"/>
        <v>6.8409546365458193E-2</v>
      </c>
      <c r="G45" s="74">
        <f t="shared" si="22"/>
        <v>6.2717252687192566</v>
      </c>
      <c r="H45" s="75">
        <f t="shared" si="23"/>
        <v>91.67909454061251</v>
      </c>
      <c r="I45" s="153">
        <f t="shared" si="24"/>
        <v>2129</v>
      </c>
      <c r="J45" s="184">
        <f t="shared" si="25"/>
        <v>47</v>
      </c>
      <c r="K45" s="72">
        <f t="shared" si="26"/>
        <v>236</v>
      </c>
      <c r="L45" s="73">
        <f t="shared" si="27"/>
        <v>2.2076092062000941E-2</v>
      </c>
      <c r="M45" s="74">
        <f t="shared" si="28"/>
        <v>0.11085016439643025</v>
      </c>
      <c r="N45" s="75">
        <f t="shared" si="29"/>
        <v>5.0212765957446805</v>
      </c>
      <c r="O45" s="364">
        <f t="shared" si="30"/>
        <v>8849</v>
      </c>
      <c r="P45" s="184">
        <f t="shared" si="31"/>
        <v>704</v>
      </c>
      <c r="Q45" s="72">
        <f t="shared" si="32"/>
        <v>68615</v>
      </c>
      <c r="R45" s="73">
        <f t="shared" si="33"/>
        <v>7.9557012091761775E-2</v>
      </c>
      <c r="S45" s="74">
        <f t="shared" si="34"/>
        <v>7.7539835009605609</v>
      </c>
      <c r="T45" s="75">
        <f t="shared" si="35"/>
        <v>97.46448863636364</v>
      </c>
      <c r="V45" s="592" t="s">
        <v>25</v>
      </c>
      <c r="W45" s="88">
        <v>46062</v>
      </c>
      <c r="X45" s="369">
        <v>9748</v>
      </c>
      <c r="Y45" s="71">
        <v>701</v>
      </c>
      <c r="Z45" s="72">
        <v>67372</v>
      </c>
      <c r="AA45" s="73">
        <v>7.1900000000000006E-2</v>
      </c>
      <c r="AB45" s="74">
        <v>6.91</v>
      </c>
      <c r="AC45" s="75">
        <v>96.11</v>
      </c>
      <c r="AD45" s="76">
        <v>1348</v>
      </c>
      <c r="AE45" s="71">
        <v>23</v>
      </c>
      <c r="AF45" s="72">
        <v>109</v>
      </c>
      <c r="AG45" s="73">
        <v>1.7100000000000001E-2</v>
      </c>
      <c r="AH45" s="74">
        <v>0.08</v>
      </c>
      <c r="AI45" s="75">
        <v>4.74</v>
      </c>
      <c r="AJ45" s="76">
        <v>8400</v>
      </c>
      <c r="AK45" s="71">
        <v>678</v>
      </c>
      <c r="AL45" s="72">
        <v>67263</v>
      </c>
      <c r="AM45" s="73">
        <v>8.0699999999999994E-2</v>
      </c>
      <c r="AN45" s="74">
        <v>8.01</v>
      </c>
      <c r="AO45" s="75">
        <v>99.21</v>
      </c>
      <c r="AQ45" s="595" t="s">
        <v>25</v>
      </c>
      <c r="AR45" s="88">
        <v>46062</v>
      </c>
      <c r="AS45" s="71">
        <v>1230</v>
      </c>
      <c r="AT45" s="71">
        <v>50</v>
      </c>
      <c r="AU45" s="72">
        <v>1479</v>
      </c>
      <c r="AV45" s="73">
        <v>4.07E-2</v>
      </c>
      <c r="AW45" s="74">
        <v>1.2</v>
      </c>
      <c r="AX45" s="75">
        <v>29.58</v>
      </c>
      <c r="AY45" s="76">
        <v>781</v>
      </c>
      <c r="AZ45" s="71">
        <v>24</v>
      </c>
      <c r="BA45" s="72">
        <v>127</v>
      </c>
      <c r="BB45" s="73">
        <v>3.0700000000000002E-2</v>
      </c>
      <c r="BC45" s="74">
        <v>0.16</v>
      </c>
      <c r="BD45" s="75">
        <v>5.29</v>
      </c>
      <c r="BE45" s="76">
        <v>449</v>
      </c>
      <c r="BF45" s="71">
        <v>26</v>
      </c>
      <c r="BG45" s="72">
        <v>1352</v>
      </c>
      <c r="BH45" s="73">
        <v>5.79E-2</v>
      </c>
      <c r="BI45" s="74">
        <v>3.01</v>
      </c>
      <c r="BJ45" s="75">
        <v>52</v>
      </c>
    </row>
    <row r="46" spans="1:62" ht="16.350000000000001" customHeight="1">
      <c r="A46" s="502"/>
      <c r="B46" s="88">
        <v>46063</v>
      </c>
      <c r="C46" s="153">
        <f t="shared" si="18"/>
        <v>10696</v>
      </c>
      <c r="D46" s="184">
        <f t="shared" si="19"/>
        <v>648</v>
      </c>
      <c r="E46" s="72">
        <f t="shared" si="20"/>
        <v>49311</v>
      </c>
      <c r="F46" s="73">
        <f t="shared" si="21"/>
        <v>6.0583395661929697E-2</v>
      </c>
      <c r="G46" s="74">
        <f t="shared" si="22"/>
        <v>4.6102281226626776</v>
      </c>
      <c r="H46" s="75">
        <f t="shared" si="23"/>
        <v>76.097222222222229</v>
      </c>
      <c r="I46" s="153">
        <f t="shared" si="24"/>
        <v>2128</v>
      </c>
      <c r="J46" s="184">
        <f t="shared" si="25"/>
        <v>59</v>
      </c>
      <c r="K46" s="72">
        <f t="shared" si="26"/>
        <v>845</v>
      </c>
      <c r="L46" s="73">
        <f t="shared" si="27"/>
        <v>2.7725563909774435E-2</v>
      </c>
      <c r="M46" s="74">
        <f t="shared" si="28"/>
        <v>0.39708646616541354</v>
      </c>
      <c r="N46" s="75">
        <f t="shared" si="29"/>
        <v>14.322033898305085</v>
      </c>
      <c r="O46" s="364">
        <f t="shared" si="30"/>
        <v>8568</v>
      </c>
      <c r="P46" s="184">
        <f t="shared" si="31"/>
        <v>589</v>
      </c>
      <c r="Q46" s="72">
        <f t="shared" si="32"/>
        <v>48466</v>
      </c>
      <c r="R46" s="73">
        <f t="shared" si="33"/>
        <v>6.8744164332399632E-2</v>
      </c>
      <c r="S46" s="74">
        <f t="shared" si="34"/>
        <v>5.6566293183940246</v>
      </c>
      <c r="T46" s="75">
        <f t="shared" si="35"/>
        <v>82.285229202037357</v>
      </c>
      <c r="V46" s="502"/>
      <c r="W46" s="88">
        <v>46063</v>
      </c>
      <c r="X46" s="369">
        <v>9603</v>
      </c>
      <c r="Y46" s="71">
        <v>588</v>
      </c>
      <c r="Z46" s="72">
        <v>45982</v>
      </c>
      <c r="AA46" s="73">
        <v>6.1199999999999997E-2</v>
      </c>
      <c r="AB46" s="74">
        <v>4.79</v>
      </c>
      <c r="AC46" s="75">
        <v>78.2</v>
      </c>
      <c r="AD46" s="76">
        <v>1443</v>
      </c>
      <c r="AE46" s="71">
        <v>31</v>
      </c>
      <c r="AF46" s="72">
        <v>641</v>
      </c>
      <c r="AG46" s="73">
        <v>2.1499999999999998E-2</v>
      </c>
      <c r="AH46" s="74">
        <v>0.44</v>
      </c>
      <c r="AI46" s="75">
        <v>20.68</v>
      </c>
      <c r="AJ46" s="76">
        <v>8160</v>
      </c>
      <c r="AK46" s="71">
        <v>557</v>
      </c>
      <c r="AL46" s="72">
        <v>45341</v>
      </c>
      <c r="AM46" s="73">
        <v>6.83E-2</v>
      </c>
      <c r="AN46" s="74">
        <v>5.56</v>
      </c>
      <c r="AO46" s="75">
        <v>81.400000000000006</v>
      </c>
      <c r="AQ46" s="502"/>
      <c r="AR46" s="88">
        <v>46063</v>
      </c>
      <c r="AS46" s="71">
        <v>1093</v>
      </c>
      <c r="AT46" s="71">
        <v>60</v>
      </c>
      <c r="AU46" s="72">
        <v>3329</v>
      </c>
      <c r="AV46" s="73">
        <v>5.4899999999999997E-2</v>
      </c>
      <c r="AW46" s="74">
        <v>3.05</v>
      </c>
      <c r="AX46" s="75">
        <v>55.48</v>
      </c>
      <c r="AY46" s="76">
        <v>685</v>
      </c>
      <c r="AZ46" s="71">
        <v>28</v>
      </c>
      <c r="BA46" s="72">
        <v>204</v>
      </c>
      <c r="BB46" s="73">
        <v>4.0899999999999999E-2</v>
      </c>
      <c r="BC46" s="74">
        <v>0.3</v>
      </c>
      <c r="BD46" s="75">
        <v>7.29</v>
      </c>
      <c r="BE46" s="76">
        <v>408</v>
      </c>
      <c r="BF46" s="71">
        <v>32</v>
      </c>
      <c r="BG46" s="72">
        <v>3125</v>
      </c>
      <c r="BH46" s="73">
        <v>7.8399999999999997E-2</v>
      </c>
      <c r="BI46" s="74">
        <v>7.66</v>
      </c>
      <c r="BJ46" s="75">
        <v>97.66</v>
      </c>
    </row>
    <row r="47" spans="1:62" ht="16.350000000000001" customHeight="1">
      <c r="A47" s="502"/>
      <c r="B47" s="88">
        <v>46064</v>
      </c>
      <c r="C47" s="153">
        <f t="shared" si="18"/>
        <v>10645</v>
      </c>
      <c r="D47" s="184">
        <f t="shared" si="19"/>
        <v>665</v>
      </c>
      <c r="E47" s="72">
        <f t="shared" si="20"/>
        <v>47750</v>
      </c>
      <c r="F47" s="73">
        <f t="shared" si="21"/>
        <v>6.2470643494598403E-2</v>
      </c>
      <c r="G47" s="74">
        <f t="shared" si="22"/>
        <v>4.4856740253640206</v>
      </c>
      <c r="H47" s="75">
        <f t="shared" si="23"/>
        <v>71.804511278195491</v>
      </c>
      <c r="I47" s="153">
        <f t="shared" si="24"/>
        <v>1954</v>
      </c>
      <c r="J47" s="184">
        <f t="shared" si="25"/>
        <v>55</v>
      </c>
      <c r="K47" s="72">
        <f t="shared" si="26"/>
        <v>1018</v>
      </c>
      <c r="L47" s="73">
        <f t="shared" si="27"/>
        <v>2.8147389969293755E-2</v>
      </c>
      <c r="M47" s="74">
        <f t="shared" si="28"/>
        <v>0.52098259979529171</v>
      </c>
      <c r="N47" s="75">
        <f t="shared" si="29"/>
        <v>18.509090909090908</v>
      </c>
      <c r="O47" s="364">
        <f t="shared" si="30"/>
        <v>8691</v>
      </c>
      <c r="P47" s="184">
        <f t="shared" si="31"/>
        <v>610</v>
      </c>
      <c r="Q47" s="72">
        <f t="shared" si="32"/>
        <v>46732</v>
      </c>
      <c r="R47" s="73">
        <f t="shared" si="33"/>
        <v>7.0187550339431595E-2</v>
      </c>
      <c r="S47" s="74">
        <f t="shared" si="34"/>
        <v>5.3770567253480612</v>
      </c>
      <c r="T47" s="75">
        <f t="shared" si="35"/>
        <v>76.609836065573774</v>
      </c>
      <c r="V47" s="502"/>
      <c r="W47" s="88">
        <v>46064</v>
      </c>
      <c r="X47" s="369">
        <v>9730</v>
      </c>
      <c r="Y47" s="71">
        <v>608</v>
      </c>
      <c r="Z47" s="72">
        <v>44301</v>
      </c>
      <c r="AA47" s="73">
        <v>6.25E-2</v>
      </c>
      <c r="AB47" s="74">
        <v>4.55</v>
      </c>
      <c r="AC47" s="75">
        <v>72.86</v>
      </c>
      <c r="AD47" s="76">
        <v>1448</v>
      </c>
      <c r="AE47" s="71">
        <v>28</v>
      </c>
      <c r="AF47" s="72">
        <v>716</v>
      </c>
      <c r="AG47" s="73">
        <v>1.9300000000000001E-2</v>
      </c>
      <c r="AH47" s="74">
        <v>0.49</v>
      </c>
      <c r="AI47" s="75">
        <v>25.57</v>
      </c>
      <c r="AJ47" s="76">
        <v>8282</v>
      </c>
      <c r="AK47" s="71">
        <v>580</v>
      </c>
      <c r="AL47" s="72">
        <v>43585</v>
      </c>
      <c r="AM47" s="73">
        <v>7.0000000000000007E-2</v>
      </c>
      <c r="AN47" s="74">
        <v>5.26</v>
      </c>
      <c r="AO47" s="75">
        <v>75.150000000000006</v>
      </c>
      <c r="AQ47" s="502"/>
      <c r="AR47" s="88">
        <v>46064</v>
      </c>
      <c r="AS47" s="71">
        <v>915</v>
      </c>
      <c r="AT47" s="71">
        <v>57</v>
      </c>
      <c r="AU47" s="72">
        <v>3449</v>
      </c>
      <c r="AV47" s="73">
        <v>6.2300000000000001E-2</v>
      </c>
      <c r="AW47" s="74">
        <v>3.77</v>
      </c>
      <c r="AX47" s="75">
        <v>60.51</v>
      </c>
      <c r="AY47" s="76">
        <v>506</v>
      </c>
      <c r="AZ47" s="71">
        <v>27</v>
      </c>
      <c r="BA47" s="72">
        <v>302</v>
      </c>
      <c r="BB47" s="73">
        <v>5.3400000000000003E-2</v>
      </c>
      <c r="BC47" s="74">
        <v>0.6</v>
      </c>
      <c r="BD47" s="75">
        <v>11.19</v>
      </c>
      <c r="BE47" s="76">
        <v>409</v>
      </c>
      <c r="BF47" s="71">
        <v>30</v>
      </c>
      <c r="BG47" s="72">
        <v>3147</v>
      </c>
      <c r="BH47" s="73">
        <v>7.3300000000000004E-2</v>
      </c>
      <c r="BI47" s="74">
        <v>7.69</v>
      </c>
      <c r="BJ47" s="75">
        <v>104.9</v>
      </c>
    </row>
    <row r="48" spans="1:62" ht="16.350000000000001" customHeight="1">
      <c r="A48" s="90"/>
      <c r="B48" s="216">
        <v>46065</v>
      </c>
      <c r="C48" s="177">
        <f t="shared" si="18"/>
        <v>10714</v>
      </c>
      <c r="D48" s="178">
        <f t="shared" si="19"/>
        <v>690</v>
      </c>
      <c r="E48" s="64">
        <f t="shared" si="20"/>
        <v>75106</v>
      </c>
      <c r="F48" s="26">
        <f t="shared" si="21"/>
        <v>6.4401717379130113E-2</v>
      </c>
      <c r="G48" s="27">
        <f t="shared" si="22"/>
        <v>7.0100802688071679</v>
      </c>
      <c r="H48" s="28">
        <f t="shared" si="23"/>
        <v>108.84927536231883</v>
      </c>
      <c r="I48" s="177">
        <f t="shared" si="24"/>
        <v>1978</v>
      </c>
      <c r="J48" s="178">
        <f t="shared" si="25"/>
        <v>56</v>
      </c>
      <c r="K48" s="64">
        <f t="shared" si="26"/>
        <v>994</v>
      </c>
      <c r="L48" s="26">
        <f t="shared" si="27"/>
        <v>2.8311425682507583E-2</v>
      </c>
      <c r="M48" s="27">
        <f t="shared" si="28"/>
        <v>0.50252780586450962</v>
      </c>
      <c r="N48" s="28">
        <f t="shared" si="29"/>
        <v>17.75</v>
      </c>
      <c r="O48" s="363">
        <f t="shared" si="30"/>
        <v>8736</v>
      </c>
      <c r="P48" s="178">
        <f t="shared" si="31"/>
        <v>634</v>
      </c>
      <c r="Q48" s="64">
        <f t="shared" si="32"/>
        <v>74112</v>
      </c>
      <c r="R48" s="26">
        <f t="shared" si="33"/>
        <v>7.2573260073260079E-2</v>
      </c>
      <c r="S48" s="27">
        <f t="shared" si="34"/>
        <v>8.4835164835164836</v>
      </c>
      <c r="T48" s="28">
        <f t="shared" si="35"/>
        <v>116.89589905362776</v>
      </c>
      <c r="V48" s="90"/>
      <c r="W48" s="216">
        <v>46065</v>
      </c>
      <c r="X48" s="368">
        <v>9829</v>
      </c>
      <c r="Y48" s="25">
        <v>628</v>
      </c>
      <c r="Z48" s="64">
        <v>72879</v>
      </c>
      <c r="AA48" s="26">
        <v>6.3899999999999998E-2</v>
      </c>
      <c r="AB48" s="27">
        <v>7.41</v>
      </c>
      <c r="AC48" s="28">
        <v>116.05</v>
      </c>
      <c r="AD48" s="24">
        <v>1500</v>
      </c>
      <c r="AE48" s="25">
        <v>34</v>
      </c>
      <c r="AF48" s="64">
        <v>793</v>
      </c>
      <c r="AG48" s="26">
        <v>2.2700000000000001E-2</v>
      </c>
      <c r="AH48" s="27">
        <v>0.53</v>
      </c>
      <c r="AI48" s="28">
        <v>23.32</v>
      </c>
      <c r="AJ48" s="24">
        <v>8329</v>
      </c>
      <c r="AK48" s="25">
        <v>594</v>
      </c>
      <c r="AL48" s="64">
        <v>72086</v>
      </c>
      <c r="AM48" s="26">
        <v>7.1300000000000002E-2</v>
      </c>
      <c r="AN48" s="27">
        <v>8.65</v>
      </c>
      <c r="AO48" s="28">
        <v>121.36</v>
      </c>
      <c r="AQ48" s="90"/>
      <c r="AR48" s="216">
        <v>46065</v>
      </c>
      <c r="AS48" s="25">
        <v>885</v>
      </c>
      <c r="AT48" s="25">
        <v>62</v>
      </c>
      <c r="AU48" s="64">
        <v>2227</v>
      </c>
      <c r="AV48" s="26">
        <v>7.0099999999999996E-2</v>
      </c>
      <c r="AW48" s="27">
        <v>2.52</v>
      </c>
      <c r="AX48" s="28">
        <v>35.92</v>
      </c>
      <c r="AY48" s="24">
        <v>478</v>
      </c>
      <c r="AZ48" s="25">
        <v>22</v>
      </c>
      <c r="BA48" s="64">
        <v>201</v>
      </c>
      <c r="BB48" s="26">
        <v>4.5999999999999999E-2</v>
      </c>
      <c r="BC48" s="27">
        <v>0.42</v>
      </c>
      <c r="BD48" s="28">
        <v>9.14</v>
      </c>
      <c r="BE48" s="24">
        <v>407</v>
      </c>
      <c r="BF48" s="25">
        <v>40</v>
      </c>
      <c r="BG48" s="64">
        <v>2026</v>
      </c>
      <c r="BH48" s="26">
        <v>9.8299999999999998E-2</v>
      </c>
      <c r="BI48" s="27">
        <v>4.9800000000000004</v>
      </c>
      <c r="BJ48" s="28">
        <v>50.65</v>
      </c>
    </row>
    <row r="49" spans="1:62" ht="16.350000000000001" customHeight="1">
      <c r="A49" s="90"/>
      <c r="B49" s="216">
        <v>46066</v>
      </c>
      <c r="C49" s="177">
        <f t="shared" si="18"/>
        <v>10397</v>
      </c>
      <c r="D49" s="178">
        <f t="shared" si="19"/>
        <v>711</v>
      </c>
      <c r="E49" s="64">
        <f t="shared" si="20"/>
        <v>58728</v>
      </c>
      <c r="F49" s="26">
        <f t="shared" si="21"/>
        <v>6.8385111089737424E-2</v>
      </c>
      <c r="G49" s="27">
        <f t="shared" si="22"/>
        <v>5.6485524670578053</v>
      </c>
      <c r="H49" s="28">
        <f t="shared" si="23"/>
        <v>82.599156118143455</v>
      </c>
      <c r="I49" s="177">
        <f t="shared" si="24"/>
        <v>1727</v>
      </c>
      <c r="J49" s="178">
        <f t="shared" si="25"/>
        <v>40</v>
      </c>
      <c r="K49" s="64">
        <f t="shared" si="26"/>
        <v>214</v>
      </c>
      <c r="L49" s="26">
        <f t="shared" si="27"/>
        <v>2.3161551823972205E-2</v>
      </c>
      <c r="M49" s="27">
        <f t="shared" si="28"/>
        <v>0.1239143022582513</v>
      </c>
      <c r="N49" s="28">
        <f t="shared" si="29"/>
        <v>5.35</v>
      </c>
      <c r="O49" s="363">
        <f t="shared" si="30"/>
        <v>8670</v>
      </c>
      <c r="P49" s="178">
        <f t="shared" si="31"/>
        <v>671</v>
      </c>
      <c r="Q49" s="64">
        <f t="shared" si="32"/>
        <v>58514</v>
      </c>
      <c r="R49" s="26">
        <f t="shared" si="33"/>
        <v>7.7393310265282581E-2</v>
      </c>
      <c r="S49" s="27">
        <f t="shared" si="34"/>
        <v>6.7490196078431373</v>
      </c>
      <c r="T49" s="28">
        <f t="shared" si="35"/>
        <v>87.204172876304028</v>
      </c>
      <c r="V49" s="90"/>
      <c r="W49" s="216">
        <v>46066</v>
      </c>
      <c r="X49" s="368">
        <v>9567</v>
      </c>
      <c r="Y49" s="25">
        <v>654</v>
      </c>
      <c r="Z49" s="64">
        <v>55343</v>
      </c>
      <c r="AA49" s="26">
        <v>6.8400000000000002E-2</v>
      </c>
      <c r="AB49" s="27">
        <v>5.78</v>
      </c>
      <c r="AC49" s="28">
        <v>84.62</v>
      </c>
      <c r="AD49" s="24">
        <v>1266</v>
      </c>
      <c r="AE49" s="25">
        <v>17</v>
      </c>
      <c r="AF49" s="64">
        <v>81</v>
      </c>
      <c r="AG49" s="26">
        <v>1.34E-2</v>
      </c>
      <c r="AH49" s="27">
        <v>0.06</v>
      </c>
      <c r="AI49" s="28">
        <v>4.76</v>
      </c>
      <c r="AJ49" s="24">
        <v>8301</v>
      </c>
      <c r="AK49" s="25">
        <v>637</v>
      </c>
      <c r="AL49" s="64">
        <v>55262</v>
      </c>
      <c r="AM49" s="26">
        <v>7.6700000000000004E-2</v>
      </c>
      <c r="AN49" s="27">
        <v>6.66</v>
      </c>
      <c r="AO49" s="28">
        <v>86.75</v>
      </c>
      <c r="AQ49" s="90"/>
      <c r="AR49" s="216">
        <v>46066</v>
      </c>
      <c r="AS49" s="25">
        <v>830</v>
      </c>
      <c r="AT49" s="25">
        <v>57</v>
      </c>
      <c r="AU49" s="64">
        <v>3385</v>
      </c>
      <c r="AV49" s="26">
        <v>6.8699999999999997E-2</v>
      </c>
      <c r="AW49" s="27">
        <v>4.08</v>
      </c>
      <c r="AX49" s="28">
        <v>59.39</v>
      </c>
      <c r="AY49" s="24">
        <v>461</v>
      </c>
      <c r="AZ49" s="25">
        <v>23</v>
      </c>
      <c r="BA49" s="64">
        <v>133</v>
      </c>
      <c r="BB49" s="26">
        <v>4.99E-2</v>
      </c>
      <c r="BC49" s="27">
        <v>0.28999999999999998</v>
      </c>
      <c r="BD49" s="28">
        <v>5.78</v>
      </c>
      <c r="BE49" s="24">
        <v>369</v>
      </c>
      <c r="BF49" s="25">
        <v>34</v>
      </c>
      <c r="BG49" s="64">
        <v>3252</v>
      </c>
      <c r="BH49" s="26">
        <v>9.2100000000000001E-2</v>
      </c>
      <c r="BI49" s="27">
        <v>8.81</v>
      </c>
      <c r="BJ49" s="28">
        <v>95.65</v>
      </c>
    </row>
    <row r="50" spans="1:62" ht="16.350000000000001" customHeight="1">
      <c r="A50" s="590" t="s">
        <v>26</v>
      </c>
      <c r="B50" s="132">
        <v>46067</v>
      </c>
      <c r="C50" s="133">
        <f t="shared" si="18"/>
        <v>10184</v>
      </c>
      <c r="D50" s="166">
        <f t="shared" si="19"/>
        <v>1182</v>
      </c>
      <c r="E50" s="134">
        <f t="shared" si="20"/>
        <v>430102</v>
      </c>
      <c r="F50" s="135">
        <f t="shared" si="21"/>
        <v>0.11606441476826394</v>
      </c>
      <c r="G50" s="136">
        <f t="shared" si="22"/>
        <v>42.233110761979574</v>
      </c>
      <c r="H50" s="137">
        <f t="shared" si="23"/>
        <v>363.87648054145518</v>
      </c>
      <c r="I50" s="133">
        <f t="shared" si="24"/>
        <v>1568</v>
      </c>
      <c r="J50" s="166">
        <f t="shared" si="25"/>
        <v>44</v>
      </c>
      <c r="K50" s="134">
        <f t="shared" si="26"/>
        <v>231</v>
      </c>
      <c r="L50" s="135">
        <f t="shared" si="27"/>
        <v>2.8061224489795918E-2</v>
      </c>
      <c r="M50" s="136">
        <f t="shared" si="28"/>
        <v>0.14732142857142858</v>
      </c>
      <c r="N50" s="137">
        <f t="shared" si="29"/>
        <v>5.25</v>
      </c>
      <c r="O50" s="138">
        <f t="shared" si="30"/>
        <v>8616</v>
      </c>
      <c r="P50" s="166">
        <f t="shared" si="31"/>
        <v>1138</v>
      </c>
      <c r="Q50" s="134">
        <f t="shared" si="32"/>
        <v>429871</v>
      </c>
      <c r="R50" s="135">
        <f t="shared" si="33"/>
        <v>0.13207985143918291</v>
      </c>
      <c r="S50" s="136">
        <f t="shared" si="34"/>
        <v>49.892177344475392</v>
      </c>
      <c r="T50" s="137">
        <f t="shared" si="35"/>
        <v>377.74253075571175</v>
      </c>
      <c r="V50" s="593" t="s">
        <v>26</v>
      </c>
      <c r="W50" s="132">
        <v>46067</v>
      </c>
      <c r="X50" s="140">
        <v>9289</v>
      </c>
      <c r="Y50" s="141">
        <v>1131</v>
      </c>
      <c r="Z50" s="134">
        <v>428563</v>
      </c>
      <c r="AA50" s="135">
        <v>0.12180000000000001</v>
      </c>
      <c r="AB50" s="136">
        <v>46.14</v>
      </c>
      <c r="AC50" s="137">
        <v>378.92</v>
      </c>
      <c r="AD50" s="144">
        <v>1061</v>
      </c>
      <c r="AE50" s="141">
        <v>21</v>
      </c>
      <c r="AF50" s="134">
        <v>88</v>
      </c>
      <c r="AG50" s="135">
        <v>1.9800000000000002E-2</v>
      </c>
      <c r="AH50" s="136">
        <v>0.08</v>
      </c>
      <c r="AI50" s="137">
        <v>4.1900000000000004</v>
      </c>
      <c r="AJ50" s="144">
        <v>8228</v>
      </c>
      <c r="AK50" s="141">
        <v>1110</v>
      </c>
      <c r="AL50" s="134">
        <v>428475</v>
      </c>
      <c r="AM50" s="135">
        <v>0.13489999999999999</v>
      </c>
      <c r="AN50" s="136">
        <v>52.08</v>
      </c>
      <c r="AO50" s="137">
        <v>386.01</v>
      </c>
      <c r="AQ50" s="596" t="s">
        <v>26</v>
      </c>
      <c r="AR50" s="132">
        <v>46067</v>
      </c>
      <c r="AS50" s="141">
        <v>895</v>
      </c>
      <c r="AT50" s="141">
        <v>51</v>
      </c>
      <c r="AU50" s="134">
        <v>1539</v>
      </c>
      <c r="AV50" s="135">
        <v>5.7000000000000002E-2</v>
      </c>
      <c r="AW50" s="136">
        <v>1.72</v>
      </c>
      <c r="AX50" s="137">
        <v>30.18</v>
      </c>
      <c r="AY50" s="144">
        <v>507</v>
      </c>
      <c r="AZ50" s="141">
        <v>23</v>
      </c>
      <c r="BA50" s="134">
        <v>143</v>
      </c>
      <c r="BB50" s="135">
        <v>4.5400000000000003E-2</v>
      </c>
      <c r="BC50" s="136">
        <v>0.28000000000000003</v>
      </c>
      <c r="BD50" s="137">
        <v>6.22</v>
      </c>
      <c r="BE50" s="144">
        <v>388</v>
      </c>
      <c r="BF50" s="141">
        <v>28</v>
      </c>
      <c r="BG50" s="134">
        <v>1396</v>
      </c>
      <c r="BH50" s="135">
        <v>7.22E-2</v>
      </c>
      <c r="BI50" s="136">
        <v>3.6</v>
      </c>
      <c r="BJ50" s="137">
        <v>49.86</v>
      </c>
    </row>
    <row r="51" spans="1:62" ht="16.350000000000001" customHeight="1">
      <c r="A51" s="504"/>
      <c r="B51" s="132">
        <v>46068</v>
      </c>
      <c r="C51" s="133">
        <f t="shared" si="18"/>
        <v>10820</v>
      </c>
      <c r="D51" s="166">
        <f t="shared" si="19"/>
        <v>1003</v>
      </c>
      <c r="E51" s="134">
        <f t="shared" si="20"/>
        <v>213803</v>
      </c>
      <c r="F51" s="135">
        <f t="shared" si="21"/>
        <v>9.2698706099815162E-2</v>
      </c>
      <c r="G51" s="136">
        <f t="shared" si="22"/>
        <v>19.759981515711644</v>
      </c>
      <c r="H51" s="137">
        <f t="shared" si="23"/>
        <v>213.16350947158526</v>
      </c>
      <c r="I51" s="133">
        <f t="shared" si="24"/>
        <v>2163</v>
      </c>
      <c r="J51" s="166">
        <f t="shared" si="25"/>
        <v>50</v>
      </c>
      <c r="K51" s="134">
        <f t="shared" si="26"/>
        <v>320</v>
      </c>
      <c r="L51" s="135">
        <f t="shared" si="27"/>
        <v>2.3116042533518261E-2</v>
      </c>
      <c r="M51" s="136">
        <f t="shared" si="28"/>
        <v>0.14794267221451687</v>
      </c>
      <c r="N51" s="137">
        <f t="shared" si="29"/>
        <v>6.4</v>
      </c>
      <c r="O51" s="138">
        <f t="shared" si="30"/>
        <v>8657</v>
      </c>
      <c r="P51" s="166">
        <f t="shared" si="31"/>
        <v>953</v>
      </c>
      <c r="Q51" s="134">
        <f t="shared" si="32"/>
        <v>213483</v>
      </c>
      <c r="R51" s="135">
        <f t="shared" si="33"/>
        <v>0.11008432482384198</v>
      </c>
      <c r="S51" s="136">
        <f t="shared" si="34"/>
        <v>24.660159408571097</v>
      </c>
      <c r="T51" s="137">
        <f t="shared" si="35"/>
        <v>224.01154249737669</v>
      </c>
      <c r="V51" s="504"/>
      <c r="W51" s="132">
        <v>46068</v>
      </c>
      <c r="X51" s="140">
        <v>9580</v>
      </c>
      <c r="Y51" s="141">
        <v>946</v>
      </c>
      <c r="Z51" s="134">
        <v>209766</v>
      </c>
      <c r="AA51" s="135">
        <v>9.8699999999999996E-2</v>
      </c>
      <c r="AB51" s="136">
        <v>21.9</v>
      </c>
      <c r="AC51" s="137">
        <v>221.74</v>
      </c>
      <c r="AD51" s="144">
        <v>1372</v>
      </c>
      <c r="AE51" s="141">
        <v>27</v>
      </c>
      <c r="AF51" s="134">
        <v>158</v>
      </c>
      <c r="AG51" s="135">
        <v>1.9699999999999999E-2</v>
      </c>
      <c r="AH51" s="136">
        <v>0.12</v>
      </c>
      <c r="AI51" s="137">
        <v>5.85</v>
      </c>
      <c r="AJ51" s="144">
        <v>8208</v>
      </c>
      <c r="AK51" s="141">
        <v>919</v>
      </c>
      <c r="AL51" s="134">
        <v>209608</v>
      </c>
      <c r="AM51" s="135">
        <v>0.112</v>
      </c>
      <c r="AN51" s="136">
        <v>25.54</v>
      </c>
      <c r="AO51" s="137">
        <v>228.08</v>
      </c>
      <c r="AQ51" s="504"/>
      <c r="AR51" s="132">
        <v>46068</v>
      </c>
      <c r="AS51" s="141">
        <v>1240</v>
      </c>
      <c r="AT51" s="141">
        <v>57</v>
      </c>
      <c r="AU51" s="134">
        <v>4037</v>
      </c>
      <c r="AV51" s="135">
        <v>4.5999999999999999E-2</v>
      </c>
      <c r="AW51" s="136">
        <v>3.26</v>
      </c>
      <c r="AX51" s="137">
        <v>70.819999999999993</v>
      </c>
      <c r="AY51" s="144">
        <v>791</v>
      </c>
      <c r="AZ51" s="141">
        <v>23</v>
      </c>
      <c r="BA51" s="134">
        <v>162</v>
      </c>
      <c r="BB51" s="135">
        <v>2.9100000000000001E-2</v>
      </c>
      <c r="BC51" s="136">
        <v>0.2</v>
      </c>
      <c r="BD51" s="137">
        <v>7.04</v>
      </c>
      <c r="BE51" s="144">
        <v>449</v>
      </c>
      <c r="BF51" s="141">
        <v>34</v>
      </c>
      <c r="BG51" s="134">
        <v>3875</v>
      </c>
      <c r="BH51" s="135">
        <v>7.5700000000000003E-2</v>
      </c>
      <c r="BI51" s="136">
        <v>8.6300000000000008</v>
      </c>
      <c r="BJ51" s="137">
        <v>113.97</v>
      </c>
    </row>
    <row r="52" spans="1:62" ht="16.350000000000001" customHeight="1">
      <c r="A52" s="504"/>
      <c r="B52" s="132">
        <v>46069</v>
      </c>
      <c r="C52" s="133">
        <f t="shared" si="18"/>
        <v>11058</v>
      </c>
      <c r="D52" s="166">
        <f t="shared" si="19"/>
        <v>989</v>
      </c>
      <c r="E52" s="134">
        <f t="shared" si="20"/>
        <v>155472</v>
      </c>
      <c r="F52" s="135">
        <f t="shared" si="21"/>
        <v>8.9437511304033282E-2</v>
      </c>
      <c r="G52" s="136">
        <f t="shared" si="22"/>
        <v>14.059685295713511</v>
      </c>
      <c r="H52" s="137">
        <f t="shared" si="23"/>
        <v>157.20121334681497</v>
      </c>
      <c r="I52" s="133">
        <f t="shared" si="24"/>
        <v>2225</v>
      </c>
      <c r="J52" s="166">
        <f t="shared" si="25"/>
        <v>45</v>
      </c>
      <c r="K52" s="134">
        <f t="shared" si="26"/>
        <v>2740</v>
      </c>
      <c r="L52" s="135">
        <f t="shared" si="27"/>
        <v>2.0224719101123594E-2</v>
      </c>
      <c r="M52" s="136">
        <f t="shared" si="28"/>
        <v>1.2314606741573033</v>
      </c>
      <c r="N52" s="137">
        <f t="shared" si="29"/>
        <v>60.888888888888886</v>
      </c>
      <c r="O52" s="138">
        <f t="shared" si="30"/>
        <v>8833</v>
      </c>
      <c r="P52" s="166">
        <f t="shared" si="31"/>
        <v>944</v>
      </c>
      <c r="Q52" s="134">
        <f t="shared" si="32"/>
        <v>152732</v>
      </c>
      <c r="R52" s="135">
        <f t="shared" si="33"/>
        <v>0.10687195743235593</v>
      </c>
      <c r="S52" s="136">
        <f t="shared" si="34"/>
        <v>17.29106758745613</v>
      </c>
      <c r="T52" s="137">
        <f t="shared" si="35"/>
        <v>161.79237288135593</v>
      </c>
      <c r="V52" s="504"/>
      <c r="W52" s="132">
        <v>46069</v>
      </c>
      <c r="X52" s="140">
        <v>9750</v>
      </c>
      <c r="Y52" s="141">
        <v>935</v>
      </c>
      <c r="Z52" s="134">
        <v>153440</v>
      </c>
      <c r="AA52" s="135">
        <v>9.5899999999999999E-2</v>
      </c>
      <c r="AB52" s="136">
        <v>15.74</v>
      </c>
      <c r="AC52" s="137">
        <v>164.11</v>
      </c>
      <c r="AD52" s="144">
        <v>1388</v>
      </c>
      <c r="AE52" s="141">
        <v>26</v>
      </c>
      <c r="AF52" s="134">
        <v>2647</v>
      </c>
      <c r="AG52" s="135">
        <v>1.8700000000000001E-2</v>
      </c>
      <c r="AH52" s="136">
        <v>1.91</v>
      </c>
      <c r="AI52" s="137">
        <v>101.81</v>
      </c>
      <c r="AJ52" s="144">
        <v>8362</v>
      </c>
      <c r="AK52" s="141">
        <v>909</v>
      </c>
      <c r="AL52" s="134">
        <v>150793</v>
      </c>
      <c r="AM52" s="135">
        <v>0.1087</v>
      </c>
      <c r="AN52" s="136">
        <v>18.03</v>
      </c>
      <c r="AO52" s="137">
        <v>165.89</v>
      </c>
      <c r="AQ52" s="504"/>
      <c r="AR52" s="132">
        <v>46069</v>
      </c>
      <c r="AS52" s="141">
        <v>1308</v>
      </c>
      <c r="AT52" s="141">
        <v>54</v>
      </c>
      <c r="AU52" s="134">
        <v>2032</v>
      </c>
      <c r="AV52" s="135">
        <v>4.1300000000000003E-2</v>
      </c>
      <c r="AW52" s="136">
        <v>1.55</v>
      </c>
      <c r="AX52" s="137">
        <v>37.630000000000003</v>
      </c>
      <c r="AY52" s="144">
        <v>837</v>
      </c>
      <c r="AZ52" s="141">
        <v>19</v>
      </c>
      <c r="BA52" s="134">
        <v>93</v>
      </c>
      <c r="BB52" s="135">
        <v>2.2700000000000001E-2</v>
      </c>
      <c r="BC52" s="136">
        <v>0.11</v>
      </c>
      <c r="BD52" s="137">
        <v>4.8899999999999997</v>
      </c>
      <c r="BE52" s="144">
        <v>471</v>
      </c>
      <c r="BF52" s="141">
        <v>35</v>
      </c>
      <c r="BG52" s="134">
        <v>1939</v>
      </c>
      <c r="BH52" s="135">
        <v>7.4300000000000005E-2</v>
      </c>
      <c r="BI52" s="136">
        <v>4.12</v>
      </c>
      <c r="BJ52" s="137">
        <v>55.4</v>
      </c>
    </row>
    <row r="53" spans="1:62" ht="16.350000000000001" customHeight="1">
      <c r="A53" s="90"/>
      <c r="B53" s="216">
        <v>46070</v>
      </c>
      <c r="C53" s="177">
        <f t="shared" si="18"/>
        <v>11168</v>
      </c>
      <c r="D53" s="178">
        <f t="shared" si="19"/>
        <v>1012</v>
      </c>
      <c r="E53" s="64">
        <f t="shared" si="20"/>
        <v>118150</v>
      </c>
      <c r="F53" s="26">
        <f t="shared" si="21"/>
        <v>9.0616045845272206E-2</v>
      </c>
      <c r="G53" s="27">
        <f t="shared" si="22"/>
        <v>10.579333810888253</v>
      </c>
      <c r="H53" s="28">
        <f t="shared" si="23"/>
        <v>116.74901185770752</v>
      </c>
      <c r="I53" s="177">
        <f t="shared" si="24"/>
        <v>2518</v>
      </c>
      <c r="J53" s="178">
        <f t="shared" si="25"/>
        <v>57</v>
      </c>
      <c r="K53" s="64">
        <f t="shared" si="26"/>
        <v>370</v>
      </c>
      <c r="L53" s="26">
        <f t="shared" si="27"/>
        <v>2.2637013502779985E-2</v>
      </c>
      <c r="M53" s="27">
        <f t="shared" si="28"/>
        <v>0.14694201747418587</v>
      </c>
      <c r="N53" s="28">
        <f t="shared" si="29"/>
        <v>6.4912280701754383</v>
      </c>
      <c r="O53" s="363">
        <f t="shared" si="30"/>
        <v>8650</v>
      </c>
      <c r="P53" s="178">
        <f t="shared" si="31"/>
        <v>955</v>
      </c>
      <c r="Q53" s="64">
        <f t="shared" si="32"/>
        <v>117780</v>
      </c>
      <c r="R53" s="26">
        <f t="shared" si="33"/>
        <v>0.11040462427745665</v>
      </c>
      <c r="S53" s="27">
        <f t="shared" si="34"/>
        <v>13.616184971098265</v>
      </c>
      <c r="T53" s="28">
        <f t="shared" si="35"/>
        <v>123.32984293193718</v>
      </c>
      <c r="V53" s="90"/>
      <c r="W53" s="216">
        <v>46070</v>
      </c>
      <c r="X53" s="368">
        <v>9783</v>
      </c>
      <c r="Y53" s="25">
        <v>936</v>
      </c>
      <c r="Z53" s="64">
        <v>112948</v>
      </c>
      <c r="AA53" s="26">
        <v>9.5699999999999993E-2</v>
      </c>
      <c r="AB53" s="27">
        <v>11.55</v>
      </c>
      <c r="AC53" s="28">
        <v>120.67</v>
      </c>
      <c r="AD53" s="24">
        <v>1632</v>
      </c>
      <c r="AE53" s="25">
        <v>25</v>
      </c>
      <c r="AF53" s="64">
        <v>170</v>
      </c>
      <c r="AG53" s="26">
        <v>1.5299999999999999E-2</v>
      </c>
      <c r="AH53" s="27">
        <v>0.1</v>
      </c>
      <c r="AI53" s="28">
        <v>6.8</v>
      </c>
      <c r="AJ53" s="24">
        <v>8151</v>
      </c>
      <c r="AK53" s="25">
        <v>911</v>
      </c>
      <c r="AL53" s="64">
        <v>112778</v>
      </c>
      <c r="AM53" s="26">
        <v>0.1118</v>
      </c>
      <c r="AN53" s="27">
        <v>13.84</v>
      </c>
      <c r="AO53" s="28">
        <v>123.8</v>
      </c>
      <c r="AQ53" s="90"/>
      <c r="AR53" s="216">
        <v>46070</v>
      </c>
      <c r="AS53" s="25">
        <v>1385</v>
      </c>
      <c r="AT53" s="25">
        <v>76</v>
      </c>
      <c r="AU53" s="64">
        <v>5202</v>
      </c>
      <c r="AV53" s="26">
        <v>5.4899999999999997E-2</v>
      </c>
      <c r="AW53" s="27">
        <v>3.76</v>
      </c>
      <c r="AX53" s="28">
        <v>68.45</v>
      </c>
      <c r="AY53" s="24">
        <v>886</v>
      </c>
      <c r="AZ53" s="25">
        <v>32</v>
      </c>
      <c r="BA53" s="64">
        <v>200</v>
      </c>
      <c r="BB53" s="26">
        <v>3.61E-2</v>
      </c>
      <c r="BC53" s="27">
        <v>0.23</v>
      </c>
      <c r="BD53" s="28">
        <v>6.25</v>
      </c>
      <c r="BE53" s="24">
        <v>499</v>
      </c>
      <c r="BF53" s="25">
        <v>44</v>
      </c>
      <c r="BG53" s="64">
        <v>5002</v>
      </c>
      <c r="BH53" s="26">
        <v>8.8200000000000001E-2</v>
      </c>
      <c r="BI53" s="27">
        <v>10.02</v>
      </c>
      <c r="BJ53" s="28">
        <v>113.68</v>
      </c>
    </row>
    <row r="54" spans="1:62" ht="16.350000000000001" customHeight="1">
      <c r="A54" s="591" t="s">
        <v>31</v>
      </c>
      <c r="B54" s="132">
        <v>46071</v>
      </c>
      <c r="C54" s="133">
        <f t="shared" si="18"/>
        <v>10823</v>
      </c>
      <c r="D54" s="166">
        <f t="shared" si="19"/>
        <v>1106</v>
      </c>
      <c r="E54" s="134">
        <f t="shared" si="20"/>
        <v>278528</v>
      </c>
      <c r="F54" s="135">
        <f t="shared" si="21"/>
        <v>0.10218978102189781</v>
      </c>
      <c r="G54" s="136">
        <f t="shared" si="22"/>
        <v>25.734823985955835</v>
      </c>
      <c r="H54" s="137">
        <f t="shared" si="23"/>
        <v>251.83363471971066</v>
      </c>
      <c r="I54" s="133">
        <f t="shared" si="24"/>
        <v>2185</v>
      </c>
      <c r="J54" s="166">
        <f t="shared" si="25"/>
        <v>62</v>
      </c>
      <c r="K54" s="134">
        <f t="shared" si="26"/>
        <v>1414</v>
      </c>
      <c r="L54" s="135">
        <f t="shared" si="27"/>
        <v>2.8375286041189933E-2</v>
      </c>
      <c r="M54" s="136">
        <f t="shared" si="28"/>
        <v>0.6471395881006865</v>
      </c>
      <c r="N54" s="137">
        <f t="shared" si="29"/>
        <v>22.806451612903224</v>
      </c>
      <c r="O54" s="138">
        <f t="shared" si="30"/>
        <v>8638</v>
      </c>
      <c r="P54" s="166">
        <f t="shared" si="31"/>
        <v>1044</v>
      </c>
      <c r="Q54" s="134">
        <f t="shared" si="32"/>
        <v>277114</v>
      </c>
      <c r="R54" s="135">
        <f t="shared" si="33"/>
        <v>0.12086131048853901</v>
      </c>
      <c r="S54" s="136">
        <f t="shared" si="34"/>
        <v>32.080805742069927</v>
      </c>
      <c r="T54" s="137">
        <f t="shared" si="35"/>
        <v>265.43486590038316</v>
      </c>
      <c r="V54" s="594" t="s">
        <v>31</v>
      </c>
      <c r="W54" s="132">
        <v>46071</v>
      </c>
      <c r="X54" s="140">
        <v>9542</v>
      </c>
      <c r="Y54" s="141">
        <v>1037</v>
      </c>
      <c r="Z54" s="134">
        <v>275318</v>
      </c>
      <c r="AA54" s="135">
        <v>0.1087</v>
      </c>
      <c r="AB54" s="136">
        <v>28.85</v>
      </c>
      <c r="AC54" s="137">
        <v>265.49</v>
      </c>
      <c r="AD54" s="144">
        <v>1399</v>
      </c>
      <c r="AE54" s="141">
        <v>35</v>
      </c>
      <c r="AF54" s="134">
        <v>1242</v>
      </c>
      <c r="AG54" s="135">
        <v>2.5000000000000001E-2</v>
      </c>
      <c r="AH54" s="136">
        <v>0.89</v>
      </c>
      <c r="AI54" s="137">
        <v>35.49</v>
      </c>
      <c r="AJ54" s="144">
        <v>8143</v>
      </c>
      <c r="AK54" s="141">
        <v>1002</v>
      </c>
      <c r="AL54" s="134">
        <v>274076</v>
      </c>
      <c r="AM54" s="135">
        <v>0.1231</v>
      </c>
      <c r="AN54" s="136">
        <v>33.659999999999997</v>
      </c>
      <c r="AO54" s="137">
        <v>273.52999999999997</v>
      </c>
      <c r="AQ54" s="597" t="s">
        <v>31</v>
      </c>
      <c r="AR54" s="132">
        <v>46071</v>
      </c>
      <c r="AS54" s="141">
        <v>1281</v>
      </c>
      <c r="AT54" s="141">
        <v>69</v>
      </c>
      <c r="AU54" s="134">
        <v>3210</v>
      </c>
      <c r="AV54" s="135">
        <v>5.3900000000000003E-2</v>
      </c>
      <c r="AW54" s="136">
        <v>2.5099999999999998</v>
      </c>
      <c r="AX54" s="137">
        <v>46.52</v>
      </c>
      <c r="AY54" s="144">
        <v>786</v>
      </c>
      <c r="AZ54" s="141">
        <v>27</v>
      </c>
      <c r="BA54" s="134">
        <v>172</v>
      </c>
      <c r="BB54" s="135">
        <v>3.44E-2</v>
      </c>
      <c r="BC54" s="136">
        <v>0.22</v>
      </c>
      <c r="BD54" s="137">
        <v>6.37</v>
      </c>
      <c r="BE54" s="144">
        <v>495</v>
      </c>
      <c r="BF54" s="141">
        <v>42</v>
      </c>
      <c r="BG54" s="134">
        <v>3038</v>
      </c>
      <c r="BH54" s="135">
        <v>8.48E-2</v>
      </c>
      <c r="BI54" s="136">
        <v>6.14</v>
      </c>
      <c r="BJ54" s="137">
        <v>72.33</v>
      </c>
    </row>
    <row r="55" spans="1:62" ht="16.350000000000001" customHeight="1">
      <c r="A55" s="506"/>
      <c r="B55" s="132">
        <v>46072</v>
      </c>
      <c r="C55" s="133">
        <f t="shared" si="18"/>
        <v>10837</v>
      </c>
      <c r="D55" s="166">
        <f t="shared" si="19"/>
        <v>966</v>
      </c>
      <c r="E55" s="134">
        <f t="shared" si="20"/>
        <v>177017</v>
      </c>
      <c r="F55" s="135">
        <f t="shared" si="21"/>
        <v>8.9139060625634398E-2</v>
      </c>
      <c r="G55" s="136">
        <f t="shared" si="22"/>
        <v>16.334502168496815</v>
      </c>
      <c r="H55" s="137">
        <f t="shared" si="23"/>
        <v>183.24741200828157</v>
      </c>
      <c r="I55" s="133">
        <f t="shared" si="24"/>
        <v>2162</v>
      </c>
      <c r="J55" s="166">
        <f t="shared" si="25"/>
        <v>55</v>
      </c>
      <c r="K55" s="134">
        <f t="shared" si="26"/>
        <v>443</v>
      </c>
      <c r="L55" s="135">
        <f t="shared" si="27"/>
        <v>2.5439407955596668E-2</v>
      </c>
      <c r="M55" s="136">
        <f t="shared" si="28"/>
        <v>0.20490286771507862</v>
      </c>
      <c r="N55" s="137">
        <f t="shared" si="29"/>
        <v>8.0545454545454547</v>
      </c>
      <c r="O55" s="138">
        <f t="shared" si="30"/>
        <v>8675</v>
      </c>
      <c r="P55" s="166">
        <f t="shared" si="31"/>
        <v>911</v>
      </c>
      <c r="Q55" s="134">
        <f t="shared" si="32"/>
        <v>176574</v>
      </c>
      <c r="R55" s="135">
        <f t="shared" si="33"/>
        <v>0.10501440922190201</v>
      </c>
      <c r="S55" s="136">
        <f t="shared" si="34"/>
        <v>20.35435158501441</v>
      </c>
      <c r="T55" s="137">
        <f t="shared" si="35"/>
        <v>193.82436882546651</v>
      </c>
      <c r="V55" s="506"/>
      <c r="W55" s="132">
        <v>46072</v>
      </c>
      <c r="X55" s="140">
        <v>9565</v>
      </c>
      <c r="Y55" s="141">
        <v>905</v>
      </c>
      <c r="Z55" s="134">
        <v>174268</v>
      </c>
      <c r="AA55" s="135">
        <v>9.4600000000000004E-2</v>
      </c>
      <c r="AB55" s="136">
        <v>18.22</v>
      </c>
      <c r="AC55" s="137">
        <v>192.56</v>
      </c>
      <c r="AD55" s="144">
        <v>1397</v>
      </c>
      <c r="AE55" s="141">
        <v>29</v>
      </c>
      <c r="AF55" s="134">
        <v>227</v>
      </c>
      <c r="AG55" s="135">
        <v>2.0799999999999999E-2</v>
      </c>
      <c r="AH55" s="136">
        <v>0.16</v>
      </c>
      <c r="AI55" s="137">
        <v>7.83</v>
      </c>
      <c r="AJ55" s="144">
        <v>8168</v>
      </c>
      <c r="AK55" s="141">
        <v>876</v>
      </c>
      <c r="AL55" s="134">
        <v>174041</v>
      </c>
      <c r="AM55" s="135">
        <v>0.1072</v>
      </c>
      <c r="AN55" s="136">
        <v>21.31</v>
      </c>
      <c r="AO55" s="137">
        <v>198.68</v>
      </c>
      <c r="AQ55" s="506"/>
      <c r="AR55" s="132">
        <v>46072</v>
      </c>
      <c r="AS55" s="141">
        <v>1272</v>
      </c>
      <c r="AT55" s="141">
        <v>61</v>
      </c>
      <c r="AU55" s="134">
        <v>2749</v>
      </c>
      <c r="AV55" s="135">
        <v>4.8000000000000001E-2</v>
      </c>
      <c r="AW55" s="136">
        <v>2.16</v>
      </c>
      <c r="AX55" s="137">
        <v>45.07</v>
      </c>
      <c r="AY55" s="144">
        <v>765</v>
      </c>
      <c r="AZ55" s="141">
        <v>26</v>
      </c>
      <c r="BA55" s="134">
        <v>216</v>
      </c>
      <c r="BB55" s="135">
        <v>3.4000000000000002E-2</v>
      </c>
      <c r="BC55" s="136">
        <v>0.28000000000000003</v>
      </c>
      <c r="BD55" s="137">
        <v>8.31</v>
      </c>
      <c r="BE55" s="144">
        <v>507</v>
      </c>
      <c r="BF55" s="141">
        <v>35</v>
      </c>
      <c r="BG55" s="134">
        <v>2533</v>
      </c>
      <c r="BH55" s="135">
        <v>6.9000000000000006E-2</v>
      </c>
      <c r="BI55" s="136">
        <v>5</v>
      </c>
      <c r="BJ55" s="137">
        <v>72.37</v>
      </c>
    </row>
    <row r="56" spans="1:62" ht="16.350000000000001" customHeight="1">
      <c r="A56" s="506"/>
      <c r="B56" s="132">
        <v>46073</v>
      </c>
      <c r="C56" s="133">
        <f t="shared" si="18"/>
        <v>10929</v>
      </c>
      <c r="D56" s="166">
        <f t="shared" si="19"/>
        <v>827</v>
      </c>
      <c r="E56" s="134">
        <f t="shared" si="20"/>
        <v>110788</v>
      </c>
      <c r="F56" s="135">
        <f t="shared" si="21"/>
        <v>7.5670235154176965E-2</v>
      </c>
      <c r="G56" s="136">
        <f t="shared" si="22"/>
        <v>10.137066520267179</v>
      </c>
      <c r="H56" s="137">
        <f t="shared" si="23"/>
        <v>133.96372430471584</v>
      </c>
      <c r="I56" s="133">
        <f t="shared" si="24"/>
        <v>2240</v>
      </c>
      <c r="J56" s="166">
        <f t="shared" si="25"/>
        <v>60</v>
      </c>
      <c r="K56" s="134">
        <f t="shared" si="26"/>
        <v>1196</v>
      </c>
      <c r="L56" s="135">
        <f t="shared" si="27"/>
        <v>2.6785714285714284E-2</v>
      </c>
      <c r="M56" s="136">
        <f t="shared" si="28"/>
        <v>0.53392857142857142</v>
      </c>
      <c r="N56" s="137">
        <f t="shared" si="29"/>
        <v>19.933333333333334</v>
      </c>
      <c r="O56" s="138">
        <f t="shared" si="30"/>
        <v>8689</v>
      </c>
      <c r="P56" s="166">
        <f t="shared" si="31"/>
        <v>767</v>
      </c>
      <c r="Q56" s="134">
        <f t="shared" si="32"/>
        <v>109592</v>
      </c>
      <c r="R56" s="135">
        <f t="shared" si="33"/>
        <v>8.8272528484290486E-2</v>
      </c>
      <c r="S56" s="136">
        <f t="shared" si="34"/>
        <v>12.612728737484176</v>
      </c>
      <c r="T56" s="137">
        <f t="shared" si="35"/>
        <v>142.88396349413298</v>
      </c>
      <c r="V56" s="506"/>
      <c r="W56" s="132">
        <v>46073</v>
      </c>
      <c r="X56" s="140">
        <v>9674</v>
      </c>
      <c r="Y56" s="141">
        <v>754</v>
      </c>
      <c r="Z56" s="134">
        <v>106732</v>
      </c>
      <c r="AA56" s="135">
        <v>7.7899999999999997E-2</v>
      </c>
      <c r="AB56" s="136">
        <v>11.03</v>
      </c>
      <c r="AC56" s="137">
        <v>141.55000000000001</v>
      </c>
      <c r="AD56" s="144">
        <v>1528</v>
      </c>
      <c r="AE56" s="141">
        <v>35</v>
      </c>
      <c r="AF56" s="134">
        <v>506</v>
      </c>
      <c r="AG56" s="135">
        <v>2.29E-2</v>
      </c>
      <c r="AH56" s="136">
        <v>0.33</v>
      </c>
      <c r="AI56" s="137">
        <v>14.46</v>
      </c>
      <c r="AJ56" s="144">
        <v>8146</v>
      </c>
      <c r="AK56" s="141">
        <v>719</v>
      </c>
      <c r="AL56" s="134">
        <v>106226</v>
      </c>
      <c r="AM56" s="135">
        <v>8.8300000000000003E-2</v>
      </c>
      <c r="AN56" s="136">
        <v>13.04</v>
      </c>
      <c r="AO56" s="137">
        <v>147.74</v>
      </c>
      <c r="AQ56" s="506"/>
      <c r="AR56" s="132">
        <v>46073</v>
      </c>
      <c r="AS56" s="141">
        <v>1255</v>
      </c>
      <c r="AT56" s="141">
        <v>73</v>
      </c>
      <c r="AU56" s="134">
        <v>4056</v>
      </c>
      <c r="AV56" s="135">
        <v>5.8200000000000002E-2</v>
      </c>
      <c r="AW56" s="136">
        <v>3.23</v>
      </c>
      <c r="AX56" s="137">
        <v>55.56</v>
      </c>
      <c r="AY56" s="144">
        <v>712</v>
      </c>
      <c r="AZ56" s="141">
        <v>25</v>
      </c>
      <c r="BA56" s="134">
        <v>690</v>
      </c>
      <c r="BB56" s="135">
        <v>3.5099999999999999E-2</v>
      </c>
      <c r="BC56" s="136">
        <v>0.97</v>
      </c>
      <c r="BD56" s="137">
        <v>27.6</v>
      </c>
      <c r="BE56" s="144">
        <v>543</v>
      </c>
      <c r="BF56" s="141">
        <v>48</v>
      </c>
      <c r="BG56" s="134">
        <v>3366</v>
      </c>
      <c r="BH56" s="135">
        <v>8.8400000000000006E-2</v>
      </c>
      <c r="BI56" s="136">
        <v>6.2</v>
      </c>
      <c r="BJ56" s="137">
        <v>70.13</v>
      </c>
    </row>
    <row r="57" spans="1:62" ht="16.350000000000001" customHeight="1">
      <c r="A57" s="506"/>
      <c r="B57" s="132">
        <v>46074</v>
      </c>
      <c r="C57" s="133">
        <f t="shared" si="18"/>
        <v>10665</v>
      </c>
      <c r="D57" s="166">
        <f t="shared" si="19"/>
        <v>800</v>
      </c>
      <c r="E57" s="134">
        <f t="shared" si="20"/>
        <v>112832</v>
      </c>
      <c r="F57" s="135">
        <f t="shared" si="21"/>
        <v>7.5011720581340841E-2</v>
      </c>
      <c r="G57" s="136">
        <f t="shared" si="22"/>
        <v>10.579653070792311</v>
      </c>
      <c r="H57" s="137">
        <f t="shared" si="23"/>
        <v>141.04</v>
      </c>
      <c r="I57" s="133">
        <f t="shared" si="24"/>
        <v>1999</v>
      </c>
      <c r="J57" s="166">
        <f t="shared" si="25"/>
        <v>43</v>
      </c>
      <c r="K57" s="134">
        <f t="shared" si="26"/>
        <v>671</v>
      </c>
      <c r="L57" s="135">
        <f t="shared" si="27"/>
        <v>2.1510755377688845E-2</v>
      </c>
      <c r="M57" s="136">
        <f t="shared" si="28"/>
        <v>0.33566783391695848</v>
      </c>
      <c r="N57" s="137">
        <f t="shared" si="29"/>
        <v>15.604651162790697</v>
      </c>
      <c r="O57" s="138">
        <f t="shared" si="30"/>
        <v>8666</v>
      </c>
      <c r="P57" s="166">
        <f t="shared" si="31"/>
        <v>757</v>
      </c>
      <c r="Q57" s="134">
        <f t="shared" si="32"/>
        <v>112161</v>
      </c>
      <c r="R57" s="135">
        <f t="shared" si="33"/>
        <v>8.7352873297945999E-2</v>
      </c>
      <c r="S57" s="136">
        <f t="shared" si="34"/>
        <v>12.942649434571891</v>
      </c>
      <c r="T57" s="137">
        <f t="shared" si="35"/>
        <v>148.16512549537649</v>
      </c>
      <c r="V57" s="506"/>
      <c r="W57" s="132">
        <v>46074</v>
      </c>
      <c r="X57" s="140">
        <v>9464</v>
      </c>
      <c r="Y57" s="141">
        <v>744</v>
      </c>
      <c r="Z57" s="134">
        <v>110706</v>
      </c>
      <c r="AA57" s="135">
        <v>7.8600000000000003E-2</v>
      </c>
      <c r="AB57" s="136">
        <v>11.7</v>
      </c>
      <c r="AC57" s="137">
        <v>148.80000000000001</v>
      </c>
      <c r="AD57" s="144">
        <v>1365</v>
      </c>
      <c r="AE57" s="141">
        <v>25</v>
      </c>
      <c r="AF57" s="134">
        <v>559</v>
      </c>
      <c r="AG57" s="135">
        <v>1.83E-2</v>
      </c>
      <c r="AH57" s="136">
        <v>0.41</v>
      </c>
      <c r="AI57" s="137">
        <v>22.36</v>
      </c>
      <c r="AJ57" s="144">
        <v>8099</v>
      </c>
      <c r="AK57" s="141">
        <v>719</v>
      </c>
      <c r="AL57" s="134">
        <v>110147</v>
      </c>
      <c r="AM57" s="135">
        <v>8.8800000000000004E-2</v>
      </c>
      <c r="AN57" s="136">
        <v>13.6</v>
      </c>
      <c r="AO57" s="137">
        <v>153.19</v>
      </c>
      <c r="AQ57" s="506"/>
      <c r="AR57" s="132">
        <v>46074</v>
      </c>
      <c r="AS57" s="141">
        <v>1201</v>
      </c>
      <c r="AT57" s="141">
        <v>56</v>
      </c>
      <c r="AU57" s="134">
        <v>2126</v>
      </c>
      <c r="AV57" s="135">
        <v>4.6600000000000003E-2</v>
      </c>
      <c r="AW57" s="136">
        <v>1.77</v>
      </c>
      <c r="AX57" s="137">
        <v>37.96</v>
      </c>
      <c r="AY57" s="144">
        <v>634</v>
      </c>
      <c r="AZ57" s="141">
        <v>18</v>
      </c>
      <c r="BA57" s="134">
        <v>112</v>
      </c>
      <c r="BB57" s="135">
        <v>2.8400000000000002E-2</v>
      </c>
      <c r="BC57" s="136">
        <v>0.18</v>
      </c>
      <c r="BD57" s="137">
        <v>6.22</v>
      </c>
      <c r="BE57" s="144">
        <v>567</v>
      </c>
      <c r="BF57" s="141">
        <v>38</v>
      </c>
      <c r="BG57" s="134">
        <v>2014</v>
      </c>
      <c r="BH57" s="135">
        <v>6.7000000000000004E-2</v>
      </c>
      <c r="BI57" s="136">
        <v>3.55</v>
      </c>
      <c r="BJ57" s="137">
        <v>53</v>
      </c>
    </row>
    <row r="58" spans="1:62" ht="16.350000000000001" customHeight="1">
      <c r="A58" s="506"/>
      <c r="B58" s="132">
        <v>46075</v>
      </c>
      <c r="C58" s="133">
        <f t="shared" si="18"/>
        <v>10748</v>
      </c>
      <c r="D58" s="166">
        <f t="shared" si="19"/>
        <v>669</v>
      </c>
      <c r="E58" s="134">
        <f t="shared" si="20"/>
        <v>81498</v>
      </c>
      <c r="F58" s="135">
        <f t="shared" si="21"/>
        <v>6.2244138444361739E-2</v>
      </c>
      <c r="G58" s="136">
        <f t="shared" si="22"/>
        <v>7.5826200223297358</v>
      </c>
      <c r="H58" s="137">
        <f t="shared" si="23"/>
        <v>121.82062780269058</v>
      </c>
      <c r="I58" s="133">
        <f t="shared" si="24"/>
        <v>1946</v>
      </c>
      <c r="J58" s="166">
        <f t="shared" si="25"/>
        <v>42</v>
      </c>
      <c r="K58" s="134">
        <f t="shared" si="26"/>
        <v>385</v>
      </c>
      <c r="L58" s="135">
        <f t="shared" si="27"/>
        <v>2.1582733812949641E-2</v>
      </c>
      <c r="M58" s="136">
        <f t="shared" si="28"/>
        <v>0.19784172661870503</v>
      </c>
      <c r="N58" s="137">
        <f t="shared" si="29"/>
        <v>9.1666666666666661</v>
      </c>
      <c r="O58" s="138">
        <f t="shared" si="30"/>
        <v>8802</v>
      </c>
      <c r="P58" s="166">
        <f t="shared" si="31"/>
        <v>627</v>
      </c>
      <c r="Q58" s="134">
        <f t="shared" si="32"/>
        <v>81113</v>
      </c>
      <c r="R58" s="135">
        <f t="shared" si="33"/>
        <v>7.1233810497614181E-2</v>
      </c>
      <c r="S58" s="136">
        <f t="shared" si="34"/>
        <v>9.2152919790956602</v>
      </c>
      <c r="T58" s="137">
        <f t="shared" si="35"/>
        <v>129.36682615629985</v>
      </c>
      <c r="V58" s="506"/>
      <c r="W58" s="132">
        <v>46075</v>
      </c>
      <c r="X58" s="140">
        <v>9587</v>
      </c>
      <c r="Y58" s="141">
        <v>606</v>
      </c>
      <c r="Z58" s="134">
        <v>77072</v>
      </c>
      <c r="AA58" s="135">
        <v>6.3200000000000006E-2</v>
      </c>
      <c r="AB58" s="136">
        <v>8.0399999999999991</v>
      </c>
      <c r="AC58" s="137">
        <v>127.18</v>
      </c>
      <c r="AD58" s="144">
        <v>1350</v>
      </c>
      <c r="AE58" s="141">
        <v>22</v>
      </c>
      <c r="AF58" s="134">
        <v>250</v>
      </c>
      <c r="AG58" s="135">
        <v>1.6299999999999999E-2</v>
      </c>
      <c r="AH58" s="136">
        <v>0.19</v>
      </c>
      <c r="AI58" s="137">
        <v>11.36</v>
      </c>
      <c r="AJ58" s="144">
        <v>8237</v>
      </c>
      <c r="AK58" s="141">
        <v>584</v>
      </c>
      <c r="AL58" s="134">
        <v>76822</v>
      </c>
      <c r="AM58" s="135">
        <v>7.0900000000000005E-2</v>
      </c>
      <c r="AN58" s="136">
        <v>9.33</v>
      </c>
      <c r="AO58" s="137">
        <v>131.54</v>
      </c>
      <c r="AQ58" s="506"/>
      <c r="AR58" s="132">
        <v>46075</v>
      </c>
      <c r="AS58" s="141">
        <v>1161</v>
      </c>
      <c r="AT58" s="141">
        <v>63</v>
      </c>
      <c r="AU58" s="134">
        <v>4426</v>
      </c>
      <c r="AV58" s="135">
        <v>5.4300000000000001E-2</v>
      </c>
      <c r="AW58" s="136">
        <v>3.81</v>
      </c>
      <c r="AX58" s="137">
        <v>70.25</v>
      </c>
      <c r="AY58" s="144">
        <v>596</v>
      </c>
      <c r="AZ58" s="141">
        <v>20</v>
      </c>
      <c r="BA58" s="134">
        <v>135</v>
      </c>
      <c r="BB58" s="135">
        <v>3.3599999999999998E-2</v>
      </c>
      <c r="BC58" s="136">
        <v>0.23</v>
      </c>
      <c r="BD58" s="137">
        <v>6.75</v>
      </c>
      <c r="BE58" s="144">
        <v>565</v>
      </c>
      <c r="BF58" s="141">
        <v>43</v>
      </c>
      <c r="BG58" s="134">
        <v>4291</v>
      </c>
      <c r="BH58" s="135">
        <v>7.6100000000000001E-2</v>
      </c>
      <c r="BI58" s="136">
        <v>7.59</v>
      </c>
      <c r="BJ58" s="137">
        <v>99.79</v>
      </c>
    </row>
    <row r="59" spans="1:62" ht="16.350000000000001" customHeight="1">
      <c r="A59" s="566" t="s">
        <v>32</v>
      </c>
      <c r="B59" s="132">
        <v>46076</v>
      </c>
      <c r="C59" s="133">
        <f t="shared" si="18"/>
        <v>10728</v>
      </c>
      <c r="D59" s="166">
        <f t="shared" si="19"/>
        <v>1153</v>
      </c>
      <c r="E59" s="134">
        <f t="shared" si="20"/>
        <v>302446</v>
      </c>
      <c r="F59" s="135">
        <f t="shared" si="21"/>
        <v>0.10747576435495898</v>
      </c>
      <c r="G59" s="136">
        <f t="shared" si="22"/>
        <v>28.192207307979121</v>
      </c>
      <c r="H59" s="137">
        <f t="shared" si="23"/>
        <v>262.31222896790979</v>
      </c>
      <c r="I59" s="133">
        <f t="shared" si="24"/>
        <v>1924</v>
      </c>
      <c r="J59" s="166">
        <f t="shared" si="25"/>
        <v>49</v>
      </c>
      <c r="K59" s="134">
        <f t="shared" si="26"/>
        <v>447</v>
      </c>
      <c r="L59" s="135">
        <f t="shared" si="27"/>
        <v>2.5467775467775469E-2</v>
      </c>
      <c r="M59" s="136">
        <f t="shared" si="28"/>
        <v>0.23232848232848233</v>
      </c>
      <c r="N59" s="137">
        <f t="shared" si="29"/>
        <v>9.1224489795918373</v>
      </c>
      <c r="O59" s="138">
        <f t="shared" si="30"/>
        <v>8804</v>
      </c>
      <c r="P59" s="166">
        <f t="shared" si="31"/>
        <v>1104</v>
      </c>
      <c r="Q59" s="134">
        <f t="shared" si="32"/>
        <v>301999</v>
      </c>
      <c r="R59" s="135">
        <f t="shared" si="33"/>
        <v>0.12539754656974103</v>
      </c>
      <c r="S59" s="136">
        <f t="shared" si="34"/>
        <v>34.302476147205816</v>
      </c>
      <c r="T59" s="137">
        <f t="shared" si="35"/>
        <v>273.54981884057969</v>
      </c>
      <c r="V59" s="567" t="s">
        <v>32</v>
      </c>
      <c r="W59" s="132">
        <v>46076</v>
      </c>
      <c r="X59" s="140">
        <v>9557</v>
      </c>
      <c r="Y59" s="141">
        <v>1052</v>
      </c>
      <c r="Z59" s="134">
        <v>295871</v>
      </c>
      <c r="AA59" s="135">
        <v>0.1101</v>
      </c>
      <c r="AB59" s="136">
        <v>30.96</v>
      </c>
      <c r="AC59" s="137">
        <v>281.25</v>
      </c>
      <c r="AD59" s="144">
        <v>1350</v>
      </c>
      <c r="AE59" s="141">
        <v>26</v>
      </c>
      <c r="AF59" s="134">
        <v>315</v>
      </c>
      <c r="AG59" s="135">
        <v>1.9300000000000001E-2</v>
      </c>
      <c r="AH59" s="136">
        <v>0.23</v>
      </c>
      <c r="AI59" s="137">
        <v>12.12</v>
      </c>
      <c r="AJ59" s="144">
        <v>8207</v>
      </c>
      <c r="AK59" s="141">
        <v>1026</v>
      </c>
      <c r="AL59" s="134">
        <v>295556</v>
      </c>
      <c r="AM59" s="135">
        <v>0.125</v>
      </c>
      <c r="AN59" s="136">
        <v>36.01</v>
      </c>
      <c r="AO59" s="137">
        <v>288.07</v>
      </c>
      <c r="AQ59" s="568" t="s">
        <v>32</v>
      </c>
      <c r="AR59" s="132">
        <v>46076</v>
      </c>
      <c r="AS59" s="141">
        <v>1171</v>
      </c>
      <c r="AT59" s="141">
        <v>101</v>
      </c>
      <c r="AU59" s="134">
        <v>6575</v>
      </c>
      <c r="AV59" s="135">
        <v>8.6300000000000002E-2</v>
      </c>
      <c r="AW59" s="136">
        <v>5.61</v>
      </c>
      <c r="AX59" s="137">
        <v>65.099999999999994</v>
      </c>
      <c r="AY59" s="144">
        <v>574</v>
      </c>
      <c r="AZ59" s="141">
        <v>23</v>
      </c>
      <c r="BA59" s="134">
        <v>132</v>
      </c>
      <c r="BB59" s="135">
        <v>4.0099999999999997E-2</v>
      </c>
      <c r="BC59" s="136">
        <v>0.23</v>
      </c>
      <c r="BD59" s="137">
        <v>5.74</v>
      </c>
      <c r="BE59" s="144">
        <v>597</v>
      </c>
      <c r="BF59" s="141">
        <v>78</v>
      </c>
      <c r="BG59" s="134">
        <v>6443</v>
      </c>
      <c r="BH59" s="135">
        <v>0.13070000000000001</v>
      </c>
      <c r="BI59" s="136">
        <v>10.79</v>
      </c>
      <c r="BJ59" s="137">
        <v>82.6</v>
      </c>
    </row>
    <row r="60" spans="1:62" ht="16.350000000000001" customHeight="1">
      <c r="A60" s="502"/>
      <c r="B60" s="132">
        <v>46077</v>
      </c>
      <c r="C60" s="133">
        <f t="shared" si="18"/>
        <v>9908</v>
      </c>
      <c r="D60" s="166">
        <f t="shared" si="19"/>
        <v>786</v>
      </c>
      <c r="E60" s="134">
        <f t="shared" si="20"/>
        <v>142641</v>
      </c>
      <c r="F60" s="135">
        <f t="shared" si="21"/>
        <v>7.932983447719015E-2</v>
      </c>
      <c r="G60" s="136">
        <f t="shared" si="22"/>
        <v>14.396548243843359</v>
      </c>
      <c r="H60" s="137">
        <f t="shared" si="23"/>
        <v>181.47709923664121</v>
      </c>
      <c r="I60" s="133">
        <f t="shared" si="24"/>
        <v>1342</v>
      </c>
      <c r="J60" s="166">
        <f t="shared" si="25"/>
        <v>41</v>
      </c>
      <c r="K60" s="134">
        <f t="shared" si="26"/>
        <v>325</v>
      </c>
      <c r="L60" s="135">
        <f t="shared" si="27"/>
        <v>3.0551415797317436E-2</v>
      </c>
      <c r="M60" s="136">
        <f t="shared" si="28"/>
        <v>0.2421758569299553</v>
      </c>
      <c r="N60" s="137">
        <f t="shared" si="29"/>
        <v>7.9268292682926829</v>
      </c>
      <c r="O60" s="138">
        <f t="shared" si="30"/>
        <v>8566</v>
      </c>
      <c r="P60" s="166">
        <f t="shared" si="31"/>
        <v>745</v>
      </c>
      <c r="Q60" s="134">
        <f t="shared" si="32"/>
        <v>142316</v>
      </c>
      <c r="R60" s="135">
        <f t="shared" si="33"/>
        <v>8.6971748774223673E-2</v>
      </c>
      <c r="S60" s="136">
        <f t="shared" si="34"/>
        <v>16.614055568526734</v>
      </c>
      <c r="T60" s="137">
        <f t="shared" si="35"/>
        <v>191.02818791946308</v>
      </c>
      <c r="V60" s="502"/>
      <c r="W60" s="132">
        <v>46077</v>
      </c>
      <c r="X60" s="140">
        <v>8906</v>
      </c>
      <c r="Y60" s="141">
        <v>722</v>
      </c>
      <c r="Z60" s="134">
        <v>140001</v>
      </c>
      <c r="AA60" s="135">
        <v>8.1100000000000005E-2</v>
      </c>
      <c r="AB60" s="136">
        <v>15.72</v>
      </c>
      <c r="AC60" s="137">
        <v>193.91</v>
      </c>
      <c r="AD60" s="144">
        <v>904</v>
      </c>
      <c r="AE60" s="141">
        <v>22</v>
      </c>
      <c r="AF60" s="134">
        <v>234</v>
      </c>
      <c r="AG60" s="135">
        <v>2.4299999999999999E-2</v>
      </c>
      <c r="AH60" s="136">
        <v>0.26</v>
      </c>
      <c r="AI60" s="137">
        <v>10.64</v>
      </c>
      <c r="AJ60" s="144">
        <v>8002</v>
      </c>
      <c r="AK60" s="141">
        <v>700</v>
      </c>
      <c r="AL60" s="134">
        <v>139767</v>
      </c>
      <c r="AM60" s="135">
        <v>8.7499999999999994E-2</v>
      </c>
      <c r="AN60" s="136">
        <v>17.47</v>
      </c>
      <c r="AO60" s="137">
        <v>199.67</v>
      </c>
      <c r="AQ60" s="502"/>
      <c r="AR60" s="132">
        <v>46077</v>
      </c>
      <c r="AS60" s="141">
        <v>1002</v>
      </c>
      <c r="AT60" s="141">
        <v>64</v>
      </c>
      <c r="AU60" s="134">
        <v>2640</v>
      </c>
      <c r="AV60" s="135">
        <v>6.3899999999999998E-2</v>
      </c>
      <c r="AW60" s="136">
        <v>2.63</v>
      </c>
      <c r="AX60" s="137">
        <v>41.25</v>
      </c>
      <c r="AY60" s="144">
        <v>438</v>
      </c>
      <c r="AZ60" s="141">
        <v>19</v>
      </c>
      <c r="BA60" s="134">
        <v>91</v>
      </c>
      <c r="BB60" s="135">
        <v>4.3400000000000001E-2</v>
      </c>
      <c r="BC60" s="136">
        <v>0.21</v>
      </c>
      <c r="BD60" s="137">
        <v>4.79</v>
      </c>
      <c r="BE60" s="144">
        <v>564</v>
      </c>
      <c r="BF60" s="141">
        <v>45</v>
      </c>
      <c r="BG60" s="134">
        <v>2549</v>
      </c>
      <c r="BH60" s="135">
        <v>7.9799999999999996E-2</v>
      </c>
      <c r="BI60" s="136">
        <v>4.5199999999999996</v>
      </c>
      <c r="BJ60" s="137">
        <v>56.64</v>
      </c>
    </row>
    <row r="61" spans="1:62" ht="16.350000000000001" customHeight="1">
      <c r="A61" s="502"/>
      <c r="B61" s="132">
        <v>46078</v>
      </c>
      <c r="C61" s="133">
        <f t="shared" si="18"/>
        <v>9738</v>
      </c>
      <c r="D61" s="166">
        <f t="shared" si="19"/>
        <v>770</v>
      </c>
      <c r="E61" s="134">
        <f t="shared" si="20"/>
        <v>164733</v>
      </c>
      <c r="F61" s="135">
        <f t="shared" si="21"/>
        <v>7.9071677962620657E-2</v>
      </c>
      <c r="G61" s="136">
        <f t="shared" si="22"/>
        <v>16.916512630930377</v>
      </c>
      <c r="H61" s="137">
        <f t="shared" si="23"/>
        <v>213.93896103896103</v>
      </c>
      <c r="I61" s="133">
        <f t="shared" si="24"/>
        <v>1265</v>
      </c>
      <c r="J61" s="166">
        <f t="shared" si="25"/>
        <v>43</v>
      </c>
      <c r="K61" s="134">
        <f t="shared" si="26"/>
        <v>1817</v>
      </c>
      <c r="L61" s="135">
        <f t="shared" si="27"/>
        <v>3.3992094861660077E-2</v>
      </c>
      <c r="M61" s="136">
        <f t="shared" si="28"/>
        <v>1.4363636363636363</v>
      </c>
      <c r="N61" s="137">
        <f t="shared" si="29"/>
        <v>42.255813953488371</v>
      </c>
      <c r="O61" s="138">
        <f t="shared" si="30"/>
        <v>8473</v>
      </c>
      <c r="P61" s="166">
        <f t="shared" si="31"/>
        <v>727</v>
      </c>
      <c r="Q61" s="134">
        <f t="shared" si="32"/>
        <v>162916</v>
      </c>
      <c r="R61" s="135">
        <f t="shared" si="33"/>
        <v>8.5801959164404584E-2</v>
      </c>
      <c r="S61" s="136">
        <f t="shared" si="34"/>
        <v>19.227664345568275</v>
      </c>
      <c r="T61" s="137">
        <f t="shared" si="35"/>
        <v>224.09353507565336</v>
      </c>
      <c r="V61" s="502"/>
      <c r="W61" s="132">
        <v>46078</v>
      </c>
      <c r="X61" s="140">
        <v>8780</v>
      </c>
      <c r="Y61" s="141">
        <v>709</v>
      </c>
      <c r="Z61" s="134">
        <v>161096</v>
      </c>
      <c r="AA61" s="135">
        <v>8.0799999999999997E-2</v>
      </c>
      <c r="AB61" s="136">
        <v>18.350000000000001</v>
      </c>
      <c r="AC61" s="137">
        <v>227.22</v>
      </c>
      <c r="AD61" s="144">
        <v>860</v>
      </c>
      <c r="AE61" s="141">
        <v>25</v>
      </c>
      <c r="AF61" s="134">
        <v>1289</v>
      </c>
      <c r="AG61" s="135">
        <v>2.9100000000000001E-2</v>
      </c>
      <c r="AH61" s="136">
        <v>1.5</v>
      </c>
      <c r="AI61" s="137">
        <v>51.56</v>
      </c>
      <c r="AJ61" s="144">
        <v>7920</v>
      </c>
      <c r="AK61" s="141">
        <v>684</v>
      </c>
      <c r="AL61" s="134">
        <v>159807</v>
      </c>
      <c r="AM61" s="135">
        <v>8.6400000000000005E-2</v>
      </c>
      <c r="AN61" s="136">
        <v>20.18</v>
      </c>
      <c r="AO61" s="137">
        <v>233.64</v>
      </c>
      <c r="AQ61" s="502"/>
      <c r="AR61" s="132">
        <v>46078</v>
      </c>
      <c r="AS61" s="141">
        <v>958</v>
      </c>
      <c r="AT61" s="141">
        <v>61</v>
      </c>
      <c r="AU61" s="134">
        <v>3637</v>
      </c>
      <c r="AV61" s="135">
        <v>6.3700000000000007E-2</v>
      </c>
      <c r="AW61" s="136">
        <v>3.8</v>
      </c>
      <c r="AX61" s="137">
        <v>59.62</v>
      </c>
      <c r="AY61" s="144">
        <v>405</v>
      </c>
      <c r="AZ61" s="141">
        <v>18</v>
      </c>
      <c r="BA61" s="134">
        <v>528</v>
      </c>
      <c r="BB61" s="135">
        <v>4.4400000000000002E-2</v>
      </c>
      <c r="BC61" s="136">
        <v>1.3</v>
      </c>
      <c r="BD61" s="137">
        <v>29.33</v>
      </c>
      <c r="BE61" s="144">
        <v>553</v>
      </c>
      <c r="BF61" s="141">
        <v>43</v>
      </c>
      <c r="BG61" s="134">
        <v>3109</v>
      </c>
      <c r="BH61" s="135">
        <v>7.7799999999999994E-2</v>
      </c>
      <c r="BI61" s="136">
        <v>5.62</v>
      </c>
      <c r="BJ61" s="137">
        <v>72.3</v>
      </c>
    </row>
    <row r="62" spans="1:62" ht="16.350000000000001" customHeight="1">
      <c r="A62" s="571" t="s">
        <v>24</v>
      </c>
      <c r="B62" s="398">
        <v>46079</v>
      </c>
      <c r="C62" s="408">
        <f t="shared" si="18"/>
        <v>10280</v>
      </c>
      <c r="D62" s="409">
        <f t="shared" si="19"/>
        <v>577</v>
      </c>
      <c r="E62" s="384">
        <f t="shared" si="20"/>
        <v>55760</v>
      </c>
      <c r="F62" s="387">
        <f t="shared" si="21"/>
        <v>5.6128404669260702E-2</v>
      </c>
      <c r="G62" s="388">
        <f t="shared" si="22"/>
        <v>5.4241245136186773</v>
      </c>
      <c r="H62" s="389">
        <f t="shared" si="23"/>
        <v>96.63778162911612</v>
      </c>
      <c r="I62" s="408">
        <f t="shared" si="24"/>
        <v>1792</v>
      </c>
      <c r="J62" s="409">
        <f t="shared" si="25"/>
        <v>69</v>
      </c>
      <c r="K62" s="384">
        <f t="shared" si="26"/>
        <v>621</v>
      </c>
      <c r="L62" s="387">
        <f t="shared" si="27"/>
        <v>3.8504464285714288E-2</v>
      </c>
      <c r="M62" s="388">
        <f t="shared" si="28"/>
        <v>0.34654017857142855</v>
      </c>
      <c r="N62" s="389">
        <f t="shared" si="29"/>
        <v>9</v>
      </c>
      <c r="O62" s="411">
        <f t="shared" si="30"/>
        <v>8488</v>
      </c>
      <c r="P62" s="409">
        <f t="shared" si="31"/>
        <v>508</v>
      </c>
      <c r="Q62" s="384">
        <f t="shared" si="32"/>
        <v>55139</v>
      </c>
      <c r="R62" s="387">
        <f t="shared" si="33"/>
        <v>5.9849198868991517E-2</v>
      </c>
      <c r="S62" s="388">
        <f t="shared" si="34"/>
        <v>6.4961121583411874</v>
      </c>
      <c r="T62" s="399">
        <f t="shared" si="35"/>
        <v>108.54133858267717</v>
      </c>
      <c r="V62" s="574" t="s">
        <v>24</v>
      </c>
      <c r="W62" s="398">
        <v>46079</v>
      </c>
      <c r="X62" s="381">
        <v>8878</v>
      </c>
      <c r="Y62" s="382">
        <v>505</v>
      </c>
      <c r="Z62" s="384">
        <v>52716</v>
      </c>
      <c r="AA62" s="387">
        <v>5.6899999999999999E-2</v>
      </c>
      <c r="AB62" s="388">
        <v>5.94</v>
      </c>
      <c r="AC62" s="389">
        <v>104.39</v>
      </c>
      <c r="AD62" s="390">
        <v>987</v>
      </c>
      <c r="AE62" s="382">
        <v>29</v>
      </c>
      <c r="AF62" s="384">
        <v>257</v>
      </c>
      <c r="AG62" s="387">
        <v>2.9399999999999999E-2</v>
      </c>
      <c r="AH62" s="388">
        <v>0.26</v>
      </c>
      <c r="AI62" s="389">
        <v>8.86</v>
      </c>
      <c r="AJ62" s="390">
        <v>7891</v>
      </c>
      <c r="AK62" s="382">
        <v>476</v>
      </c>
      <c r="AL62" s="384">
        <v>52459</v>
      </c>
      <c r="AM62" s="387">
        <v>6.0299999999999999E-2</v>
      </c>
      <c r="AN62" s="388">
        <v>6.65</v>
      </c>
      <c r="AO62" s="399">
        <v>110.21</v>
      </c>
      <c r="AQ62" s="577" t="s">
        <v>24</v>
      </c>
      <c r="AR62" s="398">
        <v>46079</v>
      </c>
      <c r="AS62" s="382">
        <v>1402</v>
      </c>
      <c r="AT62" s="382">
        <v>72</v>
      </c>
      <c r="AU62" s="384">
        <v>3044</v>
      </c>
      <c r="AV62" s="387">
        <v>5.1400000000000001E-2</v>
      </c>
      <c r="AW62" s="388">
        <v>2.17</v>
      </c>
      <c r="AX62" s="389">
        <v>42.28</v>
      </c>
      <c r="AY62" s="390">
        <v>805</v>
      </c>
      <c r="AZ62" s="382">
        <v>40</v>
      </c>
      <c r="BA62" s="384">
        <v>364</v>
      </c>
      <c r="BB62" s="387">
        <v>4.9700000000000001E-2</v>
      </c>
      <c r="BC62" s="388">
        <v>0.45</v>
      </c>
      <c r="BD62" s="389">
        <v>9.1</v>
      </c>
      <c r="BE62" s="390">
        <v>597</v>
      </c>
      <c r="BF62" s="382">
        <v>32</v>
      </c>
      <c r="BG62" s="384">
        <v>2680</v>
      </c>
      <c r="BH62" s="387">
        <v>5.3600000000000002E-2</v>
      </c>
      <c r="BI62" s="388">
        <v>4.49</v>
      </c>
      <c r="BJ62" s="399">
        <v>83.75</v>
      </c>
    </row>
    <row r="63" spans="1:62" ht="16.350000000000001" customHeight="1">
      <c r="A63" s="509"/>
      <c r="B63" s="341">
        <v>46080</v>
      </c>
      <c r="C63" s="153">
        <f t="shared" si="18"/>
        <v>10090</v>
      </c>
      <c r="D63" s="184">
        <f t="shared" si="19"/>
        <v>605</v>
      </c>
      <c r="E63" s="72">
        <f t="shared" si="20"/>
        <v>72114</v>
      </c>
      <c r="F63" s="73">
        <f t="shared" si="21"/>
        <v>5.9960356788899903E-2</v>
      </c>
      <c r="G63" s="74">
        <f t="shared" si="22"/>
        <v>7.1470763131813673</v>
      </c>
      <c r="H63" s="75">
        <f t="shared" si="23"/>
        <v>119.19669421487603</v>
      </c>
      <c r="I63" s="153">
        <f t="shared" si="24"/>
        <v>1615</v>
      </c>
      <c r="J63" s="184">
        <f t="shared" si="25"/>
        <v>75</v>
      </c>
      <c r="K63" s="72">
        <f t="shared" si="26"/>
        <v>645</v>
      </c>
      <c r="L63" s="73">
        <f t="shared" si="27"/>
        <v>4.6439628482972138E-2</v>
      </c>
      <c r="M63" s="74">
        <f t="shared" si="28"/>
        <v>0.39938080495356038</v>
      </c>
      <c r="N63" s="75">
        <f t="shared" si="29"/>
        <v>8.6</v>
      </c>
      <c r="O63" s="364">
        <f t="shared" si="30"/>
        <v>8475</v>
      </c>
      <c r="P63" s="184">
        <f t="shared" si="31"/>
        <v>530</v>
      </c>
      <c r="Q63" s="72">
        <f t="shared" si="32"/>
        <v>71469</v>
      </c>
      <c r="R63" s="73">
        <f t="shared" si="33"/>
        <v>6.2536873156342182E-2</v>
      </c>
      <c r="S63" s="74">
        <f t="shared" si="34"/>
        <v>8.4329203539823006</v>
      </c>
      <c r="T63" s="402">
        <f t="shared" si="35"/>
        <v>134.84716981132075</v>
      </c>
      <c r="V63" s="509"/>
      <c r="W63" s="341">
        <v>46080</v>
      </c>
      <c r="X63" s="369">
        <v>8778</v>
      </c>
      <c r="Y63" s="71">
        <v>519</v>
      </c>
      <c r="Z63" s="72">
        <v>69028</v>
      </c>
      <c r="AA63" s="73">
        <v>5.91E-2</v>
      </c>
      <c r="AB63" s="74">
        <v>7.86</v>
      </c>
      <c r="AC63" s="75">
        <v>133</v>
      </c>
      <c r="AD63" s="76">
        <v>951</v>
      </c>
      <c r="AE63" s="71">
        <v>29</v>
      </c>
      <c r="AF63" s="72">
        <v>193</v>
      </c>
      <c r="AG63" s="73">
        <v>3.0499999999999999E-2</v>
      </c>
      <c r="AH63" s="74">
        <v>0.2</v>
      </c>
      <c r="AI63" s="75">
        <v>6.66</v>
      </c>
      <c r="AJ63" s="76">
        <v>7827</v>
      </c>
      <c r="AK63" s="71">
        <v>490</v>
      </c>
      <c r="AL63" s="72">
        <v>68835</v>
      </c>
      <c r="AM63" s="73">
        <v>6.2600000000000003E-2</v>
      </c>
      <c r="AN63" s="74">
        <v>8.7899999999999991</v>
      </c>
      <c r="AO63" s="402">
        <v>140.47999999999999</v>
      </c>
      <c r="AQ63" s="509"/>
      <c r="AR63" s="341">
        <v>46080</v>
      </c>
      <c r="AS63" s="71">
        <v>1312</v>
      </c>
      <c r="AT63" s="71">
        <v>86</v>
      </c>
      <c r="AU63" s="72">
        <v>3086</v>
      </c>
      <c r="AV63" s="73">
        <v>6.5500000000000003E-2</v>
      </c>
      <c r="AW63" s="74">
        <v>2.35</v>
      </c>
      <c r="AX63" s="75">
        <v>35.880000000000003</v>
      </c>
      <c r="AY63" s="76">
        <v>664</v>
      </c>
      <c r="AZ63" s="71">
        <v>46</v>
      </c>
      <c r="BA63" s="72">
        <v>452</v>
      </c>
      <c r="BB63" s="73">
        <v>6.93E-2</v>
      </c>
      <c r="BC63" s="74">
        <v>0.68</v>
      </c>
      <c r="BD63" s="75">
        <v>9.83</v>
      </c>
      <c r="BE63" s="76">
        <v>648</v>
      </c>
      <c r="BF63" s="71">
        <v>40</v>
      </c>
      <c r="BG63" s="72">
        <v>2634</v>
      </c>
      <c r="BH63" s="73">
        <v>6.1699999999999998E-2</v>
      </c>
      <c r="BI63" s="74">
        <v>4.0599999999999996</v>
      </c>
      <c r="BJ63" s="402">
        <v>65.849999999999994</v>
      </c>
    </row>
    <row r="64" spans="1:62" ht="16.350000000000001" customHeight="1">
      <c r="A64" s="90"/>
      <c r="B64" s="410">
        <v>46081</v>
      </c>
      <c r="C64" s="177">
        <f t="shared" si="18"/>
        <v>10356</v>
      </c>
      <c r="D64" s="178">
        <f t="shared" si="19"/>
        <v>719</v>
      </c>
      <c r="E64" s="64">
        <f t="shared" si="20"/>
        <v>40025</v>
      </c>
      <c r="F64" s="26">
        <f t="shared" si="21"/>
        <v>6.9428350714561604E-2</v>
      </c>
      <c r="G64" s="27">
        <f t="shared" si="22"/>
        <v>3.8649092313634608</v>
      </c>
      <c r="H64" s="28">
        <f t="shared" si="23"/>
        <v>55.667593880389433</v>
      </c>
      <c r="I64" s="177">
        <f t="shared" si="24"/>
        <v>1703</v>
      </c>
      <c r="J64" s="178">
        <f t="shared" si="25"/>
        <v>72</v>
      </c>
      <c r="K64" s="64">
        <f t="shared" si="26"/>
        <v>571</v>
      </c>
      <c r="L64" s="26">
        <f t="shared" si="27"/>
        <v>4.2278332354668234E-2</v>
      </c>
      <c r="M64" s="27">
        <f t="shared" si="28"/>
        <v>0.33529066353493836</v>
      </c>
      <c r="N64" s="28">
        <f t="shared" si="29"/>
        <v>7.9305555555555554</v>
      </c>
      <c r="O64" s="363">
        <f t="shared" si="30"/>
        <v>8653</v>
      </c>
      <c r="P64" s="178">
        <f t="shared" si="31"/>
        <v>647</v>
      </c>
      <c r="Q64" s="64">
        <f t="shared" si="32"/>
        <v>39454</v>
      </c>
      <c r="R64" s="26">
        <f t="shared" si="33"/>
        <v>7.4771755460533926E-2</v>
      </c>
      <c r="S64" s="27">
        <f t="shared" si="34"/>
        <v>4.5595747139720331</v>
      </c>
      <c r="T64" s="406">
        <f t="shared" si="35"/>
        <v>60.979907264296756</v>
      </c>
      <c r="V64" s="90"/>
      <c r="W64" s="410">
        <v>46081</v>
      </c>
      <c r="X64" s="368">
        <v>9033</v>
      </c>
      <c r="Y64" s="25">
        <v>618</v>
      </c>
      <c r="Z64" s="64">
        <v>37428</v>
      </c>
      <c r="AA64" s="26">
        <v>6.8400000000000002E-2</v>
      </c>
      <c r="AB64" s="27">
        <v>4.1399999999999997</v>
      </c>
      <c r="AC64" s="28">
        <v>60.56</v>
      </c>
      <c r="AD64" s="24">
        <v>1039</v>
      </c>
      <c r="AE64" s="25">
        <v>24</v>
      </c>
      <c r="AF64" s="64">
        <v>93</v>
      </c>
      <c r="AG64" s="26">
        <v>2.3099999999999999E-2</v>
      </c>
      <c r="AH64" s="27">
        <v>0.09</v>
      </c>
      <c r="AI64" s="28">
        <v>3.88</v>
      </c>
      <c r="AJ64" s="24">
        <v>7994</v>
      </c>
      <c r="AK64" s="25">
        <v>594</v>
      </c>
      <c r="AL64" s="64">
        <v>37335</v>
      </c>
      <c r="AM64" s="26">
        <v>7.4300000000000005E-2</v>
      </c>
      <c r="AN64" s="27">
        <v>4.67</v>
      </c>
      <c r="AO64" s="406">
        <v>62.85</v>
      </c>
      <c r="AQ64" s="90"/>
      <c r="AR64" s="410">
        <v>46081</v>
      </c>
      <c r="AS64" s="25">
        <v>1323</v>
      </c>
      <c r="AT64" s="25">
        <v>101</v>
      </c>
      <c r="AU64" s="64">
        <v>2597</v>
      </c>
      <c r="AV64" s="26">
        <v>7.6300000000000007E-2</v>
      </c>
      <c r="AW64" s="27">
        <v>1.96</v>
      </c>
      <c r="AX64" s="28">
        <v>25.71</v>
      </c>
      <c r="AY64" s="24">
        <v>664</v>
      </c>
      <c r="AZ64" s="25">
        <v>48</v>
      </c>
      <c r="BA64" s="64">
        <v>478</v>
      </c>
      <c r="BB64" s="26">
        <v>7.2300000000000003E-2</v>
      </c>
      <c r="BC64" s="27">
        <v>0.72</v>
      </c>
      <c r="BD64" s="28">
        <v>9.9600000000000009</v>
      </c>
      <c r="BE64" s="24">
        <v>659</v>
      </c>
      <c r="BF64" s="25">
        <v>53</v>
      </c>
      <c r="BG64" s="64">
        <v>2119</v>
      </c>
      <c r="BH64" s="26">
        <v>8.0399999999999999E-2</v>
      </c>
      <c r="BI64" s="27">
        <v>3.22</v>
      </c>
      <c r="BJ64" s="406">
        <v>39.979999999999997</v>
      </c>
    </row>
    <row r="65" spans="1:62" ht="16.350000000000001" customHeight="1">
      <c r="A65" s="90"/>
      <c r="B65" s="410">
        <v>46082</v>
      </c>
      <c r="C65" s="177">
        <f t="shared" si="18"/>
        <v>10650</v>
      </c>
      <c r="D65" s="178">
        <f t="shared" si="19"/>
        <v>685</v>
      </c>
      <c r="E65" s="64">
        <f t="shared" si="20"/>
        <v>46873</v>
      </c>
      <c r="F65" s="26">
        <f t="shared" si="21"/>
        <v>6.4319248826291087E-2</v>
      </c>
      <c r="G65" s="27">
        <f t="shared" si="22"/>
        <v>4.401220657276995</v>
      </c>
      <c r="H65" s="28">
        <f t="shared" si="23"/>
        <v>68.427737226277372</v>
      </c>
      <c r="I65" s="177">
        <f t="shared" si="24"/>
        <v>2012</v>
      </c>
      <c r="J65" s="178">
        <f t="shared" si="25"/>
        <v>95</v>
      </c>
      <c r="K65" s="64">
        <f t="shared" si="26"/>
        <v>3670</v>
      </c>
      <c r="L65" s="26">
        <f t="shared" si="27"/>
        <v>4.7216699801192842E-2</v>
      </c>
      <c r="M65" s="27">
        <f t="shared" si="28"/>
        <v>1.8240556660039762</v>
      </c>
      <c r="N65" s="28">
        <f t="shared" si="29"/>
        <v>38.631578947368418</v>
      </c>
      <c r="O65" s="363">
        <f t="shared" si="30"/>
        <v>8638</v>
      </c>
      <c r="P65" s="178">
        <f t="shared" si="31"/>
        <v>590</v>
      </c>
      <c r="Q65" s="64">
        <f t="shared" si="32"/>
        <v>43203</v>
      </c>
      <c r="R65" s="26">
        <f t="shared" si="33"/>
        <v>6.8302847881454035E-2</v>
      </c>
      <c r="S65" s="27">
        <f t="shared" si="34"/>
        <v>5.001504978004168</v>
      </c>
      <c r="T65" s="406">
        <f t="shared" si="35"/>
        <v>73.225423728813553</v>
      </c>
      <c r="V65" s="90"/>
      <c r="W65" s="410">
        <v>46082</v>
      </c>
      <c r="X65" s="368">
        <v>8893</v>
      </c>
      <c r="Y65" s="25">
        <v>579</v>
      </c>
      <c r="Z65" s="64">
        <v>43378</v>
      </c>
      <c r="AA65" s="26">
        <v>6.5100000000000005E-2</v>
      </c>
      <c r="AB65" s="27">
        <v>4.88</v>
      </c>
      <c r="AC65" s="28">
        <v>74.92</v>
      </c>
      <c r="AD65" s="24">
        <v>1011</v>
      </c>
      <c r="AE65" s="25">
        <v>39</v>
      </c>
      <c r="AF65" s="64">
        <v>2782</v>
      </c>
      <c r="AG65" s="26">
        <v>3.8600000000000002E-2</v>
      </c>
      <c r="AH65" s="27">
        <v>2.75</v>
      </c>
      <c r="AI65" s="28">
        <v>71.33</v>
      </c>
      <c r="AJ65" s="24">
        <v>7882</v>
      </c>
      <c r="AK65" s="25">
        <v>540</v>
      </c>
      <c r="AL65" s="64">
        <v>40596</v>
      </c>
      <c r="AM65" s="26">
        <v>6.8500000000000005E-2</v>
      </c>
      <c r="AN65" s="27">
        <v>5.15</v>
      </c>
      <c r="AO65" s="406">
        <v>75.180000000000007</v>
      </c>
      <c r="AQ65" s="90"/>
      <c r="AR65" s="410">
        <v>46082</v>
      </c>
      <c r="AS65" s="25">
        <v>1757</v>
      </c>
      <c r="AT65" s="25">
        <v>106</v>
      </c>
      <c r="AU65" s="64">
        <v>3495</v>
      </c>
      <c r="AV65" s="26">
        <v>6.0299999999999999E-2</v>
      </c>
      <c r="AW65" s="27">
        <v>1.99</v>
      </c>
      <c r="AX65" s="28">
        <v>32.97</v>
      </c>
      <c r="AY65" s="24">
        <v>1001</v>
      </c>
      <c r="AZ65" s="25">
        <v>56</v>
      </c>
      <c r="BA65" s="64">
        <v>888</v>
      </c>
      <c r="BB65" s="26">
        <v>5.5899999999999998E-2</v>
      </c>
      <c r="BC65" s="27">
        <v>0.89</v>
      </c>
      <c r="BD65" s="28">
        <v>15.86</v>
      </c>
      <c r="BE65" s="24">
        <v>756</v>
      </c>
      <c r="BF65" s="25">
        <v>50</v>
      </c>
      <c r="BG65" s="64">
        <v>2607</v>
      </c>
      <c r="BH65" s="26">
        <v>6.6100000000000006E-2</v>
      </c>
      <c r="BI65" s="27">
        <v>3.45</v>
      </c>
      <c r="BJ65" s="406">
        <v>52.14</v>
      </c>
    </row>
    <row r="66" spans="1:62" ht="16.350000000000001" customHeight="1">
      <c r="A66" s="90"/>
      <c r="B66" s="410">
        <v>46083</v>
      </c>
      <c r="C66" s="177">
        <f t="shared" si="18"/>
        <v>10705</v>
      </c>
      <c r="D66" s="178">
        <f t="shared" si="19"/>
        <v>932</v>
      </c>
      <c r="E66" s="64">
        <f t="shared" si="20"/>
        <v>63216</v>
      </c>
      <c r="F66" s="26">
        <f t="shared" si="21"/>
        <v>8.7062120504437179E-2</v>
      </c>
      <c r="G66" s="27">
        <f t="shared" si="22"/>
        <v>5.9052779075198503</v>
      </c>
      <c r="H66" s="28">
        <f t="shared" si="23"/>
        <v>67.828326180257505</v>
      </c>
      <c r="I66" s="177">
        <f t="shared" si="24"/>
        <v>2109</v>
      </c>
      <c r="J66" s="178">
        <f t="shared" si="25"/>
        <v>84</v>
      </c>
      <c r="K66" s="64">
        <f t="shared" si="26"/>
        <v>795</v>
      </c>
      <c r="L66" s="26">
        <f t="shared" si="27"/>
        <v>3.9829302987197723E-2</v>
      </c>
      <c r="M66" s="27">
        <f t="shared" si="28"/>
        <v>0.37695590327169276</v>
      </c>
      <c r="N66" s="28">
        <f t="shared" si="29"/>
        <v>9.4642857142857135</v>
      </c>
      <c r="O66" s="363">
        <f t="shared" si="30"/>
        <v>8596</v>
      </c>
      <c r="P66" s="178">
        <f t="shared" si="31"/>
        <v>848</v>
      </c>
      <c r="Q66" s="64">
        <f t="shared" si="32"/>
        <v>62421</v>
      </c>
      <c r="R66" s="26">
        <f t="shared" si="33"/>
        <v>9.8650535132619829E-2</v>
      </c>
      <c r="S66" s="27">
        <f t="shared" si="34"/>
        <v>7.261633317822243</v>
      </c>
      <c r="T66" s="406">
        <f t="shared" si="35"/>
        <v>73.609669811320757</v>
      </c>
      <c r="V66" s="90"/>
      <c r="W66" s="410">
        <v>46083</v>
      </c>
      <c r="X66" s="368">
        <v>8819</v>
      </c>
      <c r="Y66" s="25">
        <v>830</v>
      </c>
      <c r="Z66" s="64">
        <v>60907</v>
      </c>
      <c r="AA66" s="26">
        <v>9.4100000000000003E-2</v>
      </c>
      <c r="AB66" s="27">
        <v>6.91</v>
      </c>
      <c r="AC66" s="28">
        <v>73.38</v>
      </c>
      <c r="AD66" s="24">
        <v>1052</v>
      </c>
      <c r="AE66" s="25">
        <v>34</v>
      </c>
      <c r="AF66" s="64">
        <v>496</v>
      </c>
      <c r="AG66" s="26">
        <v>3.2300000000000002E-2</v>
      </c>
      <c r="AH66" s="27">
        <v>0.47</v>
      </c>
      <c r="AI66" s="28">
        <v>14.59</v>
      </c>
      <c r="AJ66" s="24">
        <v>7767</v>
      </c>
      <c r="AK66" s="25">
        <v>796</v>
      </c>
      <c r="AL66" s="64">
        <v>60411</v>
      </c>
      <c r="AM66" s="26">
        <v>0.10249999999999999</v>
      </c>
      <c r="AN66" s="27">
        <v>7.78</v>
      </c>
      <c r="AO66" s="406">
        <v>75.89</v>
      </c>
      <c r="AQ66" s="90"/>
      <c r="AR66" s="410">
        <v>46083</v>
      </c>
      <c r="AS66" s="25">
        <v>1886</v>
      </c>
      <c r="AT66" s="25">
        <v>102</v>
      </c>
      <c r="AU66" s="64">
        <v>2309</v>
      </c>
      <c r="AV66" s="26">
        <v>5.4100000000000002E-2</v>
      </c>
      <c r="AW66" s="27">
        <v>1.22</v>
      </c>
      <c r="AX66" s="28">
        <v>22.64</v>
      </c>
      <c r="AY66" s="24">
        <v>1057</v>
      </c>
      <c r="AZ66" s="25">
        <v>50</v>
      </c>
      <c r="BA66" s="64">
        <v>299</v>
      </c>
      <c r="BB66" s="26">
        <v>4.7300000000000002E-2</v>
      </c>
      <c r="BC66" s="27">
        <v>0.28000000000000003</v>
      </c>
      <c r="BD66" s="28">
        <v>5.98</v>
      </c>
      <c r="BE66" s="24">
        <v>829</v>
      </c>
      <c r="BF66" s="25">
        <v>52</v>
      </c>
      <c r="BG66" s="64">
        <v>2010</v>
      </c>
      <c r="BH66" s="26">
        <v>6.2700000000000006E-2</v>
      </c>
      <c r="BI66" s="27">
        <v>2.42</v>
      </c>
      <c r="BJ66" s="406">
        <v>38.65</v>
      </c>
    </row>
    <row r="67" spans="1:62" ht="16.350000000000001" customHeight="1">
      <c r="A67" s="572" t="s">
        <v>33</v>
      </c>
      <c r="B67" s="102">
        <v>46084</v>
      </c>
      <c r="C67" s="133">
        <f t="shared" si="18"/>
        <v>10698</v>
      </c>
      <c r="D67" s="166">
        <f t="shared" si="19"/>
        <v>790</v>
      </c>
      <c r="E67" s="134">
        <f t="shared" si="20"/>
        <v>196486</v>
      </c>
      <c r="F67" s="135">
        <f t="shared" si="21"/>
        <v>7.3845578612824828E-2</v>
      </c>
      <c r="G67" s="136">
        <f t="shared" si="22"/>
        <v>18.366610581417088</v>
      </c>
      <c r="H67" s="137">
        <f t="shared" si="23"/>
        <v>248.71645569620253</v>
      </c>
      <c r="I67" s="133">
        <f t="shared" si="24"/>
        <v>2061</v>
      </c>
      <c r="J67" s="166">
        <f t="shared" si="25"/>
        <v>89</v>
      </c>
      <c r="K67" s="134">
        <f t="shared" si="26"/>
        <v>863</v>
      </c>
      <c r="L67" s="135">
        <f t="shared" si="27"/>
        <v>4.3182920912178555E-2</v>
      </c>
      <c r="M67" s="136">
        <f t="shared" si="28"/>
        <v>0.41872877244056284</v>
      </c>
      <c r="N67" s="137">
        <f t="shared" si="29"/>
        <v>9.6966292134831455</v>
      </c>
      <c r="O67" s="138">
        <f t="shared" si="30"/>
        <v>8637</v>
      </c>
      <c r="P67" s="166">
        <f t="shared" si="31"/>
        <v>701</v>
      </c>
      <c r="Q67" s="134">
        <f t="shared" si="32"/>
        <v>195623</v>
      </c>
      <c r="R67" s="135">
        <f t="shared" si="33"/>
        <v>8.1162440662266994E-2</v>
      </c>
      <c r="S67" s="136">
        <f t="shared" si="34"/>
        <v>22.649415306240591</v>
      </c>
      <c r="T67" s="360">
        <f t="shared" si="35"/>
        <v>279.06276747503568</v>
      </c>
      <c r="V67" s="575" t="s">
        <v>33</v>
      </c>
      <c r="W67" s="102">
        <v>46084</v>
      </c>
      <c r="X67" s="140">
        <v>8809</v>
      </c>
      <c r="Y67" s="141">
        <v>679</v>
      </c>
      <c r="Z67" s="134">
        <v>192613</v>
      </c>
      <c r="AA67" s="135">
        <v>7.7100000000000002E-2</v>
      </c>
      <c r="AB67" s="136">
        <v>21.87</v>
      </c>
      <c r="AC67" s="137">
        <v>283.67</v>
      </c>
      <c r="AD67" s="144">
        <v>1017</v>
      </c>
      <c r="AE67" s="141">
        <v>33</v>
      </c>
      <c r="AF67" s="134">
        <v>368</v>
      </c>
      <c r="AG67" s="135">
        <v>3.2399999999999998E-2</v>
      </c>
      <c r="AH67" s="136">
        <v>0.36</v>
      </c>
      <c r="AI67" s="137">
        <v>11.15</v>
      </c>
      <c r="AJ67" s="144">
        <v>7792</v>
      </c>
      <c r="AK67" s="141">
        <v>646</v>
      </c>
      <c r="AL67" s="134">
        <v>192245</v>
      </c>
      <c r="AM67" s="135">
        <v>8.2900000000000001E-2</v>
      </c>
      <c r="AN67" s="136">
        <v>24.67</v>
      </c>
      <c r="AO67" s="360">
        <v>297.58999999999997</v>
      </c>
      <c r="AQ67" s="578" t="s">
        <v>33</v>
      </c>
      <c r="AR67" s="102">
        <v>46084</v>
      </c>
      <c r="AS67" s="141">
        <v>1889</v>
      </c>
      <c r="AT67" s="141">
        <v>111</v>
      </c>
      <c r="AU67" s="134">
        <v>3873</v>
      </c>
      <c r="AV67" s="135">
        <v>5.8799999999999998E-2</v>
      </c>
      <c r="AW67" s="136">
        <v>2.0499999999999998</v>
      </c>
      <c r="AX67" s="137">
        <v>34.89</v>
      </c>
      <c r="AY67" s="144">
        <v>1044</v>
      </c>
      <c r="AZ67" s="141">
        <v>56</v>
      </c>
      <c r="BA67" s="134">
        <v>495</v>
      </c>
      <c r="BB67" s="135">
        <v>5.3600000000000002E-2</v>
      </c>
      <c r="BC67" s="136">
        <v>0.47</v>
      </c>
      <c r="BD67" s="137">
        <v>8.84</v>
      </c>
      <c r="BE67" s="144">
        <v>845</v>
      </c>
      <c r="BF67" s="141">
        <v>55</v>
      </c>
      <c r="BG67" s="134">
        <v>3378</v>
      </c>
      <c r="BH67" s="135">
        <v>6.5100000000000005E-2</v>
      </c>
      <c r="BI67" s="136">
        <v>4</v>
      </c>
      <c r="BJ67" s="360">
        <v>61.42</v>
      </c>
    </row>
    <row r="68" spans="1:62" ht="16.350000000000001" customHeight="1">
      <c r="A68" s="506"/>
      <c r="B68" s="102">
        <v>46085</v>
      </c>
      <c r="C68" s="133">
        <f t="shared" si="18"/>
        <v>10078</v>
      </c>
      <c r="D68" s="166">
        <f t="shared" si="19"/>
        <v>727</v>
      </c>
      <c r="E68" s="134">
        <f t="shared" si="20"/>
        <v>102858</v>
      </c>
      <c r="F68" s="135">
        <f t="shared" ref="F68:F73" si="36">D68/C68</f>
        <v>7.213732883508632E-2</v>
      </c>
      <c r="G68" s="136">
        <f t="shared" si="22"/>
        <v>10.206191704703315</v>
      </c>
      <c r="H68" s="137">
        <f t="shared" si="23"/>
        <v>141.48280605226961</v>
      </c>
      <c r="I68" s="133">
        <f t="shared" si="24"/>
        <v>1642</v>
      </c>
      <c r="J68" s="166">
        <f t="shared" si="25"/>
        <v>69</v>
      </c>
      <c r="K68" s="134">
        <f t="shared" si="26"/>
        <v>533</v>
      </c>
      <c r="L68" s="135">
        <f t="shared" ref="L68:L73" si="37">J68/I68</f>
        <v>4.2021924482338609E-2</v>
      </c>
      <c r="M68" s="136">
        <f t="shared" si="28"/>
        <v>0.32460414129110843</v>
      </c>
      <c r="N68" s="137">
        <f t="shared" si="29"/>
        <v>7.72463768115942</v>
      </c>
      <c r="O68" s="138">
        <f t="shared" si="30"/>
        <v>8436</v>
      </c>
      <c r="P68" s="166">
        <f t="shared" si="31"/>
        <v>658</v>
      </c>
      <c r="Q68" s="134">
        <f t="shared" si="32"/>
        <v>102325</v>
      </c>
      <c r="R68" s="135">
        <f t="shared" ref="R68:R73" si="38">P68/O68</f>
        <v>7.799905168326221E-2</v>
      </c>
      <c r="S68" s="136">
        <f t="shared" si="34"/>
        <v>12.129563774300616</v>
      </c>
      <c r="T68" s="360">
        <f t="shared" si="35"/>
        <v>155.50911854103344</v>
      </c>
      <c r="V68" s="506"/>
      <c r="W68" s="102">
        <v>46085</v>
      </c>
      <c r="X68" s="140">
        <v>8547</v>
      </c>
      <c r="Y68" s="141">
        <v>645</v>
      </c>
      <c r="Z68" s="134">
        <v>100264</v>
      </c>
      <c r="AA68" s="135">
        <v>7.5499999999999998E-2</v>
      </c>
      <c r="AB68" s="136">
        <v>11.73</v>
      </c>
      <c r="AC68" s="137">
        <v>155.44999999999999</v>
      </c>
      <c r="AD68" s="144">
        <v>902</v>
      </c>
      <c r="AE68" s="141">
        <v>30</v>
      </c>
      <c r="AF68" s="134">
        <v>136</v>
      </c>
      <c r="AG68" s="135">
        <v>3.3300000000000003E-2</v>
      </c>
      <c r="AH68" s="136">
        <v>0.15</v>
      </c>
      <c r="AI68" s="137">
        <v>4.53</v>
      </c>
      <c r="AJ68" s="144">
        <v>7645</v>
      </c>
      <c r="AK68" s="141">
        <v>615</v>
      </c>
      <c r="AL68" s="134">
        <v>100128</v>
      </c>
      <c r="AM68" s="135">
        <v>8.0399999999999999E-2</v>
      </c>
      <c r="AN68" s="136">
        <v>13.1</v>
      </c>
      <c r="AO68" s="360">
        <v>162.81</v>
      </c>
      <c r="AQ68" s="506"/>
      <c r="AR68" s="102">
        <v>46085</v>
      </c>
      <c r="AS68" s="141">
        <v>1531</v>
      </c>
      <c r="AT68" s="141">
        <v>82</v>
      </c>
      <c r="AU68" s="134">
        <v>2594</v>
      </c>
      <c r="AV68" s="135">
        <v>5.3600000000000002E-2</v>
      </c>
      <c r="AW68" s="136">
        <v>1.69</v>
      </c>
      <c r="AX68" s="137">
        <v>31.63</v>
      </c>
      <c r="AY68" s="144">
        <v>740</v>
      </c>
      <c r="AZ68" s="141">
        <v>39</v>
      </c>
      <c r="BA68" s="134">
        <v>397</v>
      </c>
      <c r="BB68" s="135">
        <v>5.2699999999999997E-2</v>
      </c>
      <c r="BC68" s="136">
        <v>0.54</v>
      </c>
      <c r="BD68" s="137">
        <v>10.18</v>
      </c>
      <c r="BE68" s="144">
        <v>791</v>
      </c>
      <c r="BF68" s="141">
        <v>43</v>
      </c>
      <c r="BG68" s="134">
        <v>2197</v>
      </c>
      <c r="BH68" s="135">
        <v>5.4399999999999997E-2</v>
      </c>
      <c r="BI68" s="136">
        <v>2.78</v>
      </c>
      <c r="BJ68" s="360">
        <v>51.09</v>
      </c>
    </row>
    <row r="69" spans="1:62" ht="16.350000000000001" customHeight="1">
      <c r="A69" s="506"/>
      <c r="B69" s="102">
        <v>46086</v>
      </c>
      <c r="C69" s="133">
        <f t="shared" si="18"/>
        <v>9757</v>
      </c>
      <c r="D69" s="166">
        <f t="shared" si="19"/>
        <v>763</v>
      </c>
      <c r="E69" s="134">
        <f t="shared" si="20"/>
        <v>113868</v>
      </c>
      <c r="F69" s="135">
        <f t="shared" si="36"/>
        <v>7.8200266475351027E-2</v>
      </c>
      <c r="G69" s="136">
        <f t="shared" si="22"/>
        <v>11.670390488879779</v>
      </c>
      <c r="H69" s="137">
        <f t="shared" si="23"/>
        <v>149.23722149410222</v>
      </c>
      <c r="I69" s="133">
        <f t="shared" si="24"/>
        <v>1481</v>
      </c>
      <c r="J69" s="166">
        <f t="shared" si="25"/>
        <v>74</v>
      </c>
      <c r="K69" s="134">
        <f t="shared" si="26"/>
        <v>630</v>
      </c>
      <c r="L69" s="135">
        <f t="shared" si="37"/>
        <v>4.9966239027683997E-2</v>
      </c>
      <c r="M69" s="136">
        <f t="shared" si="28"/>
        <v>0.42538825118163404</v>
      </c>
      <c r="N69" s="137">
        <f t="shared" si="29"/>
        <v>8.513513513513514</v>
      </c>
      <c r="O69" s="138">
        <f t="shared" si="30"/>
        <v>8276</v>
      </c>
      <c r="P69" s="166">
        <f t="shared" si="31"/>
        <v>689</v>
      </c>
      <c r="Q69" s="134">
        <f t="shared" si="32"/>
        <v>113238</v>
      </c>
      <c r="R69" s="135">
        <f t="shared" si="38"/>
        <v>8.3252779120347994E-2</v>
      </c>
      <c r="S69" s="136">
        <f t="shared" si="34"/>
        <v>13.68269695505075</v>
      </c>
      <c r="T69" s="360">
        <f t="shared" si="35"/>
        <v>164.35123367198838</v>
      </c>
      <c r="V69" s="506"/>
      <c r="W69" s="102">
        <v>46086</v>
      </c>
      <c r="X69" s="140">
        <v>8278</v>
      </c>
      <c r="Y69" s="141">
        <v>662</v>
      </c>
      <c r="Z69" s="134">
        <v>110345</v>
      </c>
      <c r="AA69" s="135">
        <v>0.08</v>
      </c>
      <c r="AB69" s="136">
        <v>13.33</v>
      </c>
      <c r="AC69" s="137">
        <v>166.68</v>
      </c>
      <c r="AD69" s="144">
        <v>770</v>
      </c>
      <c r="AE69" s="141">
        <v>32</v>
      </c>
      <c r="AF69" s="134">
        <v>131</v>
      </c>
      <c r="AG69" s="135">
        <v>4.1599999999999998E-2</v>
      </c>
      <c r="AH69" s="136">
        <v>0.17</v>
      </c>
      <c r="AI69" s="137">
        <v>4.09</v>
      </c>
      <c r="AJ69" s="144">
        <v>7508</v>
      </c>
      <c r="AK69" s="141">
        <v>630</v>
      </c>
      <c r="AL69" s="134">
        <v>110214</v>
      </c>
      <c r="AM69" s="135">
        <v>8.3900000000000002E-2</v>
      </c>
      <c r="AN69" s="136">
        <v>14.68</v>
      </c>
      <c r="AO69" s="360">
        <v>174.94</v>
      </c>
      <c r="AQ69" s="506"/>
      <c r="AR69" s="102">
        <v>46086</v>
      </c>
      <c r="AS69" s="141">
        <v>1479</v>
      </c>
      <c r="AT69" s="141">
        <v>101</v>
      </c>
      <c r="AU69" s="134">
        <v>3523</v>
      </c>
      <c r="AV69" s="135">
        <v>6.83E-2</v>
      </c>
      <c r="AW69" s="136">
        <v>2.38</v>
      </c>
      <c r="AX69" s="137">
        <v>34.880000000000003</v>
      </c>
      <c r="AY69" s="144">
        <v>711</v>
      </c>
      <c r="AZ69" s="141">
        <v>42</v>
      </c>
      <c r="BA69" s="134">
        <v>499</v>
      </c>
      <c r="BB69" s="135">
        <v>5.91E-2</v>
      </c>
      <c r="BC69" s="136">
        <v>0.7</v>
      </c>
      <c r="BD69" s="137">
        <v>11.88</v>
      </c>
      <c r="BE69" s="144">
        <v>768</v>
      </c>
      <c r="BF69" s="141">
        <v>59</v>
      </c>
      <c r="BG69" s="134">
        <v>3024</v>
      </c>
      <c r="BH69" s="135">
        <v>7.6799999999999993E-2</v>
      </c>
      <c r="BI69" s="136">
        <v>3.94</v>
      </c>
      <c r="BJ69" s="360">
        <v>51.25</v>
      </c>
    </row>
    <row r="70" spans="1:62" ht="16.350000000000001" customHeight="1">
      <c r="A70" s="573" t="s">
        <v>34</v>
      </c>
      <c r="B70" s="341">
        <v>46087</v>
      </c>
      <c r="C70" s="153">
        <f t="shared" si="18"/>
        <v>9684</v>
      </c>
      <c r="D70" s="184">
        <f t="shared" si="19"/>
        <v>592</v>
      </c>
      <c r="E70" s="72">
        <f t="shared" si="20"/>
        <v>97915</v>
      </c>
      <c r="F70" s="73">
        <f t="shared" si="36"/>
        <v>6.1131763733994218E-2</v>
      </c>
      <c r="G70" s="74">
        <f t="shared" si="22"/>
        <v>10.111007847996696</v>
      </c>
      <c r="H70" s="75">
        <f t="shared" si="23"/>
        <v>165.39695945945945</v>
      </c>
      <c r="I70" s="153">
        <f t="shared" si="24"/>
        <v>1321</v>
      </c>
      <c r="J70" s="184">
        <f t="shared" si="25"/>
        <v>83</v>
      </c>
      <c r="K70" s="72">
        <f t="shared" si="26"/>
        <v>1607</v>
      </c>
      <c r="L70" s="73">
        <f t="shared" si="37"/>
        <v>6.2831188493565476E-2</v>
      </c>
      <c r="M70" s="74">
        <f t="shared" si="28"/>
        <v>1.2165026495079485</v>
      </c>
      <c r="N70" s="75">
        <f t="shared" si="29"/>
        <v>19.361445783132531</v>
      </c>
      <c r="O70" s="364">
        <f t="shared" si="30"/>
        <v>8363</v>
      </c>
      <c r="P70" s="184">
        <f t="shared" si="31"/>
        <v>509</v>
      </c>
      <c r="Q70" s="72">
        <f t="shared" si="32"/>
        <v>96308</v>
      </c>
      <c r="R70" s="73">
        <f t="shared" si="38"/>
        <v>6.0863326557455459E-2</v>
      </c>
      <c r="S70" s="74">
        <f t="shared" si="34"/>
        <v>11.515963171110846</v>
      </c>
      <c r="T70" s="402">
        <f t="shared" si="35"/>
        <v>189.21021611001964</v>
      </c>
      <c r="V70" s="576" t="s">
        <v>34</v>
      </c>
      <c r="W70" s="341">
        <v>46087</v>
      </c>
      <c r="X70" s="369">
        <v>8295</v>
      </c>
      <c r="Y70" s="71">
        <v>505</v>
      </c>
      <c r="Z70" s="72">
        <v>94547</v>
      </c>
      <c r="AA70" s="73">
        <v>6.0900000000000003E-2</v>
      </c>
      <c r="AB70" s="74">
        <v>11.4</v>
      </c>
      <c r="AC70" s="75">
        <v>187.22</v>
      </c>
      <c r="AD70" s="76">
        <v>728</v>
      </c>
      <c r="AE70" s="71">
        <v>36</v>
      </c>
      <c r="AF70" s="72">
        <v>134</v>
      </c>
      <c r="AG70" s="73">
        <v>4.9500000000000002E-2</v>
      </c>
      <c r="AH70" s="74">
        <v>0.18</v>
      </c>
      <c r="AI70" s="75">
        <v>3.72</v>
      </c>
      <c r="AJ70" s="76">
        <v>7567</v>
      </c>
      <c r="AK70" s="71">
        <v>469</v>
      </c>
      <c r="AL70" s="72">
        <v>94413</v>
      </c>
      <c r="AM70" s="73">
        <v>6.2E-2</v>
      </c>
      <c r="AN70" s="74">
        <v>12.48</v>
      </c>
      <c r="AO70" s="402">
        <v>201.31</v>
      </c>
      <c r="AQ70" s="579" t="s">
        <v>34</v>
      </c>
      <c r="AR70" s="341">
        <v>46087</v>
      </c>
      <c r="AS70" s="71">
        <v>1389</v>
      </c>
      <c r="AT70" s="71">
        <v>87</v>
      </c>
      <c r="AU70" s="72">
        <v>3368</v>
      </c>
      <c r="AV70" s="73">
        <v>6.2600000000000003E-2</v>
      </c>
      <c r="AW70" s="74">
        <v>2.42</v>
      </c>
      <c r="AX70" s="75">
        <v>38.71</v>
      </c>
      <c r="AY70" s="76">
        <v>593</v>
      </c>
      <c r="AZ70" s="71">
        <v>47</v>
      </c>
      <c r="BA70" s="72">
        <v>1473</v>
      </c>
      <c r="BB70" s="73">
        <v>7.9299999999999995E-2</v>
      </c>
      <c r="BC70" s="74">
        <v>2.48</v>
      </c>
      <c r="BD70" s="75">
        <v>31.34</v>
      </c>
      <c r="BE70" s="76">
        <v>796</v>
      </c>
      <c r="BF70" s="71">
        <v>40</v>
      </c>
      <c r="BG70" s="72">
        <v>1895</v>
      </c>
      <c r="BH70" s="73">
        <v>5.0299999999999997E-2</v>
      </c>
      <c r="BI70" s="74">
        <v>2.38</v>
      </c>
      <c r="BJ70" s="402">
        <v>47.38</v>
      </c>
    </row>
    <row r="71" spans="1:62" ht="16.350000000000001" customHeight="1">
      <c r="A71" s="509"/>
      <c r="B71" s="341">
        <v>46088</v>
      </c>
      <c r="C71" s="153">
        <f t="shared" si="18"/>
        <v>10594</v>
      </c>
      <c r="D71" s="184">
        <f t="shared" si="19"/>
        <v>652</v>
      </c>
      <c r="E71" s="72">
        <f t="shared" si="20"/>
        <v>82046</v>
      </c>
      <c r="F71" s="73">
        <f t="shared" si="36"/>
        <v>6.1544270341702852E-2</v>
      </c>
      <c r="G71" s="74">
        <f t="shared" si="22"/>
        <v>7.7445723994713989</v>
      </c>
      <c r="H71" s="75">
        <f t="shared" si="23"/>
        <v>125.83742331288343</v>
      </c>
      <c r="I71" s="153">
        <f t="shared" si="24"/>
        <v>2023</v>
      </c>
      <c r="J71" s="184">
        <f t="shared" si="25"/>
        <v>69</v>
      </c>
      <c r="K71" s="72">
        <f t="shared" si="26"/>
        <v>569</v>
      </c>
      <c r="L71" s="73">
        <f t="shared" si="37"/>
        <v>3.4107760751359364E-2</v>
      </c>
      <c r="M71" s="74">
        <f t="shared" si="28"/>
        <v>0.28126544735541276</v>
      </c>
      <c r="N71" s="75">
        <f t="shared" si="29"/>
        <v>8.2463768115942031</v>
      </c>
      <c r="O71" s="364">
        <f t="shared" si="30"/>
        <v>8571</v>
      </c>
      <c r="P71" s="184">
        <f t="shared" si="31"/>
        <v>583</v>
      </c>
      <c r="Q71" s="72">
        <f t="shared" si="32"/>
        <v>81477</v>
      </c>
      <c r="R71" s="73">
        <f t="shared" si="38"/>
        <v>6.8020067670050172E-2</v>
      </c>
      <c r="S71" s="74">
        <f t="shared" si="34"/>
        <v>9.5061253062653126</v>
      </c>
      <c r="T71" s="402">
        <f t="shared" si="35"/>
        <v>139.75471698113208</v>
      </c>
      <c r="V71" s="509"/>
      <c r="W71" s="341">
        <v>46088</v>
      </c>
      <c r="X71" s="369">
        <v>8887</v>
      </c>
      <c r="Y71" s="71">
        <v>553</v>
      </c>
      <c r="Z71" s="72">
        <v>78348</v>
      </c>
      <c r="AA71" s="73">
        <v>6.2199999999999998E-2</v>
      </c>
      <c r="AB71" s="74">
        <v>8.82</v>
      </c>
      <c r="AC71" s="75">
        <v>141.68</v>
      </c>
      <c r="AD71" s="76">
        <v>1120</v>
      </c>
      <c r="AE71" s="71">
        <v>32</v>
      </c>
      <c r="AF71" s="72">
        <v>294</v>
      </c>
      <c r="AG71" s="73">
        <v>2.86E-2</v>
      </c>
      <c r="AH71" s="74">
        <v>0.26</v>
      </c>
      <c r="AI71" s="75">
        <v>9.19</v>
      </c>
      <c r="AJ71" s="76">
        <v>7767</v>
      </c>
      <c r="AK71" s="71">
        <v>521</v>
      </c>
      <c r="AL71" s="72">
        <v>78054</v>
      </c>
      <c r="AM71" s="73">
        <v>6.7100000000000007E-2</v>
      </c>
      <c r="AN71" s="74">
        <v>10.050000000000001</v>
      </c>
      <c r="AO71" s="402">
        <v>149.82</v>
      </c>
      <c r="AQ71" s="509"/>
      <c r="AR71" s="341">
        <v>46088</v>
      </c>
      <c r="AS71" s="71">
        <v>1707</v>
      </c>
      <c r="AT71" s="71">
        <v>99</v>
      </c>
      <c r="AU71" s="72">
        <v>3698</v>
      </c>
      <c r="AV71" s="73">
        <v>5.8000000000000003E-2</v>
      </c>
      <c r="AW71" s="74">
        <v>2.17</v>
      </c>
      <c r="AX71" s="75">
        <v>37.35</v>
      </c>
      <c r="AY71" s="76">
        <v>903</v>
      </c>
      <c r="AZ71" s="71">
        <v>37</v>
      </c>
      <c r="BA71" s="72">
        <v>275</v>
      </c>
      <c r="BB71" s="73">
        <v>4.1000000000000002E-2</v>
      </c>
      <c r="BC71" s="74">
        <v>0.3</v>
      </c>
      <c r="BD71" s="75">
        <v>7.43</v>
      </c>
      <c r="BE71" s="76">
        <v>804</v>
      </c>
      <c r="BF71" s="71">
        <v>62</v>
      </c>
      <c r="BG71" s="72">
        <v>3423</v>
      </c>
      <c r="BH71" s="73">
        <v>7.7100000000000002E-2</v>
      </c>
      <c r="BI71" s="74">
        <v>4.26</v>
      </c>
      <c r="BJ71" s="402">
        <v>55.21</v>
      </c>
    </row>
    <row r="72" spans="1:62" ht="16.350000000000001" customHeight="1">
      <c r="A72" s="90"/>
      <c r="B72" s="410">
        <v>46089</v>
      </c>
      <c r="C72" s="177">
        <f t="shared" si="18"/>
        <v>10297</v>
      </c>
      <c r="D72" s="178">
        <f t="shared" si="19"/>
        <v>633</v>
      </c>
      <c r="E72" s="64">
        <f t="shared" si="20"/>
        <v>43301</v>
      </c>
      <c r="F72" s="26">
        <f t="shared" si="36"/>
        <v>6.1474215791007092E-2</v>
      </c>
      <c r="G72" s="27">
        <f t="shared" si="22"/>
        <v>4.2052053996309606</v>
      </c>
      <c r="H72" s="28">
        <f t="shared" si="23"/>
        <v>68.406003159557656</v>
      </c>
      <c r="I72" s="177">
        <f t="shared" si="24"/>
        <v>1721</v>
      </c>
      <c r="J72" s="178">
        <f t="shared" si="25"/>
        <v>75</v>
      </c>
      <c r="K72" s="64">
        <f t="shared" si="26"/>
        <v>739</v>
      </c>
      <c r="L72" s="26">
        <f t="shared" si="37"/>
        <v>4.3579314352120861E-2</v>
      </c>
      <c r="M72" s="27">
        <f t="shared" si="28"/>
        <v>0.42940151074956423</v>
      </c>
      <c r="N72" s="28">
        <f t="shared" si="29"/>
        <v>9.8533333333333335</v>
      </c>
      <c r="O72" s="363">
        <f t="shared" si="30"/>
        <v>8576</v>
      </c>
      <c r="P72" s="178">
        <f t="shared" si="31"/>
        <v>558</v>
      </c>
      <c r="Q72" s="64">
        <f t="shared" si="32"/>
        <v>42562</v>
      </c>
      <c r="R72" s="26">
        <f t="shared" si="38"/>
        <v>6.5065298507462691E-2</v>
      </c>
      <c r="S72" s="27">
        <f t="shared" si="34"/>
        <v>4.9629197761194028</v>
      </c>
      <c r="T72" s="406">
        <f t="shared" si="35"/>
        <v>76.275985663082437</v>
      </c>
      <c r="V72" s="90"/>
      <c r="W72" s="410">
        <v>46089</v>
      </c>
      <c r="X72" s="391">
        <v>8685</v>
      </c>
      <c r="Y72" s="393">
        <v>523</v>
      </c>
      <c r="Z72" s="394">
        <v>37698</v>
      </c>
      <c r="AA72" s="280">
        <v>6.0199999999999997E-2</v>
      </c>
      <c r="AB72" s="395">
        <v>4.34</v>
      </c>
      <c r="AC72" s="396">
        <v>72.08</v>
      </c>
      <c r="AD72" s="397">
        <v>963</v>
      </c>
      <c r="AE72" s="393">
        <v>28</v>
      </c>
      <c r="AF72" s="394">
        <v>301</v>
      </c>
      <c r="AG72" s="280">
        <v>2.9100000000000001E-2</v>
      </c>
      <c r="AH72" s="395">
        <v>0.31</v>
      </c>
      <c r="AI72" s="396">
        <v>10.75</v>
      </c>
      <c r="AJ72" s="397">
        <v>7722</v>
      </c>
      <c r="AK72" s="393">
        <v>495</v>
      </c>
      <c r="AL72" s="394">
        <v>37397</v>
      </c>
      <c r="AM72" s="280">
        <v>6.4100000000000004E-2</v>
      </c>
      <c r="AN72" s="395">
        <v>4.84</v>
      </c>
      <c r="AO72" s="407">
        <v>75.55</v>
      </c>
      <c r="AQ72" s="90"/>
      <c r="AR72" s="410">
        <v>46089</v>
      </c>
      <c r="AS72" s="393">
        <v>1612</v>
      </c>
      <c r="AT72" s="393">
        <v>110</v>
      </c>
      <c r="AU72" s="394">
        <v>5603</v>
      </c>
      <c r="AV72" s="280">
        <v>6.8199999999999997E-2</v>
      </c>
      <c r="AW72" s="395">
        <v>3.48</v>
      </c>
      <c r="AX72" s="396">
        <v>50.94</v>
      </c>
      <c r="AY72" s="397">
        <v>758</v>
      </c>
      <c r="AZ72" s="393">
        <v>47</v>
      </c>
      <c r="BA72" s="394">
        <v>438</v>
      </c>
      <c r="BB72" s="280">
        <v>6.2E-2</v>
      </c>
      <c r="BC72" s="395">
        <v>0.57999999999999996</v>
      </c>
      <c r="BD72" s="396">
        <v>9.32</v>
      </c>
      <c r="BE72" s="397">
        <v>854</v>
      </c>
      <c r="BF72" s="393">
        <v>63</v>
      </c>
      <c r="BG72" s="394">
        <v>5165</v>
      </c>
      <c r="BH72" s="280">
        <v>7.3800000000000004E-2</v>
      </c>
      <c r="BI72" s="395">
        <v>6.05</v>
      </c>
      <c r="BJ72" s="407">
        <v>81.98</v>
      </c>
    </row>
    <row r="73" spans="1:62" ht="14.25" customHeight="1">
      <c r="B73" s="349" t="s">
        <v>35</v>
      </c>
      <c r="C73" s="350">
        <f>AVERAGE(C4:C72)</f>
        <v>11117.971014492754</v>
      </c>
      <c r="D73" s="351">
        <f>AVERAGE(D4:D72)</f>
        <v>897.05797101449275</v>
      </c>
      <c r="E73" s="352">
        <f>SUM(E4:E72)</f>
        <v>9893312</v>
      </c>
      <c r="F73" s="147">
        <f t="shared" si="36"/>
        <v>8.0685402925150557E-2</v>
      </c>
      <c r="G73" s="353">
        <f>AVERAGE(E4:E72)/C73</f>
        <v>12.896357900774305</v>
      </c>
      <c r="H73" s="356">
        <f>AVERAGE(E4:E72)/D73</f>
        <v>159.83508086013862</v>
      </c>
      <c r="I73" s="357">
        <f>SUM(I4:I72)</f>
        <v>150272</v>
      </c>
      <c r="J73" s="334">
        <f>SUM(J4:J72)</f>
        <v>4788</v>
      </c>
      <c r="K73" s="352">
        <f>SUM(K4:K72)</f>
        <v>55103</v>
      </c>
      <c r="L73" s="147">
        <f t="shared" si="37"/>
        <v>3.1862223168654176E-2</v>
      </c>
      <c r="M73" s="353">
        <f>AVERAGE(K4:K72)/AVERAGE(I4:I72)</f>
        <v>0.36668840502555367</v>
      </c>
      <c r="N73" s="356">
        <f>AVERAGE(K4:K72)/AVERAGE(J4:J72)</f>
        <v>11.508563074352548</v>
      </c>
      <c r="O73" s="350">
        <f>AVERAGE(O4:O72)</f>
        <v>8940.115942028986</v>
      </c>
      <c r="P73" s="358">
        <f>AVERAGE(P4:P72)</f>
        <v>827.66666666666663</v>
      </c>
      <c r="Q73" s="352">
        <f>SUM(Q4:Q72)</f>
        <v>9838209</v>
      </c>
      <c r="R73" s="147">
        <f t="shared" si="38"/>
        <v>9.2578963408703308E-2</v>
      </c>
      <c r="S73" s="353">
        <f>AVERAGE(Q4:Q72)/AVERAGE(O4:O72)</f>
        <v>15.948645415226595</v>
      </c>
      <c r="T73" s="359">
        <f>AVERAGE(Q4:Q72)/AVERAGE(P4:P72)</f>
        <v>172.27072790628449</v>
      </c>
      <c r="W73" s="251" t="s">
        <v>35</v>
      </c>
      <c r="X73" s="139">
        <f>AVERAGE(X4:X72)</f>
        <v>9798.8695652173919</v>
      </c>
      <c r="Y73" s="121">
        <f>AVERAGE(Y4:Y72)</f>
        <v>832.60869565217388</v>
      </c>
      <c r="Z73" s="122">
        <f>SUM(Z4:Z72)</f>
        <v>9754923</v>
      </c>
      <c r="AA73" s="123">
        <f>Y73/X73</f>
        <v>8.4969872301152743E-2</v>
      </c>
      <c r="AB73" s="126">
        <f>AVERAGE(Z4:Z72)/X73</f>
        <v>14.427755641733297</v>
      </c>
      <c r="AC73" s="129">
        <f>AVERAGE(Z4:Z72)/Y73</f>
        <v>169.7984856396867</v>
      </c>
      <c r="AD73" s="130">
        <f>SUM(AD4:AD72)</f>
        <v>89762</v>
      </c>
      <c r="AE73" s="131">
        <f>SUM(AE4:AE72)</f>
        <v>2333</v>
      </c>
      <c r="AF73" s="122">
        <f>SUM(AF4:AF72)</f>
        <v>32841</v>
      </c>
      <c r="AG73" s="123">
        <f>AE73/AD73</f>
        <v>2.5990953855751876E-2</v>
      </c>
      <c r="AH73" s="126">
        <f>AVERAGE(AF4:AF72)/AVERAGE(AD4:AD72)</f>
        <v>0.36586751632093756</v>
      </c>
      <c r="AI73" s="129">
        <f>AVERAGE(AF4:AF72)/AVERAGE(AE4:AE72)</f>
        <v>14.076725246463782</v>
      </c>
      <c r="AJ73" s="139">
        <f>AVERAGE(AJ4:AJ72)</f>
        <v>8497.971014492754</v>
      </c>
      <c r="AK73" s="121">
        <f>AVERAGE(AK4:AK72)</f>
        <v>798.79710144927537</v>
      </c>
      <c r="AL73" s="122">
        <f>SUM(AL4:AL72)</f>
        <v>9722082</v>
      </c>
      <c r="AM73" s="123">
        <f>AK73/AJ73</f>
        <v>9.3998567432976327E-2</v>
      </c>
      <c r="AN73" s="126">
        <f>AVERAGE(AL4:AL72)/AVERAGE(AJ4:AJ72)</f>
        <v>16.580397707892761</v>
      </c>
      <c r="AO73" s="129">
        <f>AVERAGE(AL4:AL72)/AVERAGE(AK4:AK72)</f>
        <v>176.38989785365678</v>
      </c>
      <c r="AR73" s="251" t="s">
        <v>35</v>
      </c>
      <c r="AS73" s="139">
        <f>AVERAGE(AS4:AS72)</f>
        <v>1319.1014492753623</v>
      </c>
      <c r="AT73" s="121">
        <f>AVERAGE(AT4:AT72)</f>
        <v>64.449275362318843</v>
      </c>
      <c r="AU73" s="122">
        <f>SUM(AU4:AU72)</f>
        <v>138389</v>
      </c>
      <c r="AV73" s="123">
        <f>AT73/AS73</f>
        <v>4.8858467555868076E-2</v>
      </c>
      <c r="AW73" s="126">
        <f>AVERAGE(AU4:AU72)/AS73</f>
        <v>1.5204574919246743</v>
      </c>
      <c r="AX73" s="129">
        <f>AVERAGE(AU4:AU72)/AT73</f>
        <v>31.119631212053068</v>
      </c>
      <c r="AY73" s="130">
        <f>SUM(AY4:AY72)</f>
        <v>60510</v>
      </c>
      <c r="AZ73" s="131">
        <f>SUM(AZ4:AZ72)</f>
        <v>2455</v>
      </c>
      <c r="BA73" s="122">
        <f>SUM(BA4:BA72)</f>
        <v>22262</v>
      </c>
      <c r="BB73" s="123">
        <f>AZ73/AY73</f>
        <v>4.0571806313006116E-2</v>
      </c>
      <c r="BC73" s="126">
        <f>AVERAGE(BA4:BA72)/AVERAGE(AY4:AY72)</f>
        <v>0.36790613121798055</v>
      </c>
      <c r="BD73" s="129">
        <f>AVERAGE(BA4:BA72)/AVERAGE(AZ4:AZ72)</f>
        <v>9.068024439918533</v>
      </c>
      <c r="BE73" s="121">
        <f>AVERAGE(BE4:BE72)</f>
        <v>442.14492753623188</v>
      </c>
      <c r="BF73" s="121">
        <f>AVERAGE(BF4:BF72)</f>
        <v>28.869565217391305</v>
      </c>
      <c r="BG73" s="122">
        <f>SUM(BG4:BG72)</f>
        <v>116127</v>
      </c>
      <c r="BH73" s="123">
        <f>BF73/BE73</f>
        <v>6.5294349023207035E-2</v>
      </c>
      <c r="BI73" s="126">
        <f>AVERAGE(BG4:BG72)/AVERAGE(BE4:BE72)</f>
        <v>3.8064442113543988</v>
      </c>
      <c r="BJ73" s="129">
        <f>AVERAGE(BG4:BG72)/AVERAGE(BF4:BF72)</f>
        <v>58.296686746987952</v>
      </c>
    </row>
    <row r="74" spans="1:62" ht="13.5" customHeight="1">
      <c r="K74" s="77">
        <f>K73/E73</f>
        <v>5.5697222527703568E-3</v>
      </c>
      <c r="Q74" s="77">
        <f>Q73/E73</f>
        <v>0.9944302777472297</v>
      </c>
      <c r="AF74" s="77">
        <f>AF73/Z73</f>
        <v>3.3666078143312871E-3</v>
      </c>
      <c r="AL74" s="77">
        <f>AL73/Z73</f>
        <v>0.99663339218566871</v>
      </c>
      <c r="BA74" s="77">
        <f>BA73/AU73</f>
        <v>0.16086538669980996</v>
      </c>
      <c r="BG74" s="77">
        <f>BG73/AU73</f>
        <v>0.83913461330019001</v>
      </c>
    </row>
    <row r="75" spans="1:62" ht="27.75" customHeight="1">
      <c r="B75" s="13" t="s">
        <v>3</v>
      </c>
      <c r="C75" s="14" t="s">
        <v>4</v>
      </c>
      <c r="D75" s="15" t="s">
        <v>5</v>
      </c>
      <c r="E75" s="15" t="s">
        <v>6</v>
      </c>
      <c r="F75" s="15" t="s">
        <v>7</v>
      </c>
      <c r="G75" s="15" t="s">
        <v>8</v>
      </c>
      <c r="H75" s="16" t="s">
        <v>9</v>
      </c>
      <c r="I75" s="17" t="s">
        <v>10</v>
      </c>
      <c r="J75" s="18" t="s">
        <v>11</v>
      </c>
      <c r="K75" s="18" t="s">
        <v>12</v>
      </c>
      <c r="L75" s="18" t="s">
        <v>13</v>
      </c>
      <c r="M75" s="18" t="s">
        <v>14</v>
      </c>
      <c r="N75" s="19" t="s">
        <v>15</v>
      </c>
      <c r="O75" s="20" t="s">
        <v>16</v>
      </c>
      <c r="P75" s="21" t="s">
        <v>17</v>
      </c>
      <c r="Q75" s="21" t="s">
        <v>18</v>
      </c>
      <c r="R75" s="21" t="s">
        <v>19</v>
      </c>
      <c r="S75" s="22" t="s">
        <v>20</v>
      </c>
      <c r="T75" s="22" t="s">
        <v>21</v>
      </c>
      <c r="W75" s="13" t="s">
        <v>3</v>
      </c>
      <c r="X75" s="14" t="s">
        <v>4</v>
      </c>
      <c r="Y75" s="15" t="s">
        <v>5</v>
      </c>
      <c r="Z75" s="15" t="s">
        <v>6</v>
      </c>
      <c r="AA75" s="15" t="s">
        <v>7</v>
      </c>
      <c r="AB75" s="15" t="s">
        <v>8</v>
      </c>
      <c r="AC75" s="16" t="s">
        <v>9</v>
      </c>
      <c r="AD75" s="17" t="s">
        <v>10</v>
      </c>
      <c r="AE75" s="18" t="s">
        <v>11</v>
      </c>
      <c r="AF75" s="18" t="s">
        <v>12</v>
      </c>
      <c r="AG75" s="18" t="s">
        <v>13</v>
      </c>
      <c r="AH75" s="18" t="s">
        <v>14</v>
      </c>
      <c r="AI75" s="19" t="s">
        <v>15</v>
      </c>
      <c r="AJ75" s="20" t="s">
        <v>16</v>
      </c>
      <c r="AK75" s="21" t="s">
        <v>17</v>
      </c>
      <c r="AL75" s="21" t="s">
        <v>18</v>
      </c>
      <c r="AM75" s="21" t="s">
        <v>19</v>
      </c>
      <c r="AN75" s="22" t="s">
        <v>20</v>
      </c>
      <c r="AO75" s="22" t="s">
        <v>21</v>
      </c>
      <c r="AR75" s="13" t="s">
        <v>3</v>
      </c>
      <c r="AS75" s="14" t="s">
        <v>4</v>
      </c>
      <c r="AT75" s="15" t="s">
        <v>5</v>
      </c>
      <c r="AU75" s="15" t="s">
        <v>6</v>
      </c>
      <c r="AV75" s="15" t="s">
        <v>7</v>
      </c>
      <c r="AW75" s="15" t="s">
        <v>8</v>
      </c>
      <c r="AX75" s="16" t="s">
        <v>9</v>
      </c>
      <c r="AY75" s="17" t="s">
        <v>10</v>
      </c>
      <c r="AZ75" s="18" t="s">
        <v>11</v>
      </c>
      <c r="BA75" s="18" t="s">
        <v>12</v>
      </c>
      <c r="BB75" s="18" t="s">
        <v>13</v>
      </c>
      <c r="BC75" s="18" t="s">
        <v>14</v>
      </c>
      <c r="BD75" s="19" t="s">
        <v>15</v>
      </c>
      <c r="BE75" s="20" t="s">
        <v>16</v>
      </c>
      <c r="BF75" s="21" t="s">
        <v>17</v>
      </c>
      <c r="BG75" s="21" t="s">
        <v>18</v>
      </c>
      <c r="BH75" s="21" t="s">
        <v>19</v>
      </c>
      <c r="BI75" s="22" t="s">
        <v>20</v>
      </c>
      <c r="BJ75" s="22" t="s">
        <v>21</v>
      </c>
    </row>
    <row r="76" spans="1:62" ht="14.25" customHeight="1">
      <c r="B76" s="405" t="s">
        <v>36</v>
      </c>
      <c r="C76" s="335">
        <f>AVERAGE(C4:C5)</f>
        <v>11153</v>
      </c>
      <c r="D76" s="335">
        <f>AVERAGE(D4:D5)</f>
        <v>1118</v>
      </c>
      <c r="E76" s="335">
        <f>SUM(E4:E5)</f>
        <v>416706</v>
      </c>
      <c r="F76" s="415">
        <f>D76/C76</f>
        <v>0.10024208733076302</v>
      </c>
      <c r="G76" s="416">
        <f>AVERAGE(E4:E5)/C76</f>
        <v>18.681341343136374</v>
      </c>
      <c r="H76" s="416">
        <f>AVERAGE(E4:E5)/D76</f>
        <v>186.36225402504473</v>
      </c>
      <c r="I76" s="335">
        <f>SUM(I4:I5)</f>
        <v>4043</v>
      </c>
      <c r="J76" s="335">
        <f>SUM(J4:J5)</f>
        <v>134</v>
      </c>
      <c r="K76" s="335">
        <f>SUM(K4:K5)</f>
        <v>1398</v>
      </c>
      <c r="L76" s="415">
        <f>J76/I76</f>
        <v>3.314370516942864E-2</v>
      </c>
      <c r="M76" s="416">
        <f>AVERAGE(K4:K5)/AVERAGE(I4:I5)</f>
        <v>0.34578283452881525</v>
      </c>
      <c r="N76" s="416">
        <f>AVERAGE(K4:K5)/AVERAGE(J4:J5)</f>
        <v>10.432835820895523</v>
      </c>
      <c r="O76" s="335">
        <f>AVERAGE(O4:O5)</f>
        <v>9131.5</v>
      </c>
      <c r="P76" s="335">
        <f>AVERAGE(P4:P5)</f>
        <v>1051</v>
      </c>
      <c r="Q76" s="335">
        <f>SUM(Q4:Q5)</f>
        <v>415308</v>
      </c>
      <c r="R76" s="415">
        <f>P76/O76</f>
        <v>0.11509609593166512</v>
      </c>
      <c r="S76" s="416">
        <f>AVERAGE(Q4:Q5)/AVERAGE(O4:O5)</f>
        <v>22.740404095712645</v>
      </c>
      <c r="T76" s="416">
        <f>AVERAGE(Q4:Q5)/AVERAGE(P4:P5)</f>
        <v>197.57754519505232</v>
      </c>
      <c r="W76" s="405" t="s">
        <v>36</v>
      </c>
      <c r="X76" s="335">
        <f>AVERAGE(X4:X5)</f>
        <v>10832</v>
      </c>
      <c r="Y76" s="400">
        <f>AVERAGE(Y4:Y5)</f>
        <v>1101.5</v>
      </c>
      <c r="Z76" s="335">
        <f>SUM(Z4:Z5)</f>
        <v>416432</v>
      </c>
      <c r="AA76" s="415">
        <f>Y76/X76</f>
        <v>0.10168943870014771</v>
      </c>
      <c r="AB76" s="416">
        <f>AVERAGE(Z4:Z5)/X76</f>
        <v>19.222304283604135</v>
      </c>
      <c r="AC76" s="416">
        <f>AVERAGE(Z4:Z5)/Y76</f>
        <v>189.02950522015433</v>
      </c>
      <c r="AD76" s="335">
        <f>SUM(AD4:AD5)</f>
        <v>3416</v>
      </c>
      <c r="AE76" s="335">
        <f>SUM(AE4:AE5)</f>
        <v>102</v>
      </c>
      <c r="AF76" s="335">
        <f>SUM(AF4:AF5)</f>
        <v>1131</v>
      </c>
      <c r="AG76" s="415">
        <f>AE76/AD76</f>
        <v>2.9859484777517563E-2</v>
      </c>
      <c r="AH76" s="416">
        <f>AVERAGE(AF4:AF5)/AVERAGE(AD4:AD5)</f>
        <v>0.33108899297423888</v>
      </c>
      <c r="AI76" s="416">
        <f>AVERAGE(AF4:AF5)/AVERAGE(AE4:AE5)</f>
        <v>11.088235294117647</v>
      </c>
      <c r="AJ76" s="335">
        <f>AVERAGE(AJ4:AJ5)</f>
        <v>9124</v>
      </c>
      <c r="AK76" s="335">
        <f>AVERAGE(AK4:AK5)</f>
        <v>1050.5</v>
      </c>
      <c r="AL76" s="335">
        <f>SUM(AL4:AL5)</f>
        <v>415301</v>
      </c>
      <c r="AM76" s="415">
        <f>AK76/AJ76</f>
        <v>0.11513590530469092</v>
      </c>
      <c r="AN76" s="416">
        <f>AVERAGE(AL4:AL5)/AVERAGE(AJ4:AJ5)</f>
        <v>22.758713283647523</v>
      </c>
      <c r="AO76" s="416">
        <f>AVERAGE(AL4:AL5)/AVERAGE(AK4:AK5)</f>
        <v>197.66825321275584</v>
      </c>
      <c r="AR76" s="405" t="s">
        <v>36</v>
      </c>
      <c r="AS76" s="335">
        <f>AVERAGE(AS4:AS5)</f>
        <v>321</v>
      </c>
      <c r="AT76" s="400">
        <f>AVERAGE(AT4:AT5)</f>
        <v>16.5</v>
      </c>
      <c r="AU76" s="335">
        <f>SUM(AU4:AU5)</f>
        <v>274</v>
      </c>
      <c r="AV76" s="415">
        <f>AT76/AS76</f>
        <v>5.1401869158878503E-2</v>
      </c>
      <c r="AW76" s="416">
        <f>AVERAGE(AU4:AU5)/AS76</f>
        <v>0.42679127725856697</v>
      </c>
      <c r="AX76" s="416">
        <f>AVERAGE(AU4:AU5)/AT76</f>
        <v>8.3030303030303028</v>
      </c>
      <c r="AY76" s="335">
        <f>SUM(AY4:AY5)</f>
        <v>627</v>
      </c>
      <c r="AZ76" s="335">
        <f>SUM(AZ4:AZ5)</f>
        <v>32</v>
      </c>
      <c r="BA76" s="335">
        <f>SUM(BA4:BA5)</f>
        <v>267</v>
      </c>
      <c r="BB76" s="415">
        <f>AZ76/AY76</f>
        <v>5.1036682615629984E-2</v>
      </c>
      <c r="BC76" s="416">
        <f>AVERAGE(BA4:BA5)/AVERAGE(AY4:AY5)</f>
        <v>0.42583732057416268</v>
      </c>
      <c r="BD76" s="416">
        <f>AVERAGE(BA4:BA5)/AVERAGE(AZ4:AZ5)</f>
        <v>8.34375</v>
      </c>
      <c r="BE76" s="335">
        <f>AVERAGE(BE4:BE5)</f>
        <v>7.5</v>
      </c>
      <c r="BF76" s="335">
        <f>AVERAGE(BF4:BF5)</f>
        <v>0.5</v>
      </c>
      <c r="BG76" s="335">
        <f>SUM(BG4:BG5)</f>
        <v>7</v>
      </c>
      <c r="BH76" s="415">
        <f>BF76/BE76</f>
        <v>6.6666666666666666E-2</v>
      </c>
      <c r="BI76" s="416">
        <f>AVERAGE(BG4:BG5)/AVERAGE(BE4:BE5)</f>
        <v>0.46666666666666667</v>
      </c>
      <c r="BJ76" s="416">
        <f>AVERAGE(BG4:BG5)/AVERAGE(BF4:BF5)</f>
        <v>7</v>
      </c>
    </row>
    <row r="77" spans="1:62" ht="14.25" customHeight="1">
      <c r="B77" s="405" t="s">
        <v>37</v>
      </c>
      <c r="C77" s="400">
        <f>AVERAGE(C6:C36)</f>
        <v>11768.967741935483</v>
      </c>
      <c r="D77" s="400">
        <f>AVERAGE(D6:D36)</f>
        <v>1004.9354838709677</v>
      </c>
      <c r="E77" s="335">
        <f>SUM(E6:E36)</f>
        <v>4874212</v>
      </c>
      <c r="F77" s="415">
        <f>D77/C77</f>
        <v>8.5388583426068559E-2</v>
      </c>
      <c r="G77" s="416">
        <f>AVERAGE(E6:E36)/C77</f>
        <v>13.359935094480292</v>
      </c>
      <c r="H77" s="416">
        <f>AVERAGE(E6:E36)/D77</f>
        <v>156.46043719705969</v>
      </c>
      <c r="I77" s="335">
        <f>SUM(I6:I36)</f>
        <v>78188</v>
      </c>
      <c r="J77" s="335">
        <f>SUM(J6:J36)</f>
        <v>2459</v>
      </c>
      <c r="K77" s="335">
        <f>SUM(K6:K36)</f>
        <v>22742</v>
      </c>
      <c r="L77" s="415">
        <f>J77/I77</f>
        <v>3.1449838849951402E-2</v>
      </c>
      <c r="M77" s="416">
        <f>AVERAGE(K6:K36)/AVERAGE(I6:I36)</f>
        <v>0.29086304803806212</v>
      </c>
      <c r="N77" s="416">
        <f>AVERAGE(K6:K36)/AVERAGE(J6:J36)</f>
        <v>9.2484749898332659</v>
      </c>
      <c r="O77" s="400">
        <f>AVERAGE(O6:O36)</f>
        <v>9246.7741935483864</v>
      </c>
      <c r="P77" s="400">
        <f>AVERAGE(P6:P36)</f>
        <v>925.61290322580646</v>
      </c>
      <c r="Q77" s="335">
        <f>SUM(Q6:Q36)</f>
        <v>4851470</v>
      </c>
      <c r="R77" s="415">
        <f>P77/O77</f>
        <v>0.10010116867259725</v>
      </c>
      <c r="S77" s="416">
        <f>AVERAGE(Q6:Q36)/AVERAGE(O6:O36)</f>
        <v>16.924716553287983</v>
      </c>
      <c r="T77" s="416">
        <f>AVERAGE(Q6:Q36)/AVERAGE(P6:P36)</f>
        <v>169.07611347319997</v>
      </c>
      <c r="W77" s="405" t="s">
        <v>37</v>
      </c>
      <c r="X77" s="400">
        <f>AVERAGE(X6:X36)</f>
        <v>10280.032258064517</v>
      </c>
      <c r="Y77" s="400">
        <f>AVERAGE(Y6:Y36)</f>
        <v>946</v>
      </c>
      <c r="Z77" s="335">
        <f>SUM(Z6:Z36)</f>
        <v>4851297</v>
      </c>
      <c r="AA77" s="415">
        <f>Y77/X77</f>
        <v>9.2023057540298908E-2</v>
      </c>
      <c r="AB77" s="416">
        <f>AVERAGE(Z6:Z36)/X77</f>
        <v>15.223050636843737</v>
      </c>
      <c r="AC77" s="416">
        <f>AVERAGE(Z6:Z36)/Y77</f>
        <v>165.4264816204051</v>
      </c>
      <c r="AD77" s="335">
        <f>SUM(AD6:AD36)</f>
        <v>42993</v>
      </c>
      <c r="AE77" s="335">
        <f>SUM(AE6:AE36)</f>
        <v>1157</v>
      </c>
      <c r="AF77" s="335">
        <f>SUM(AF6:AF36)</f>
        <v>13397</v>
      </c>
      <c r="AG77" s="415">
        <f>AE77/AD77</f>
        <v>2.6911357662875352E-2</v>
      </c>
      <c r="AH77" s="416">
        <f>AVERAGE(AF6:AF36)/AVERAGE(AD6:AD36)</f>
        <v>0.31160886655967257</v>
      </c>
      <c r="AI77" s="416">
        <f>AVERAGE(AF6:AF36)/AVERAGE(AE6:AE36)</f>
        <v>11.579083837510804</v>
      </c>
      <c r="AJ77" s="400">
        <f>AVERAGE(AJ6:AJ36)</f>
        <v>8893.1612903225814</v>
      </c>
      <c r="AK77" s="400">
        <f>AVERAGE(AK6:AK36)</f>
        <v>908.67741935483866</v>
      </c>
      <c r="AL77" s="335">
        <f>SUM(AL6:AL36)</f>
        <v>4837900</v>
      </c>
      <c r="AM77" s="415">
        <f>AK77/AJ77</f>
        <v>0.1021770987493108</v>
      </c>
      <c r="AN77" s="416">
        <f>AVERAGE(AL6:AL36)/AVERAGE(AJ6:AJ36)</f>
        <v>17.548460578625111</v>
      </c>
      <c r="AO77" s="416">
        <f>AVERAGE(AL6:AL36)/AVERAGE(AK6:AK36)</f>
        <v>171.74553587276793</v>
      </c>
      <c r="AR77" s="405" t="s">
        <v>37</v>
      </c>
      <c r="AS77" s="400">
        <f>AVERAGE(AS6:AS36)</f>
        <v>1488.9354838709678</v>
      </c>
      <c r="AT77" s="400">
        <f>AVERAGE(AT6:AT36)</f>
        <v>58.935483870967744</v>
      </c>
      <c r="AU77" s="335">
        <f>SUM(AU6:AU36)</f>
        <v>22915</v>
      </c>
      <c r="AV77" s="415">
        <f>AT77/AS77</f>
        <v>3.9582295209827326E-2</v>
      </c>
      <c r="AW77" s="416">
        <f>AVERAGE(AU6:AU36)/AS77</f>
        <v>0.49645774205429299</v>
      </c>
      <c r="AX77" s="416">
        <f>AVERAGE(AU6:AU36)/AT77</f>
        <v>12.542419266557198</v>
      </c>
      <c r="AY77" s="335">
        <f>SUM(AY6:AY36)</f>
        <v>35195</v>
      </c>
      <c r="AZ77" s="335">
        <f>SUM(AZ6:AZ36)</f>
        <v>1302</v>
      </c>
      <c r="BA77" s="335">
        <f>SUM(BA6:BA36)</f>
        <v>9345</v>
      </c>
      <c r="BB77" s="415">
        <f>AZ77/AY77</f>
        <v>3.6993891177724107E-2</v>
      </c>
      <c r="BC77" s="416">
        <f>AVERAGE(BA6:BA36)/AVERAGE(AY6:AY36)</f>
        <v>0.265520670549794</v>
      </c>
      <c r="BD77" s="416">
        <f>AVERAGE(BA6:BA36)/AVERAGE(AZ6:AZ36)</f>
        <v>7.1774193548387091</v>
      </c>
      <c r="BE77" s="400">
        <f>AVERAGE(BE6:BE36)</f>
        <v>353.61290322580646</v>
      </c>
      <c r="BF77" s="400">
        <f>AVERAGE(BF6:BF36)</f>
        <v>16.93548387096774</v>
      </c>
      <c r="BG77" s="335">
        <f>SUM(BG6:BG36)</f>
        <v>13570</v>
      </c>
      <c r="BH77" s="415">
        <f>BF77/BE77</f>
        <v>4.7892720306513405E-2</v>
      </c>
      <c r="BI77" s="416">
        <f>AVERAGE(BG6:BG36)/AVERAGE(BE6:BE36)</f>
        <v>1.2379127896369275</v>
      </c>
      <c r="BJ77" s="416">
        <f>AVERAGE(BG6:BG36)/AVERAGE(BF6:BF36)</f>
        <v>25.847619047619052</v>
      </c>
    </row>
    <row r="78" spans="1:62" ht="14.25" customHeight="1">
      <c r="B78" s="405" t="s">
        <v>38</v>
      </c>
      <c r="C78" s="400">
        <f>AVERAGE(C37:C64)</f>
        <v>10626.178571428571</v>
      </c>
      <c r="D78" s="400">
        <f>AVERAGE(D37:D64)</f>
        <v>811.92857142857144</v>
      </c>
      <c r="E78" s="401">
        <f>SUM(E37:E64)</f>
        <v>3855831</v>
      </c>
      <c r="F78" s="415">
        <f>D78/C78</f>
        <v>7.6408331176709823E-2</v>
      </c>
      <c r="G78" s="416">
        <f>AVERAGE(E37:E64)/C78</f>
        <v>12.959338964081295</v>
      </c>
      <c r="H78" s="416">
        <f>AVERAGE(E37:E64)/D78</f>
        <v>169.60636051728687</v>
      </c>
      <c r="I78" s="401">
        <f>SUM(I37:I64)</f>
        <v>53671</v>
      </c>
      <c r="J78" s="401">
        <f>SUM(J37:J64)</f>
        <v>1557</v>
      </c>
      <c r="K78" s="401">
        <f>SUM(K37:K64)</f>
        <v>21557</v>
      </c>
      <c r="L78" s="415">
        <f>J78/I78</f>
        <v>2.9010079931434108E-2</v>
      </c>
      <c r="M78" s="416">
        <f>AVERAGE(K37:K64)/AVERAGE(I37:I64)</f>
        <v>0.40165079838273926</v>
      </c>
      <c r="N78" s="416">
        <f>AVERAGE(K37:K64)/AVERAGE(J37:J64)</f>
        <v>13.845215157353886</v>
      </c>
      <c r="O78" s="400">
        <f>AVERAGE(O37:O64)</f>
        <v>8709.3571428571431</v>
      </c>
      <c r="P78" s="400">
        <f>AVERAGE(P37:P64)</f>
        <v>756.32142857142856</v>
      </c>
      <c r="Q78" s="401">
        <f>SUM(Q37:Q64)</f>
        <v>3834274</v>
      </c>
      <c r="R78" s="415">
        <f>P78/O78</f>
        <v>8.6840098088263026E-2</v>
      </c>
      <c r="S78" s="416">
        <f>AVERAGE(Q37:Q64)/AVERAGE(O37:O64)</f>
        <v>15.72313029500291</v>
      </c>
      <c r="T78" s="416">
        <f>AVERAGE(Q37:Q64)/AVERAGE(P37:P64)</f>
        <v>181.05841242857815</v>
      </c>
      <c r="W78" s="405" t="s">
        <v>38</v>
      </c>
      <c r="X78" s="400">
        <f>AVERAGE(X37:X64)</f>
        <v>9520.1428571428569</v>
      </c>
      <c r="Y78" s="400">
        <f>AVERAGE(Y37:Y64)</f>
        <v>748.03571428571433</v>
      </c>
      <c r="Z78" s="401">
        <f>SUM(Z37:Z64)</f>
        <v>3769094</v>
      </c>
      <c r="AA78" s="415">
        <f>Y78/X78</f>
        <v>7.857400099038131E-2</v>
      </c>
      <c r="AB78" s="416">
        <f>AVERAGE(Z37:Z64)/X78</f>
        <v>14.139546225296739</v>
      </c>
      <c r="AC78" s="416">
        <f>AVERAGE(Z37:Z64)/Y78</f>
        <v>179.95196944378131</v>
      </c>
      <c r="AD78" s="401">
        <f>SUM(AD37:AD64)</f>
        <v>35790</v>
      </c>
      <c r="AE78" s="401">
        <f>SUM(AE37:AE64)</f>
        <v>810</v>
      </c>
      <c r="AF78" s="401">
        <f>SUM(AF37:AF64)</f>
        <v>13671</v>
      </c>
      <c r="AG78" s="415">
        <f>AE78/AD78</f>
        <v>2.2632020117351215E-2</v>
      </c>
      <c r="AH78" s="416">
        <f>AVERAGE(AF37:AF64)/AVERAGE(AD37:AD64)</f>
        <v>0.38197820620284995</v>
      </c>
      <c r="AI78" s="416">
        <f>AVERAGE(AF37:AF64)/AVERAGE(AE37:AE64)</f>
        <v>16.87777777777778</v>
      </c>
      <c r="AJ78" s="400">
        <f>AVERAGE(AJ37:AJ64)</f>
        <v>8241.9285714285706</v>
      </c>
      <c r="AK78" s="400">
        <f>AVERAGE(AK37:AK64)</f>
        <v>719.10714285714289</v>
      </c>
      <c r="AL78" s="401">
        <f>SUM(AL37:AL64)</f>
        <v>3755423</v>
      </c>
      <c r="AM78" s="415">
        <f>AK78/AJ78</f>
        <v>8.7249863502820948E-2</v>
      </c>
      <c r="AN78" s="416">
        <f>AVERAGE(AL37:AL64)/AVERAGE(AJ37:AJ64)</f>
        <v>16.273163354624007</v>
      </c>
      <c r="AO78" s="416">
        <f>AVERAGE(AL37:AL64)/AVERAGE(AK37:AK64)</f>
        <v>186.51219269927986</v>
      </c>
      <c r="AR78" s="405" t="s">
        <v>38</v>
      </c>
      <c r="AS78" s="400">
        <f>AVERAGE(AS37:AS64)</f>
        <v>1106.0357142857142</v>
      </c>
      <c r="AT78" s="400">
        <f>AVERAGE(AT37:AT64)</f>
        <v>63.892857142857146</v>
      </c>
      <c r="AU78" s="401">
        <f>SUM(AU37:AU64)</f>
        <v>86737</v>
      </c>
      <c r="AV78" s="415">
        <f>AT78/AS78</f>
        <v>5.7767444864219065E-2</v>
      </c>
      <c r="AW78" s="416">
        <f>AVERAGE(AU37:AU64)/AS78</f>
        <v>2.8007685104459301</v>
      </c>
      <c r="AX78" s="416">
        <f>AVERAGE(AU37:AU64)/AT78</f>
        <v>48.483510340972607</v>
      </c>
      <c r="AY78" s="401">
        <f>SUM(AY37:AY64)</f>
        <v>17881</v>
      </c>
      <c r="AZ78" s="401">
        <f>SUM(AZ37:AZ64)</f>
        <v>747</v>
      </c>
      <c r="BA78" s="401">
        <f>SUM(BA37:BA64)</f>
        <v>7886</v>
      </c>
      <c r="BB78" s="415">
        <f>AZ78/AY78</f>
        <v>4.1776187014149098E-2</v>
      </c>
      <c r="BC78" s="416">
        <f>AVERAGE(BA37:BA64)/AVERAGE(AY37:AY64)</f>
        <v>0.4410267882109502</v>
      </c>
      <c r="BD78" s="416">
        <f>AVERAGE(BA37:BA64)/AVERAGE(AZ37:AZ64)</f>
        <v>10.556894243641233</v>
      </c>
      <c r="BE78" s="400">
        <f>AVERAGE(BE37:BE64)</f>
        <v>467.42857142857144</v>
      </c>
      <c r="BF78" s="400">
        <f>AVERAGE(BF37:BF64)</f>
        <v>37.214285714285715</v>
      </c>
      <c r="BG78" s="401">
        <f>SUM(BG37:BG64)</f>
        <v>78851</v>
      </c>
      <c r="BH78" s="415">
        <f>BF78/BE78</f>
        <v>7.9614914425427868E-2</v>
      </c>
      <c r="BI78" s="416">
        <f>AVERAGE(BG37:BG64)/AVERAGE(BE37:BE64)</f>
        <v>6.0246790953545224</v>
      </c>
      <c r="BJ78" s="416">
        <f>AVERAGE(BG37:BG64)/AVERAGE(BF37:BF64)</f>
        <v>75.672744721689057</v>
      </c>
    </row>
    <row r="79" spans="1:62" ht="13.5" customHeight="1">
      <c r="M79" s="414"/>
    </row>
    <row r="85" spans="1:68" s="190" customFormat="1" ht="20.25" customHeight="1">
      <c r="A85" s="191"/>
      <c r="B85" s="192" t="s">
        <v>40</v>
      </c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"/>
      <c r="U85" s="1"/>
      <c r="V85" s="1"/>
      <c r="W85" s="1"/>
      <c r="X85" s="191"/>
      <c r="Y85" s="192" t="s">
        <v>41</v>
      </c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N85" s="191"/>
      <c r="AP85" s="191"/>
      <c r="AQ85" s="1"/>
      <c r="AR85" s="1"/>
      <c r="AS85" s="1"/>
      <c r="AT85" s="1"/>
      <c r="AV85" s="192" t="s">
        <v>42</v>
      </c>
      <c r="AW85" s="191"/>
      <c r="AY85" s="191"/>
      <c r="AZ85" s="191"/>
      <c r="BB85" s="191"/>
      <c r="BC85" s="191"/>
      <c r="BH85" s="191"/>
    </row>
    <row r="86" spans="1:68" ht="14.25" customHeight="1">
      <c r="B86" s="261" t="s">
        <v>3</v>
      </c>
      <c r="C86" s="255" t="s">
        <v>43</v>
      </c>
      <c r="D86" s="247" t="s">
        <v>44</v>
      </c>
      <c r="E86" s="247" t="s">
        <v>45</v>
      </c>
      <c r="F86" s="247" t="s">
        <v>46</v>
      </c>
      <c r="G86" s="247" t="s">
        <v>47</v>
      </c>
      <c r="H86" s="247" t="s">
        <v>48</v>
      </c>
      <c r="I86" s="247" t="s">
        <v>49</v>
      </c>
      <c r="J86" s="247" t="s">
        <v>50</v>
      </c>
      <c r="K86" s="247" t="s">
        <v>51</v>
      </c>
      <c r="L86" s="247" t="s">
        <v>52</v>
      </c>
      <c r="M86" s="247" t="s">
        <v>53</v>
      </c>
      <c r="N86" s="247" t="s">
        <v>54</v>
      </c>
      <c r="O86" s="247" t="s">
        <v>55</v>
      </c>
      <c r="P86" s="263" t="s">
        <v>56</v>
      </c>
      <c r="Q86" s="263" t="s">
        <v>57</v>
      </c>
      <c r="R86" s="263" t="s">
        <v>58</v>
      </c>
      <c r="S86" s="263" t="s">
        <v>59</v>
      </c>
      <c r="T86" s="263" t="s">
        <v>60</v>
      </c>
      <c r="U86" s="266" t="s">
        <v>61</v>
      </c>
      <c r="V86" s="266" t="s">
        <v>62</v>
      </c>
      <c r="W86" s="1"/>
      <c r="Y86" s="261" t="s">
        <v>3</v>
      </c>
      <c r="Z86" s="255" t="s">
        <v>43</v>
      </c>
      <c r="AA86" s="247" t="s">
        <v>44</v>
      </c>
      <c r="AB86" s="247" t="s">
        <v>45</v>
      </c>
      <c r="AC86" s="247" t="s">
        <v>46</v>
      </c>
      <c r="AD86" s="247" t="s">
        <v>47</v>
      </c>
      <c r="AE86" s="247" t="s">
        <v>48</v>
      </c>
      <c r="AF86" s="247" t="s">
        <v>49</v>
      </c>
      <c r="AG86" s="247" t="s">
        <v>50</v>
      </c>
      <c r="AH86" s="247" t="s">
        <v>51</v>
      </c>
      <c r="AI86" s="247" t="s">
        <v>52</v>
      </c>
      <c r="AJ86" s="247" t="s">
        <v>53</v>
      </c>
      <c r="AK86" s="247" t="s">
        <v>54</v>
      </c>
      <c r="AL86" s="247" t="s">
        <v>55</v>
      </c>
      <c r="AM86" s="263" t="s">
        <v>56</v>
      </c>
      <c r="AN86" s="263" t="s">
        <v>57</v>
      </c>
      <c r="AO86" s="263" t="s">
        <v>58</v>
      </c>
      <c r="AP86" s="263" t="s">
        <v>59</v>
      </c>
      <c r="AQ86" s="263" t="s">
        <v>60</v>
      </c>
      <c r="AR86" s="266" t="s">
        <v>61</v>
      </c>
      <c r="AS86" s="266" t="s">
        <v>62</v>
      </c>
      <c r="AT86" s="1"/>
      <c r="AU86" s="1"/>
      <c r="AV86" s="261" t="s">
        <v>3</v>
      </c>
      <c r="AW86" s="255" t="s">
        <v>43</v>
      </c>
      <c r="AX86" s="247" t="s">
        <v>44</v>
      </c>
      <c r="AY86" s="247" t="s">
        <v>45</v>
      </c>
      <c r="AZ86" s="247" t="s">
        <v>46</v>
      </c>
      <c r="BA86" s="247" t="s">
        <v>47</v>
      </c>
      <c r="BB86" s="247" t="s">
        <v>48</v>
      </c>
      <c r="BC86" s="247" t="s">
        <v>49</v>
      </c>
      <c r="BD86" s="247" t="s">
        <v>50</v>
      </c>
      <c r="BE86" s="247" t="s">
        <v>51</v>
      </c>
      <c r="BF86" s="247" t="s">
        <v>52</v>
      </c>
      <c r="BG86" s="247" t="s">
        <v>53</v>
      </c>
      <c r="BH86" s="247" t="s">
        <v>54</v>
      </c>
      <c r="BI86" s="247" t="s">
        <v>55</v>
      </c>
      <c r="BJ86" s="263" t="s">
        <v>56</v>
      </c>
      <c r="BK86" s="263" t="s">
        <v>57</v>
      </c>
      <c r="BL86" s="263" t="s">
        <v>58</v>
      </c>
      <c r="BM86" s="343" t="s">
        <v>59</v>
      </c>
      <c r="BN86" s="263" t="s">
        <v>60</v>
      </c>
      <c r="BO86" s="345" t="s">
        <v>61</v>
      </c>
      <c r="BP86" s="117" t="s">
        <v>62</v>
      </c>
    </row>
    <row r="87" spans="1:68" ht="14.25" hidden="1" customHeight="1">
      <c r="B87" s="81">
        <v>46021</v>
      </c>
      <c r="C87" s="178">
        <f>Z87+AW87</f>
        <v>1961</v>
      </c>
      <c r="D87" s="82">
        <f t="shared" ref="D87:D99" si="39">($Z87*AA87+$AW87*AX87)/$C87</f>
        <v>0.25502804691483938</v>
      </c>
      <c r="E87" s="82">
        <f t="shared" ref="E87:E99" si="40">($Z87*AB87+$AW87*AY87)/$C87</f>
        <v>0.39309535951045382</v>
      </c>
      <c r="F87" s="82">
        <f t="shared" ref="F87:F99" si="41">($Z87*AC87+$AW87*AZ87)/$C87</f>
        <v>0.95204487506374291</v>
      </c>
      <c r="G87" s="82">
        <f t="shared" ref="G87:G99" si="42">($Z87*AD87+$AW87*BA87)/$C87</f>
        <v>1.574314125446201</v>
      </c>
      <c r="H87" s="82">
        <f t="shared" ref="H87:H99" si="43">($Z87*AE87+$AW87*BB87)/$C87</f>
        <v>2.6428301886792456</v>
      </c>
      <c r="I87" s="82">
        <f t="shared" ref="I87:I99" si="44">($Z87*AF87+$AW87*BC87)/$C87</f>
        <v>2.6955328913819483</v>
      </c>
      <c r="J87" s="82">
        <f t="shared" ref="J87:J99" si="45">($Z87*AG87+$AW87*BD87)/$C87</f>
        <v>2.6975216726160123</v>
      </c>
      <c r="K87" s="82">
        <f t="shared" ref="K87:K99" si="46">($Z87*AH87+$AW87*BE87)/$C87</f>
        <v>3.1647067822539525</v>
      </c>
      <c r="L87" s="82">
        <f t="shared" ref="L87:L99" si="47">($Z87*AI87+$AW87*BF87)/$C87</f>
        <v>3.5879704232534424</v>
      </c>
      <c r="M87" s="82">
        <f t="shared" ref="M87:M99" si="48">($Z87*AJ87+$AW87*BG87)/$C87</f>
        <v>3.8311218765935751</v>
      </c>
      <c r="N87" s="82">
        <f t="shared" ref="N87:N99" si="49">($Z87*AK87+$AW87*BH87)/$C87</f>
        <v>4.2453799082100971</v>
      </c>
      <c r="O87" s="82">
        <f t="shared" ref="O87:O99" si="50">($Z87*AL87+$AW87*BI87)/$C87</f>
        <v>5.001851096379399</v>
      </c>
      <c r="P87" s="83">
        <f t="shared" ref="P87:P118" si="51">F87/D87</f>
        <v>3.7330987182819775</v>
      </c>
      <c r="Q87" s="83">
        <f t="shared" ref="Q87:Q118" si="52">J87/D87</f>
        <v>10.577352982343884</v>
      </c>
      <c r="R87" s="83">
        <f t="shared" ref="R87:R118" si="53">K87/D87</f>
        <v>12.4092499650077</v>
      </c>
      <c r="S87" s="83">
        <f t="shared" ref="S87:S118" si="54">L87/D87</f>
        <v>14.068924836535963</v>
      </c>
      <c r="T87" s="83">
        <f t="shared" ref="T87:T131" si="55">M87/D87</f>
        <v>15.022355081881987</v>
      </c>
      <c r="U87" s="83">
        <f>N87/$D87</f>
        <v>16.646717722101137</v>
      </c>
      <c r="V87" s="161">
        <f>O87/$D87</f>
        <v>19.612945152066548</v>
      </c>
      <c r="W87" s="1"/>
      <c r="Y87" s="274">
        <v>46021</v>
      </c>
      <c r="Z87" s="200">
        <v>1766</v>
      </c>
      <c r="AA87" s="85">
        <v>0.26</v>
      </c>
      <c r="AB87" s="85">
        <v>0.41</v>
      </c>
      <c r="AC87" s="85">
        <v>0.96</v>
      </c>
      <c r="AD87" s="85">
        <v>1.63</v>
      </c>
      <c r="AE87" s="85">
        <v>2.79</v>
      </c>
      <c r="AF87" s="85">
        <v>2.79</v>
      </c>
      <c r="AG87" s="85">
        <v>2.79</v>
      </c>
      <c r="AH87" s="85">
        <v>3.29</v>
      </c>
      <c r="AI87" s="85">
        <v>3.76</v>
      </c>
      <c r="AJ87" s="85">
        <v>4.03</v>
      </c>
      <c r="AK87" s="85">
        <v>4.49</v>
      </c>
      <c r="AL87" s="85">
        <v>5.33</v>
      </c>
      <c r="AM87" s="83">
        <f t="shared" ref="AM87:AM118" si="56">AC87/AA87</f>
        <v>3.6923076923076921</v>
      </c>
      <c r="AN87" s="83">
        <f t="shared" ref="AN87:AN118" si="57">AG87/AA87</f>
        <v>10.73076923076923</v>
      </c>
      <c r="AO87" s="83">
        <f t="shared" ref="AO87:AO118" si="58">AH87/AA87</f>
        <v>12.653846153846153</v>
      </c>
      <c r="AP87" s="83">
        <f t="shared" ref="AP87:AP118" si="59">AI87/AA87</f>
        <v>14.46153846153846</v>
      </c>
      <c r="AQ87" s="83">
        <f t="shared" ref="AQ87:AQ131" si="60">AJ87/AA87</f>
        <v>15.5</v>
      </c>
      <c r="AR87" s="83">
        <f t="shared" ref="AR87:AR115" si="61">AK87/AA87</f>
        <v>17.26923076923077</v>
      </c>
      <c r="AS87" s="161">
        <f t="shared" ref="AS87:AS99" si="62">AL87/$AA87</f>
        <v>20.5</v>
      </c>
      <c r="AT87" s="1"/>
      <c r="AU87" s="1"/>
      <c r="AV87" s="274">
        <v>46021</v>
      </c>
      <c r="AW87" s="154">
        <v>195</v>
      </c>
      <c r="AX87" s="85">
        <v>0.21</v>
      </c>
      <c r="AY87" s="85">
        <v>0.24</v>
      </c>
      <c r="AZ87" s="85">
        <v>0.88</v>
      </c>
      <c r="BA87" s="85">
        <v>1.07</v>
      </c>
      <c r="BB87" s="85">
        <v>1.31</v>
      </c>
      <c r="BC87" s="85">
        <v>1.84</v>
      </c>
      <c r="BD87" s="85">
        <v>1.86</v>
      </c>
      <c r="BE87" s="85">
        <v>2.0299999999999998</v>
      </c>
      <c r="BF87" s="85">
        <v>2.0299999999999998</v>
      </c>
      <c r="BG87" s="85">
        <v>2.0299999999999998</v>
      </c>
      <c r="BH87" s="85">
        <v>2.0299999999999998</v>
      </c>
      <c r="BI87" s="85">
        <v>2.0299999999999998</v>
      </c>
      <c r="BJ87" s="83">
        <f t="shared" ref="BJ87:BJ118" si="63">AZ87/AX87</f>
        <v>4.1904761904761907</v>
      </c>
      <c r="BK87" s="83">
        <f t="shared" ref="BK87:BK118" si="64">BD87/AX87</f>
        <v>8.8571428571428577</v>
      </c>
      <c r="BL87" s="83">
        <f t="shared" ref="BL87:BL118" si="65">BE87/AX87</f>
        <v>9.6666666666666661</v>
      </c>
      <c r="BM87" s="83">
        <f t="shared" ref="BM87:BM118" si="66">BF87/AX87</f>
        <v>9.6666666666666661</v>
      </c>
      <c r="BN87" s="83">
        <f t="shared" ref="BN87:BN131" si="67">BG87/AX87</f>
        <v>9.6666666666666661</v>
      </c>
      <c r="BO87" s="83">
        <f t="shared" ref="BO87:BO115" si="68">BH87/AX87</f>
        <v>9.6666666666666661</v>
      </c>
      <c r="BP87" s="161">
        <f t="shared" ref="BP87:BP99" si="69">BI87/$AX87</f>
        <v>9.6666666666666661</v>
      </c>
    </row>
    <row r="88" spans="1:68" ht="14.25" hidden="1" customHeight="1">
      <c r="B88" s="87">
        <v>46022</v>
      </c>
      <c r="C88" s="178">
        <f>Z88+AW88</f>
        <v>2082</v>
      </c>
      <c r="D88" s="89">
        <f t="shared" si="39"/>
        <v>0.42697406340057636</v>
      </c>
      <c r="E88" s="89">
        <f t="shared" si="40"/>
        <v>0.87714697406340059</v>
      </c>
      <c r="F88" s="89">
        <f t="shared" si="41"/>
        <v>1.2358501440922189</v>
      </c>
      <c r="G88" s="89">
        <f t="shared" si="42"/>
        <v>1.4509510086455333</v>
      </c>
      <c r="H88" s="89">
        <f t="shared" si="43"/>
        <v>1.4747262247838617</v>
      </c>
      <c r="I88" s="89">
        <f t="shared" si="44"/>
        <v>1.5698270893371757</v>
      </c>
      <c r="J88" s="89">
        <f t="shared" si="45"/>
        <v>1.6315273775216139</v>
      </c>
      <c r="K88" s="89">
        <f t="shared" si="46"/>
        <v>2.071902017291066</v>
      </c>
      <c r="L88" s="89">
        <f t="shared" si="47"/>
        <v>2.5615561959654176</v>
      </c>
      <c r="M88" s="89">
        <f t="shared" si="48"/>
        <v>3.076685878962536</v>
      </c>
      <c r="N88" s="89">
        <f t="shared" si="49"/>
        <v>4.4292219020172912</v>
      </c>
      <c r="O88" s="89">
        <f t="shared" si="50"/>
        <v>4.8475216138328534</v>
      </c>
      <c r="P88" s="83">
        <f t="shared" si="51"/>
        <v>2.8944384449244058</v>
      </c>
      <c r="Q88" s="83">
        <f t="shared" si="52"/>
        <v>3.8211393088552916</v>
      </c>
      <c r="R88" s="83">
        <f t="shared" si="53"/>
        <v>4.8525242980561547</v>
      </c>
      <c r="S88" s="83">
        <f t="shared" si="54"/>
        <v>5.9993250539956797</v>
      </c>
      <c r="T88" s="83">
        <f t="shared" si="55"/>
        <v>7.2057910367170628</v>
      </c>
      <c r="U88" s="83">
        <f>N88/$D88</f>
        <v>10.373515118790497</v>
      </c>
      <c r="V88" s="161">
        <f>O88/$D88</f>
        <v>11.353199244060477</v>
      </c>
      <c r="W88" s="1"/>
      <c r="Y88" s="127">
        <v>46022</v>
      </c>
      <c r="Z88" s="200">
        <v>1650</v>
      </c>
      <c r="AA88" s="90">
        <v>0.4</v>
      </c>
      <c r="AB88" s="90">
        <v>0.79</v>
      </c>
      <c r="AC88" s="90">
        <v>1.24</v>
      </c>
      <c r="AD88" s="90">
        <v>1.48</v>
      </c>
      <c r="AE88" s="90">
        <v>1.51</v>
      </c>
      <c r="AF88" s="90">
        <v>1.63</v>
      </c>
      <c r="AG88" s="90">
        <v>1.7</v>
      </c>
      <c r="AH88" s="90">
        <v>2.13</v>
      </c>
      <c r="AI88" s="90">
        <v>2.74</v>
      </c>
      <c r="AJ88" s="90">
        <v>3.39</v>
      </c>
      <c r="AK88" s="90">
        <v>5.0599999999999996</v>
      </c>
      <c r="AL88" s="90">
        <v>5.47</v>
      </c>
      <c r="AM88" s="83">
        <f t="shared" si="56"/>
        <v>3.0999999999999996</v>
      </c>
      <c r="AN88" s="83">
        <f t="shared" si="57"/>
        <v>4.25</v>
      </c>
      <c r="AO88" s="83">
        <f t="shared" si="58"/>
        <v>5.3249999999999993</v>
      </c>
      <c r="AP88" s="83">
        <f t="shared" si="59"/>
        <v>6.8500000000000005</v>
      </c>
      <c r="AQ88" s="83">
        <f t="shared" si="60"/>
        <v>8.4749999999999996</v>
      </c>
      <c r="AR88" s="83">
        <f t="shared" si="61"/>
        <v>12.649999999999999</v>
      </c>
      <c r="AS88" s="161">
        <f t="shared" si="62"/>
        <v>13.674999999999999</v>
      </c>
      <c r="AT88" s="1"/>
      <c r="AU88" s="1"/>
      <c r="AV88" s="127">
        <v>46022</v>
      </c>
      <c r="AW88" s="154">
        <v>432</v>
      </c>
      <c r="AX88" s="90">
        <v>0.53</v>
      </c>
      <c r="AY88" s="90">
        <v>1.21</v>
      </c>
      <c r="AZ88" s="90">
        <v>1.22</v>
      </c>
      <c r="BA88" s="90">
        <v>1.34</v>
      </c>
      <c r="BB88" s="90">
        <v>1.34</v>
      </c>
      <c r="BC88" s="90">
        <v>1.34</v>
      </c>
      <c r="BD88" s="90">
        <v>1.37</v>
      </c>
      <c r="BE88" s="90">
        <v>1.85</v>
      </c>
      <c r="BF88" s="90">
        <v>1.88</v>
      </c>
      <c r="BG88" s="90">
        <v>1.88</v>
      </c>
      <c r="BH88" s="90">
        <v>2.02</v>
      </c>
      <c r="BI88" s="90">
        <v>2.4700000000000002</v>
      </c>
      <c r="BJ88" s="83">
        <f t="shared" si="63"/>
        <v>2.3018867924528301</v>
      </c>
      <c r="BK88" s="83">
        <f t="shared" si="64"/>
        <v>2.5849056603773586</v>
      </c>
      <c r="BL88" s="83">
        <f t="shared" si="65"/>
        <v>3.4905660377358489</v>
      </c>
      <c r="BM88" s="83">
        <f t="shared" si="66"/>
        <v>3.5471698113207544</v>
      </c>
      <c r="BN88" s="83">
        <f t="shared" si="67"/>
        <v>3.5471698113207544</v>
      </c>
      <c r="BO88" s="83">
        <f t="shared" si="68"/>
        <v>3.8113207547169812</v>
      </c>
      <c r="BP88" s="161">
        <f t="shared" si="69"/>
        <v>4.6603773584905666</v>
      </c>
    </row>
    <row r="89" spans="1:68" s="41" customFormat="1" ht="27.75" hidden="1" customHeight="1">
      <c r="B89" s="376" t="s">
        <v>35</v>
      </c>
      <c r="C89" s="371">
        <f>SUM(C87:C88)</f>
        <v>4043</v>
      </c>
      <c r="D89" s="303">
        <f t="shared" si="39"/>
        <v>0.34550828592629235</v>
      </c>
      <c r="E89" s="303">
        <f t="shared" si="40"/>
        <v>0.64807568637150637</v>
      </c>
      <c r="F89" s="303">
        <f t="shared" si="41"/>
        <v>1.1031016571852585</v>
      </c>
      <c r="G89" s="303">
        <f t="shared" si="42"/>
        <v>1.5134751422211228</v>
      </c>
      <c r="H89" s="303">
        <f t="shared" si="43"/>
        <v>2.0397303982191439</v>
      </c>
      <c r="I89" s="303">
        <f t="shared" si="44"/>
        <v>2.116789512738066</v>
      </c>
      <c r="J89" s="303">
        <f t="shared" si="45"/>
        <v>2.1536878555528074</v>
      </c>
      <c r="K89" s="303">
        <f t="shared" si="46"/>
        <v>2.5098911699233244</v>
      </c>
      <c r="L89" s="303">
        <f t="shared" si="47"/>
        <v>3.0621889685876824</v>
      </c>
      <c r="M89" s="303">
        <f t="shared" si="48"/>
        <v>3.442401681919367</v>
      </c>
      <c r="N89" s="303">
        <f t="shared" si="49"/>
        <v>4.3350729656195899</v>
      </c>
      <c r="O89" s="303">
        <f t="shared" si="50"/>
        <v>4.9238956220628252</v>
      </c>
      <c r="P89" s="194">
        <f t="shared" si="51"/>
        <v>3.1926923379793686</v>
      </c>
      <c r="Q89" s="194">
        <f t="shared" si="52"/>
        <v>6.2333898875358837</v>
      </c>
      <c r="R89" s="194">
        <f t="shared" si="53"/>
        <v>7.264344364982211</v>
      </c>
      <c r="S89" s="194">
        <f t="shared" si="54"/>
        <v>8.8628524794364623</v>
      </c>
      <c r="T89" s="194">
        <f t="shared" si="55"/>
        <v>9.9632970384210644</v>
      </c>
      <c r="U89" s="194">
        <f>N89/D89</f>
        <v>12.546943567496369</v>
      </c>
      <c r="V89" s="201">
        <f>O89/D89</f>
        <v>14.251165088160128</v>
      </c>
      <c r="W89" s="1"/>
      <c r="Y89" s="253" t="s">
        <v>35</v>
      </c>
      <c r="Z89" s="171">
        <f>SUM(Z87:Z88)</f>
        <v>3416</v>
      </c>
      <c r="AA89" s="193">
        <v>0.33</v>
      </c>
      <c r="AB89" s="193">
        <v>0.6</v>
      </c>
      <c r="AC89" s="193">
        <v>1.1000000000000001</v>
      </c>
      <c r="AD89" s="193">
        <v>1.56</v>
      </c>
      <c r="AE89" s="193">
        <v>2.17</v>
      </c>
      <c r="AF89" s="193">
        <v>2.23</v>
      </c>
      <c r="AG89" s="193">
        <v>2.27</v>
      </c>
      <c r="AH89" s="193">
        <v>2.62</v>
      </c>
      <c r="AI89" s="193">
        <v>3.27</v>
      </c>
      <c r="AJ89" s="193">
        <v>3.72</v>
      </c>
      <c r="AK89" s="193">
        <v>4.76</v>
      </c>
      <c r="AL89" s="193">
        <v>5.4</v>
      </c>
      <c r="AM89" s="194">
        <f t="shared" si="56"/>
        <v>3.3333333333333335</v>
      </c>
      <c r="AN89" s="194">
        <f t="shared" si="57"/>
        <v>6.8787878787878789</v>
      </c>
      <c r="AO89" s="194">
        <f t="shared" si="58"/>
        <v>7.9393939393939394</v>
      </c>
      <c r="AP89" s="194">
        <f t="shared" si="59"/>
        <v>9.9090909090909083</v>
      </c>
      <c r="AQ89" s="194">
        <f t="shared" si="60"/>
        <v>11.272727272727273</v>
      </c>
      <c r="AR89" s="194">
        <f t="shared" si="61"/>
        <v>14.424242424242422</v>
      </c>
      <c r="AS89" s="201">
        <f t="shared" si="62"/>
        <v>16.363636363636363</v>
      </c>
      <c r="AT89" s="1"/>
      <c r="AV89" s="253" t="s">
        <v>35</v>
      </c>
      <c r="AW89" s="171">
        <f>SUM(AW87:AW88)</f>
        <v>627</v>
      </c>
      <c r="AX89" s="193">
        <v>0.43</v>
      </c>
      <c r="AY89" s="193">
        <v>0.91</v>
      </c>
      <c r="AZ89" s="193">
        <v>1.1200000000000001</v>
      </c>
      <c r="BA89" s="193">
        <v>1.26</v>
      </c>
      <c r="BB89" s="193">
        <v>1.33</v>
      </c>
      <c r="BC89" s="193">
        <v>1.5</v>
      </c>
      <c r="BD89" s="193">
        <v>1.52</v>
      </c>
      <c r="BE89" s="193">
        <v>1.91</v>
      </c>
      <c r="BF89" s="193">
        <v>1.93</v>
      </c>
      <c r="BG89" s="193">
        <v>1.93</v>
      </c>
      <c r="BH89" s="193">
        <v>2.02</v>
      </c>
      <c r="BI89" s="193">
        <v>2.33</v>
      </c>
      <c r="BJ89" s="194">
        <f t="shared" si="63"/>
        <v>2.6046511627906979</v>
      </c>
      <c r="BK89" s="194">
        <f t="shared" si="64"/>
        <v>3.5348837209302326</v>
      </c>
      <c r="BL89" s="194">
        <f t="shared" si="65"/>
        <v>4.441860465116279</v>
      </c>
      <c r="BM89" s="194">
        <f t="shared" si="66"/>
        <v>4.4883720930232558</v>
      </c>
      <c r="BN89" s="194">
        <f t="shared" si="67"/>
        <v>4.4883720930232558</v>
      </c>
      <c r="BO89" s="194">
        <f t="shared" si="68"/>
        <v>4.6976744186046515</v>
      </c>
      <c r="BP89" s="201">
        <f t="shared" si="69"/>
        <v>5.4186046511627906</v>
      </c>
    </row>
    <row r="90" spans="1:68" ht="14.25" hidden="1" customHeight="1">
      <c r="B90" s="87">
        <v>46023</v>
      </c>
      <c r="C90" s="178">
        <f t="shared" ref="C90:C102" si="70">Z90+AW90</f>
        <v>2355</v>
      </c>
      <c r="D90" s="89">
        <f t="shared" si="39"/>
        <v>0.11921019108280255</v>
      </c>
      <c r="E90" s="89">
        <f t="shared" si="40"/>
        <v>0.36603821656050956</v>
      </c>
      <c r="F90" s="89">
        <f t="shared" si="41"/>
        <v>0.42078980891719747</v>
      </c>
      <c r="G90" s="89">
        <f t="shared" si="42"/>
        <v>0.48771974522292999</v>
      </c>
      <c r="H90" s="89">
        <f t="shared" si="43"/>
        <v>1.326815286624204</v>
      </c>
      <c r="I90" s="89">
        <f t="shared" si="44"/>
        <v>1.5301783439490448</v>
      </c>
      <c r="J90" s="89">
        <f t="shared" si="45"/>
        <v>1.9212611464968152</v>
      </c>
      <c r="K90" s="89">
        <f t="shared" si="46"/>
        <v>3.3391592356687894</v>
      </c>
      <c r="L90" s="89">
        <f t="shared" si="47"/>
        <v>3.534700636942675</v>
      </c>
      <c r="M90" s="89">
        <f t="shared" si="48"/>
        <v>6.3470318471337572</v>
      </c>
      <c r="N90" s="89">
        <f t="shared" si="49"/>
        <v>18.353273885350319</v>
      </c>
      <c r="O90" s="89">
        <f t="shared" si="50"/>
        <v>22.005987261146498</v>
      </c>
      <c r="P90" s="433">
        <f t="shared" si="51"/>
        <v>3.5298140628339389</v>
      </c>
      <c r="Q90" s="433">
        <f t="shared" si="52"/>
        <v>16.116584740329131</v>
      </c>
      <c r="R90" s="433">
        <f t="shared" si="53"/>
        <v>28.010686044026496</v>
      </c>
      <c r="S90" s="433">
        <f t="shared" si="54"/>
        <v>29.650993802094462</v>
      </c>
      <c r="T90" s="433">
        <f t="shared" si="55"/>
        <v>53.242359478521045</v>
      </c>
      <c r="U90" s="433">
        <f t="shared" ref="U90:U99" si="71">N90/$D90</f>
        <v>153.957255823894</v>
      </c>
      <c r="V90" s="149">
        <f t="shared" ref="V90:V99" si="72">O90/$D90</f>
        <v>184.59820474460355</v>
      </c>
      <c r="W90" s="1"/>
      <c r="Y90" s="127">
        <v>46023</v>
      </c>
      <c r="Z90" s="287">
        <v>1842</v>
      </c>
      <c r="AA90" s="423">
        <v>0.08</v>
      </c>
      <c r="AB90" s="423">
        <v>0.39</v>
      </c>
      <c r="AC90" s="423">
        <v>0.46</v>
      </c>
      <c r="AD90" s="423">
        <v>0.54</v>
      </c>
      <c r="AE90" s="423">
        <v>1.61</v>
      </c>
      <c r="AF90" s="423">
        <v>1.87</v>
      </c>
      <c r="AG90" s="423">
        <v>2.37</v>
      </c>
      <c r="AH90" s="423">
        <v>4.18</v>
      </c>
      <c r="AI90" s="423">
        <v>4.43</v>
      </c>
      <c r="AJ90" s="423">
        <v>8.02</v>
      </c>
      <c r="AK90" s="423">
        <v>23.37</v>
      </c>
      <c r="AL90" s="423">
        <v>28.04</v>
      </c>
      <c r="AM90" s="433">
        <f t="shared" si="56"/>
        <v>5.75</v>
      </c>
      <c r="AN90" s="433">
        <f t="shared" si="57"/>
        <v>29.625</v>
      </c>
      <c r="AO90" s="433">
        <f t="shared" si="58"/>
        <v>52.249999999999993</v>
      </c>
      <c r="AP90" s="433">
        <f t="shared" si="59"/>
        <v>55.374999999999993</v>
      </c>
      <c r="AQ90" s="433">
        <f t="shared" si="60"/>
        <v>100.24999999999999</v>
      </c>
      <c r="AR90" s="433">
        <f t="shared" si="61"/>
        <v>292.125</v>
      </c>
      <c r="AS90" s="149">
        <f t="shared" si="62"/>
        <v>350.5</v>
      </c>
      <c r="AT90" s="1"/>
      <c r="AU90" s="1"/>
      <c r="AV90" s="127">
        <v>46023</v>
      </c>
      <c r="AW90" s="145">
        <v>513</v>
      </c>
      <c r="AX90" s="423">
        <v>0.26</v>
      </c>
      <c r="AY90" s="423">
        <v>0.28000000000000003</v>
      </c>
      <c r="AZ90" s="423">
        <v>0.28000000000000003</v>
      </c>
      <c r="BA90" s="423">
        <v>0.3</v>
      </c>
      <c r="BB90" s="423">
        <v>0.31</v>
      </c>
      <c r="BC90" s="423">
        <v>0.31</v>
      </c>
      <c r="BD90" s="423">
        <v>0.31</v>
      </c>
      <c r="BE90" s="423">
        <v>0.32</v>
      </c>
      <c r="BF90" s="423">
        <v>0.32</v>
      </c>
      <c r="BG90" s="423">
        <v>0.34</v>
      </c>
      <c r="BH90" s="423">
        <v>0.34</v>
      </c>
      <c r="BI90" s="423">
        <v>0.34</v>
      </c>
      <c r="BJ90" s="433">
        <f t="shared" si="63"/>
        <v>1.0769230769230771</v>
      </c>
      <c r="BK90" s="433">
        <f t="shared" si="64"/>
        <v>1.1923076923076923</v>
      </c>
      <c r="BL90" s="433">
        <f t="shared" si="65"/>
        <v>1.2307692307692308</v>
      </c>
      <c r="BM90" s="433">
        <f t="shared" si="66"/>
        <v>1.2307692307692308</v>
      </c>
      <c r="BN90" s="433">
        <f t="shared" si="67"/>
        <v>1.3076923076923077</v>
      </c>
      <c r="BO90" s="433">
        <f t="shared" si="68"/>
        <v>1.3076923076923077</v>
      </c>
      <c r="BP90" s="149">
        <f t="shared" si="69"/>
        <v>1.3076923076923077</v>
      </c>
    </row>
    <row r="91" spans="1:68" ht="14.25" hidden="1" customHeight="1">
      <c r="B91" s="86">
        <v>46024</v>
      </c>
      <c r="C91" s="178">
        <f t="shared" si="70"/>
        <v>2245</v>
      </c>
      <c r="D91" s="89">
        <f t="shared" si="39"/>
        <v>0.41149220489977734</v>
      </c>
      <c r="E91" s="89">
        <f t="shared" si="40"/>
        <v>0.97617817371937643</v>
      </c>
      <c r="F91" s="89">
        <f t="shared" si="41"/>
        <v>1.3103830734966593</v>
      </c>
      <c r="G91" s="89">
        <f t="shared" si="42"/>
        <v>1.4707037861915366</v>
      </c>
      <c r="H91" s="89">
        <f t="shared" si="43"/>
        <v>1.706610244988864</v>
      </c>
      <c r="I91" s="89">
        <f t="shared" si="44"/>
        <v>1.7794832962138083</v>
      </c>
      <c r="J91" s="89">
        <f t="shared" si="45"/>
        <v>1.7794832962138083</v>
      </c>
      <c r="K91" s="89">
        <f t="shared" si="46"/>
        <v>2.0372516703786188</v>
      </c>
      <c r="L91" s="89">
        <f t="shared" si="47"/>
        <v>2.1838485523385298</v>
      </c>
      <c r="M91" s="89">
        <f t="shared" si="48"/>
        <v>2.5846503340757243</v>
      </c>
      <c r="N91" s="89">
        <f t="shared" si="49"/>
        <v>2.9198663697104679</v>
      </c>
      <c r="O91" s="89">
        <f t="shared" si="50"/>
        <v>3.0073140311804014</v>
      </c>
      <c r="P91" s="83">
        <f t="shared" si="51"/>
        <v>3.184466334704481</v>
      </c>
      <c r="Q91" s="83">
        <f t="shared" si="52"/>
        <v>4.3244641697337078</v>
      </c>
      <c r="R91" s="83">
        <f t="shared" si="53"/>
        <v>4.9508876380168854</v>
      </c>
      <c r="S91" s="83">
        <f t="shared" si="54"/>
        <v>5.3071444035505504</v>
      </c>
      <c r="T91" s="83">
        <f t="shared" si="55"/>
        <v>6.2811647542758173</v>
      </c>
      <c r="U91" s="83">
        <f t="shared" si="71"/>
        <v>7.0957999567005841</v>
      </c>
      <c r="V91" s="161">
        <f t="shared" si="72"/>
        <v>7.3083134877679159</v>
      </c>
      <c r="W91" s="1"/>
      <c r="Y91" s="127">
        <v>46024</v>
      </c>
      <c r="Z91" s="200">
        <v>1636</v>
      </c>
      <c r="AA91" s="90">
        <v>0.52</v>
      </c>
      <c r="AB91" s="90">
        <v>1.28</v>
      </c>
      <c r="AC91" s="90">
        <v>1.72</v>
      </c>
      <c r="AD91" s="90">
        <v>1.94</v>
      </c>
      <c r="AE91" s="90">
        <v>2.2599999999999998</v>
      </c>
      <c r="AF91" s="90">
        <v>2.36</v>
      </c>
      <c r="AG91" s="90">
        <v>2.36</v>
      </c>
      <c r="AH91" s="90">
        <v>2.71</v>
      </c>
      <c r="AI91" s="90">
        <v>2.9</v>
      </c>
      <c r="AJ91" s="90">
        <v>3.45</v>
      </c>
      <c r="AK91" s="90">
        <v>3.91</v>
      </c>
      <c r="AL91" s="90">
        <v>4.03</v>
      </c>
      <c r="AM91" s="83">
        <f t="shared" si="56"/>
        <v>3.3076923076923075</v>
      </c>
      <c r="AN91" s="83">
        <f t="shared" si="57"/>
        <v>4.5384615384615383</v>
      </c>
      <c r="AO91" s="83">
        <f t="shared" si="58"/>
        <v>5.2115384615384617</v>
      </c>
      <c r="AP91" s="83">
        <f t="shared" si="59"/>
        <v>5.5769230769230766</v>
      </c>
      <c r="AQ91" s="83">
        <f t="shared" si="60"/>
        <v>6.634615384615385</v>
      </c>
      <c r="AR91" s="83">
        <f t="shared" si="61"/>
        <v>7.5192307692307692</v>
      </c>
      <c r="AS91" s="161">
        <f t="shared" si="62"/>
        <v>7.75</v>
      </c>
      <c r="AT91" s="1"/>
      <c r="AU91" s="1"/>
      <c r="AV91" s="127">
        <v>46024</v>
      </c>
      <c r="AW91" s="154">
        <v>609</v>
      </c>
      <c r="AX91" s="90">
        <v>0.12</v>
      </c>
      <c r="AY91" s="90">
        <v>0.16</v>
      </c>
      <c r="AZ91" s="90">
        <v>0.21</v>
      </c>
      <c r="BA91" s="90">
        <v>0.21</v>
      </c>
      <c r="BB91" s="90">
        <v>0.22</v>
      </c>
      <c r="BC91" s="90">
        <v>0.22</v>
      </c>
      <c r="BD91" s="90">
        <v>0.22</v>
      </c>
      <c r="BE91" s="90">
        <v>0.23</v>
      </c>
      <c r="BF91" s="90">
        <v>0.26</v>
      </c>
      <c r="BG91" s="90">
        <v>0.26</v>
      </c>
      <c r="BH91" s="90">
        <v>0.26</v>
      </c>
      <c r="BI91" s="90">
        <v>0.26</v>
      </c>
      <c r="BJ91" s="83">
        <f t="shared" si="63"/>
        <v>1.75</v>
      </c>
      <c r="BK91" s="83">
        <f t="shared" si="64"/>
        <v>1.8333333333333335</v>
      </c>
      <c r="BL91" s="83">
        <f t="shared" si="65"/>
        <v>1.9166666666666667</v>
      </c>
      <c r="BM91" s="83">
        <f t="shared" si="66"/>
        <v>2.166666666666667</v>
      </c>
      <c r="BN91" s="83">
        <f t="shared" si="67"/>
        <v>2.166666666666667</v>
      </c>
      <c r="BO91" s="83">
        <f t="shared" si="68"/>
        <v>2.166666666666667</v>
      </c>
      <c r="BP91" s="161">
        <f t="shared" si="69"/>
        <v>2.166666666666667</v>
      </c>
    </row>
    <row r="92" spans="1:68" ht="14.25" hidden="1" customHeight="1">
      <c r="B92" s="86">
        <v>46025</v>
      </c>
      <c r="C92" s="178">
        <f t="shared" si="70"/>
        <v>2266</v>
      </c>
      <c r="D92" s="89">
        <f t="shared" si="39"/>
        <v>0.18945278022947926</v>
      </c>
      <c r="E92" s="89">
        <f t="shared" si="40"/>
        <v>0.23017210944395414</v>
      </c>
      <c r="F92" s="89">
        <f t="shared" si="41"/>
        <v>0.23017210944395414</v>
      </c>
      <c r="G92" s="89">
        <f t="shared" si="42"/>
        <v>0.23431597528684903</v>
      </c>
      <c r="H92" s="89">
        <f t="shared" si="43"/>
        <v>0.23431597528684903</v>
      </c>
      <c r="I92" s="89">
        <f t="shared" si="44"/>
        <v>0.24017210944395406</v>
      </c>
      <c r="J92" s="89">
        <f t="shared" si="45"/>
        <v>0.24431597528684906</v>
      </c>
      <c r="K92" s="89">
        <f t="shared" si="46"/>
        <v>0.24431597528684906</v>
      </c>
      <c r="L92" s="89">
        <f t="shared" si="47"/>
        <v>0.25017210944395407</v>
      </c>
      <c r="M92" s="89">
        <f t="shared" si="48"/>
        <v>0.32630185348631957</v>
      </c>
      <c r="N92" s="89">
        <f t="shared" si="49"/>
        <v>0.37729479258605475</v>
      </c>
      <c r="O92" s="89">
        <f t="shared" si="50"/>
        <v>0.45928067078552515</v>
      </c>
      <c r="P92" s="83">
        <f t="shared" si="51"/>
        <v>1.2149312834847428</v>
      </c>
      <c r="Q92" s="83">
        <f t="shared" si="52"/>
        <v>1.2895877009084555</v>
      </c>
      <c r="R92" s="83">
        <f t="shared" si="53"/>
        <v>1.2895877009084555</v>
      </c>
      <c r="S92" s="83">
        <f t="shared" si="54"/>
        <v>1.3204984859072908</v>
      </c>
      <c r="T92" s="83">
        <f t="shared" si="55"/>
        <v>1.7223386908921503</v>
      </c>
      <c r="U92" s="83">
        <f t="shared" si="71"/>
        <v>1.9914977870952715</v>
      </c>
      <c r="V92" s="161">
        <f t="shared" si="72"/>
        <v>2.4242487770789656</v>
      </c>
      <c r="W92" s="1"/>
      <c r="Y92" s="127">
        <v>46025</v>
      </c>
      <c r="Z92" s="200">
        <v>1327</v>
      </c>
      <c r="AA92" s="90">
        <v>0.09</v>
      </c>
      <c r="AB92" s="90">
        <v>0.11</v>
      </c>
      <c r="AC92" s="90">
        <v>0.11</v>
      </c>
      <c r="AD92" s="90">
        <v>0.11</v>
      </c>
      <c r="AE92" s="90">
        <v>0.11</v>
      </c>
      <c r="AF92" s="90">
        <v>0.12</v>
      </c>
      <c r="AG92" s="90">
        <v>0.12</v>
      </c>
      <c r="AH92" s="90">
        <v>0.12</v>
      </c>
      <c r="AI92" s="90">
        <v>0.13</v>
      </c>
      <c r="AJ92" s="90">
        <v>0.26</v>
      </c>
      <c r="AK92" s="90">
        <v>0.34</v>
      </c>
      <c r="AL92" s="90">
        <v>0.48</v>
      </c>
      <c r="AM92" s="83">
        <f t="shared" si="56"/>
        <v>1.2222222222222223</v>
      </c>
      <c r="AN92" s="83">
        <f t="shared" si="57"/>
        <v>1.3333333333333333</v>
      </c>
      <c r="AO92" s="83">
        <f t="shared" si="58"/>
        <v>1.3333333333333333</v>
      </c>
      <c r="AP92" s="83">
        <f t="shared" si="59"/>
        <v>1.4444444444444446</v>
      </c>
      <c r="AQ92" s="83">
        <f t="shared" si="60"/>
        <v>2.8888888888888893</v>
      </c>
      <c r="AR92" s="83">
        <f t="shared" si="61"/>
        <v>3.7777777777777781</v>
      </c>
      <c r="AS92" s="161">
        <f t="shared" si="62"/>
        <v>5.333333333333333</v>
      </c>
      <c r="AT92" s="1"/>
      <c r="AU92" s="1"/>
      <c r="AV92" s="127">
        <v>46025</v>
      </c>
      <c r="AW92" s="154">
        <v>939</v>
      </c>
      <c r="AX92" s="90">
        <v>0.33</v>
      </c>
      <c r="AY92" s="90">
        <v>0.4</v>
      </c>
      <c r="AZ92" s="90">
        <v>0.4</v>
      </c>
      <c r="BA92" s="90">
        <v>0.41</v>
      </c>
      <c r="BB92" s="90">
        <v>0.41</v>
      </c>
      <c r="BC92" s="90">
        <v>0.41</v>
      </c>
      <c r="BD92" s="90">
        <v>0.42</v>
      </c>
      <c r="BE92" s="90">
        <v>0.42</v>
      </c>
      <c r="BF92" s="90">
        <v>0.42</v>
      </c>
      <c r="BG92" s="90">
        <v>0.42</v>
      </c>
      <c r="BH92" s="90">
        <v>0.43</v>
      </c>
      <c r="BI92" s="90">
        <v>0.43</v>
      </c>
      <c r="BJ92" s="83">
        <f t="shared" si="63"/>
        <v>1.2121212121212122</v>
      </c>
      <c r="BK92" s="83">
        <f t="shared" si="64"/>
        <v>1.2727272727272727</v>
      </c>
      <c r="BL92" s="83">
        <f t="shared" si="65"/>
        <v>1.2727272727272727</v>
      </c>
      <c r="BM92" s="83">
        <f t="shared" si="66"/>
        <v>1.2727272727272727</v>
      </c>
      <c r="BN92" s="83">
        <f t="shared" si="67"/>
        <v>1.2727272727272727</v>
      </c>
      <c r="BO92" s="83">
        <f t="shared" si="68"/>
        <v>1.303030303030303</v>
      </c>
      <c r="BP92" s="161">
        <f t="shared" si="69"/>
        <v>1.303030303030303</v>
      </c>
    </row>
    <row r="93" spans="1:68" ht="14.25" hidden="1" customHeight="1">
      <c r="B93" s="86">
        <v>46026</v>
      </c>
      <c r="C93" s="178">
        <f t="shared" si="70"/>
        <v>1957</v>
      </c>
      <c r="D93" s="89">
        <f t="shared" si="39"/>
        <v>0.57191108840061322</v>
      </c>
      <c r="E93" s="89">
        <f t="shared" si="40"/>
        <v>1.3586867654573325</v>
      </c>
      <c r="F93" s="89">
        <f t="shared" si="41"/>
        <v>1.496280020439448</v>
      </c>
      <c r="G93" s="89">
        <f t="shared" si="42"/>
        <v>1.9299284619315278</v>
      </c>
      <c r="H93" s="89">
        <f t="shared" si="43"/>
        <v>2.4361573837506389</v>
      </c>
      <c r="I93" s="89">
        <f t="shared" si="44"/>
        <v>2.6911701584057228</v>
      </c>
      <c r="J93" s="89">
        <f t="shared" si="45"/>
        <v>3.2358610117526827</v>
      </c>
      <c r="K93" s="89">
        <f t="shared" si="46"/>
        <v>3.97707715891671</v>
      </c>
      <c r="L93" s="89">
        <f t="shared" si="47"/>
        <v>4.3200306591722022</v>
      </c>
      <c r="M93" s="89">
        <f t="shared" si="48"/>
        <v>4.7643484925906998</v>
      </c>
      <c r="N93" s="89">
        <f t="shared" si="49"/>
        <v>5.1039754726622375</v>
      </c>
      <c r="O93" s="89">
        <f t="shared" si="50"/>
        <v>5.2882677567705665</v>
      </c>
      <c r="P93" s="83">
        <f t="shared" si="51"/>
        <v>2.6162808359318457</v>
      </c>
      <c r="Q93" s="83">
        <f t="shared" si="52"/>
        <v>5.6579791463774196</v>
      </c>
      <c r="R93" s="83">
        <f t="shared" si="53"/>
        <v>6.9540130268130778</v>
      </c>
      <c r="S93" s="83">
        <f t="shared" si="54"/>
        <v>7.5536752946221952</v>
      </c>
      <c r="T93" s="83">
        <f t="shared" si="55"/>
        <v>8.3305754849316038</v>
      </c>
      <c r="U93" s="83">
        <f t="shared" si="71"/>
        <v>8.9244212538977674</v>
      </c>
      <c r="V93" s="161">
        <f t="shared" si="72"/>
        <v>9.2466606506258753</v>
      </c>
      <c r="W93" s="1"/>
      <c r="Y93" s="127">
        <v>46026</v>
      </c>
      <c r="Z93" s="200">
        <v>1316</v>
      </c>
      <c r="AA93" s="90">
        <v>0.68</v>
      </c>
      <c r="AB93" s="90">
        <v>1.85</v>
      </c>
      <c r="AC93" s="90">
        <v>2.04</v>
      </c>
      <c r="AD93" s="90">
        <v>2.68</v>
      </c>
      <c r="AE93" s="90">
        <v>3.35</v>
      </c>
      <c r="AF93" s="90">
        <v>3.7</v>
      </c>
      <c r="AG93" s="90">
        <v>4.51</v>
      </c>
      <c r="AH93" s="90">
        <v>5.32</v>
      </c>
      <c r="AI93" s="90">
        <v>5.83</v>
      </c>
      <c r="AJ93" s="90">
        <v>6.33</v>
      </c>
      <c r="AK93" s="90">
        <v>6.46</v>
      </c>
      <c r="AL93" s="90">
        <v>6.51</v>
      </c>
      <c r="AM93" s="83">
        <f t="shared" si="56"/>
        <v>3</v>
      </c>
      <c r="AN93" s="83">
        <f t="shared" si="57"/>
        <v>6.6323529411764701</v>
      </c>
      <c r="AO93" s="83">
        <f t="shared" si="58"/>
        <v>7.8235294117647056</v>
      </c>
      <c r="AP93" s="83">
        <f t="shared" si="59"/>
        <v>8.5735294117647047</v>
      </c>
      <c r="AQ93" s="83">
        <f t="shared" si="60"/>
        <v>9.3088235294117645</v>
      </c>
      <c r="AR93" s="83">
        <f t="shared" si="61"/>
        <v>9.5</v>
      </c>
      <c r="AS93" s="161">
        <f t="shared" si="62"/>
        <v>9.5735294117647047</v>
      </c>
      <c r="AT93" s="1"/>
      <c r="AU93" s="1"/>
      <c r="AV93" s="127">
        <v>46026</v>
      </c>
      <c r="AW93" s="154">
        <v>641</v>
      </c>
      <c r="AX93" s="90">
        <v>0.35</v>
      </c>
      <c r="AY93" s="90">
        <v>0.35</v>
      </c>
      <c r="AZ93" s="90">
        <v>0.38</v>
      </c>
      <c r="BA93" s="90">
        <v>0.39</v>
      </c>
      <c r="BB93" s="90">
        <v>0.56000000000000005</v>
      </c>
      <c r="BC93" s="90">
        <v>0.62</v>
      </c>
      <c r="BD93" s="90">
        <v>0.62</v>
      </c>
      <c r="BE93" s="90">
        <v>1.22</v>
      </c>
      <c r="BF93" s="90">
        <v>1.22</v>
      </c>
      <c r="BG93" s="90">
        <v>1.55</v>
      </c>
      <c r="BH93" s="90">
        <v>2.3199999999999998</v>
      </c>
      <c r="BI93" s="90">
        <v>2.78</v>
      </c>
      <c r="BJ93" s="83">
        <f t="shared" si="63"/>
        <v>1.0857142857142859</v>
      </c>
      <c r="BK93" s="83">
        <f t="shared" si="64"/>
        <v>1.7714285714285716</v>
      </c>
      <c r="BL93" s="83">
        <f t="shared" si="65"/>
        <v>3.4857142857142858</v>
      </c>
      <c r="BM93" s="83">
        <f t="shared" si="66"/>
        <v>3.4857142857142858</v>
      </c>
      <c r="BN93" s="83">
        <f t="shared" si="67"/>
        <v>4.4285714285714288</v>
      </c>
      <c r="BO93" s="83">
        <f t="shared" si="68"/>
        <v>6.6285714285714281</v>
      </c>
      <c r="BP93" s="161">
        <f t="shared" si="69"/>
        <v>7.9428571428571431</v>
      </c>
    </row>
    <row r="94" spans="1:68" ht="14.25" hidden="1" customHeight="1">
      <c r="B94" s="86">
        <v>46027</v>
      </c>
      <c r="C94" s="178">
        <f t="shared" si="70"/>
        <v>2138</v>
      </c>
      <c r="D94" s="89">
        <f t="shared" si="39"/>
        <v>0.29778297474275028</v>
      </c>
      <c r="E94" s="89">
        <f t="shared" si="40"/>
        <v>0.40502338634237606</v>
      </c>
      <c r="F94" s="89">
        <f t="shared" si="41"/>
        <v>0.62728718428437791</v>
      </c>
      <c r="G94" s="89">
        <f t="shared" si="42"/>
        <v>0.90427970065481755</v>
      </c>
      <c r="H94" s="89">
        <f t="shared" si="43"/>
        <v>1.0362488306828812</v>
      </c>
      <c r="I94" s="89">
        <f t="shared" si="44"/>
        <v>1.1404349859681946</v>
      </c>
      <c r="J94" s="89">
        <f t="shared" si="45"/>
        <v>1.2932413470533211</v>
      </c>
      <c r="K94" s="89">
        <f t="shared" si="46"/>
        <v>1.9600327408793266</v>
      </c>
      <c r="L94" s="89">
        <f t="shared" si="47"/>
        <v>2.0850561272217023</v>
      </c>
      <c r="M94" s="89">
        <f t="shared" si="48"/>
        <v>2.7796304957904581</v>
      </c>
      <c r="N94" s="89">
        <f t="shared" si="49"/>
        <v>8.6904583723105731</v>
      </c>
      <c r="O94" s="89">
        <f t="shared" si="50"/>
        <v>9.579513564078578</v>
      </c>
      <c r="P94" s="83">
        <f t="shared" si="51"/>
        <v>2.1065246756510536</v>
      </c>
      <c r="Q94" s="83">
        <f t="shared" si="52"/>
        <v>4.3428988785222877</v>
      </c>
      <c r="R94" s="83">
        <f t="shared" si="53"/>
        <v>6.5820846291584196</v>
      </c>
      <c r="S94" s="83">
        <f t="shared" si="54"/>
        <v>7.001931957402693</v>
      </c>
      <c r="T94" s="83">
        <f t="shared" si="55"/>
        <v>9.3344171143153307</v>
      </c>
      <c r="U94" s="83">
        <f t="shared" si="71"/>
        <v>29.183865799641886</v>
      </c>
      <c r="V94" s="161">
        <f t="shared" si="72"/>
        <v>32.16944680049005</v>
      </c>
      <c r="W94" s="1"/>
      <c r="Y94" s="127">
        <v>46027</v>
      </c>
      <c r="Z94" s="200">
        <v>1485</v>
      </c>
      <c r="AA94" s="90">
        <v>0.31</v>
      </c>
      <c r="AB94" s="90">
        <v>0.46</v>
      </c>
      <c r="AC94" s="90">
        <v>0.78</v>
      </c>
      <c r="AD94" s="90">
        <v>1.17</v>
      </c>
      <c r="AE94" s="90">
        <v>1.36</v>
      </c>
      <c r="AF94" s="90">
        <v>1.51</v>
      </c>
      <c r="AG94" s="90">
        <v>1.73</v>
      </c>
      <c r="AH94" s="90">
        <v>2.69</v>
      </c>
      <c r="AI94" s="90">
        <v>2.87</v>
      </c>
      <c r="AJ94" s="90">
        <v>3.87</v>
      </c>
      <c r="AK94" s="90">
        <v>12.38</v>
      </c>
      <c r="AL94" s="90">
        <v>13.66</v>
      </c>
      <c r="AM94" s="83">
        <f t="shared" si="56"/>
        <v>2.5161290322580645</v>
      </c>
      <c r="AN94" s="83">
        <f t="shared" si="57"/>
        <v>5.580645161290323</v>
      </c>
      <c r="AO94" s="83">
        <f t="shared" si="58"/>
        <v>8.67741935483871</v>
      </c>
      <c r="AP94" s="83">
        <f t="shared" si="59"/>
        <v>9.258064516129032</v>
      </c>
      <c r="AQ94" s="83">
        <f t="shared" si="60"/>
        <v>12.483870967741936</v>
      </c>
      <c r="AR94" s="83">
        <f t="shared" si="61"/>
        <v>39.935483870967744</v>
      </c>
      <c r="AS94" s="161">
        <f t="shared" si="62"/>
        <v>44.064516129032256</v>
      </c>
      <c r="AT94" s="1"/>
      <c r="AU94" s="1"/>
      <c r="AV94" s="127">
        <v>46027</v>
      </c>
      <c r="AW94" s="154">
        <v>653</v>
      </c>
      <c r="AX94" s="90">
        <v>0.27</v>
      </c>
      <c r="AY94" s="90">
        <v>0.28000000000000003</v>
      </c>
      <c r="AZ94" s="90">
        <v>0.28000000000000003</v>
      </c>
      <c r="BA94" s="90">
        <v>0.3</v>
      </c>
      <c r="BB94" s="90">
        <v>0.3</v>
      </c>
      <c r="BC94" s="90">
        <v>0.3</v>
      </c>
      <c r="BD94" s="90">
        <v>0.3</v>
      </c>
      <c r="BE94" s="90">
        <v>0.3</v>
      </c>
      <c r="BF94" s="90">
        <v>0.3</v>
      </c>
      <c r="BG94" s="90">
        <v>0.3</v>
      </c>
      <c r="BH94" s="90">
        <v>0.3</v>
      </c>
      <c r="BI94" s="90">
        <v>0.3</v>
      </c>
      <c r="BJ94" s="83">
        <f t="shared" si="63"/>
        <v>1.037037037037037</v>
      </c>
      <c r="BK94" s="83">
        <f t="shared" si="64"/>
        <v>1.1111111111111109</v>
      </c>
      <c r="BL94" s="83">
        <f t="shared" si="65"/>
        <v>1.1111111111111109</v>
      </c>
      <c r="BM94" s="83">
        <f t="shared" si="66"/>
        <v>1.1111111111111109</v>
      </c>
      <c r="BN94" s="83">
        <f t="shared" si="67"/>
        <v>1.1111111111111109</v>
      </c>
      <c r="BO94" s="83">
        <f t="shared" si="68"/>
        <v>1.1111111111111109</v>
      </c>
      <c r="BP94" s="161">
        <f t="shared" si="69"/>
        <v>1.1111111111111109</v>
      </c>
    </row>
    <row r="95" spans="1:68" ht="14.25" hidden="1" customHeight="1">
      <c r="A95" s="514" t="s">
        <v>23</v>
      </c>
      <c r="B95" s="44">
        <v>46028</v>
      </c>
      <c r="C95" s="165">
        <f t="shared" si="70"/>
        <v>2772</v>
      </c>
      <c r="D95" s="89">
        <f t="shared" si="39"/>
        <v>0.39874458874458879</v>
      </c>
      <c r="E95" s="89">
        <f t="shared" si="40"/>
        <v>0.9946753246753246</v>
      </c>
      <c r="F95" s="89">
        <f t="shared" si="41"/>
        <v>1.1979978354978356</v>
      </c>
      <c r="G95" s="89">
        <f t="shared" si="42"/>
        <v>1.396742424242424</v>
      </c>
      <c r="H95" s="89">
        <f t="shared" si="43"/>
        <v>1.9338311688311689</v>
      </c>
      <c r="I95" s="89">
        <f t="shared" si="44"/>
        <v>2.2835281385281387</v>
      </c>
      <c r="J95" s="89">
        <f t="shared" si="45"/>
        <v>2.4794264069264069</v>
      </c>
      <c r="K95" s="89">
        <f t="shared" si="46"/>
        <v>3.1716666666666669</v>
      </c>
      <c r="L95" s="89">
        <f t="shared" si="47"/>
        <v>3.49017316017316</v>
      </c>
      <c r="M95" s="89">
        <f t="shared" si="48"/>
        <v>3.765595238095238</v>
      </c>
      <c r="N95" s="89">
        <f t="shared" si="49"/>
        <v>4.409491341991342</v>
      </c>
      <c r="O95" s="89">
        <f t="shared" si="50"/>
        <v>4.462575757575757</v>
      </c>
      <c r="P95" s="83">
        <f t="shared" si="51"/>
        <v>3.0044240581912929</v>
      </c>
      <c r="Q95" s="83">
        <f t="shared" si="52"/>
        <v>6.2180816415155782</v>
      </c>
      <c r="R95" s="83">
        <f t="shared" si="53"/>
        <v>7.9541309304092929</v>
      </c>
      <c r="S95" s="83">
        <f t="shared" si="54"/>
        <v>8.7529041363586995</v>
      </c>
      <c r="T95" s="83">
        <f t="shared" si="55"/>
        <v>9.4436271848876334</v>
      </c>
      <c r="U95" s="83">
        <f t="shared" si="71"/>
        <v>11.058435566170882</v>
      </c>
      <c r="V95" s="161">
        <f t="shared" si="72"/>
        <v>11.191564433829114</v>
      </c>
      <c r="W95" s="1"/>
      <c r="X95" s="514" t="s">
        <v>23</v>
      </c>
      <c r="Y95" s="275">
        <v>46028</v>
      </c>
      <c r="Z95" s="124">
        <v>1635</v>
      </c>
      <c r="AA95" s="90">
        <v>0.53</v>
      </c>
      <c r="AB95" s="90">
        <v>1.29</v>
      </c>
      <c r="AC95" s="90">
        <v>1.44</v>
      </c>
      <c r="AD95" s="90">
        <v>1.77</v>
      </c>
      <c r="AE95" s="90">
        <v>1.86</v>
      </c>
      <c r="AF95" s="90">
        <v>1.98</v>
      </c>
      <c r="AG95" s="90">
        <v>2.1800000000000002</v>
      </c>
      <c r="AH95" s="90">
        <v>2.54</v>
      </c>
      <c r="AI95" s="90">
        <v>3.08</v>
      </c>
      <c r="AJ95" s="90">
        <v>3.54</v>
      </c>
      <c r="AK95" s="90">
        <v>4.43</v>
      </c>
      <c r="AL95" s="90">
        <v>4.5199999999999996</v>
      </c>
      <c r="AM95" s="83">
        <f t="shared" si="56"/>
        <v>2.7169811320754715</v>
      </c>
      <c r="AN95" s="83">
        <f t="shared" si="57"/>
        <v>4.1132075471698117</v>
      </c>
      <c r="AO95" s="83">
        <f t="shared" si="58"/>
        <v>4.7924528301886795</v>
      </c>
      <c r="AP95" s="83">
        <f t="shared" si="59"/>
        <v>5.8113207547169807</v>
      </c>
      <c r="AQ95" s="83">
        <f t="shared" si="60"/>
        <v>6.6792452830188678</v>
      </c>
      <c r="AR95" s="83">
        <f t="shared" si="61"/>
        <v>8.3584905660377355</v>
      </c>
      <c r="AS95" s="161">
        <f t="shared" si="62"/>
        <v>8.5283018867924518</v>
      </c>
      <c r="AT95" s="1"/>
      <c r="AU95" s="514" t="s">
        <v>23</v>
      </c>
      <c r="AV95" s="275">
        <v>46028</v>
      </c>
      <c r="AW95" s="204">
        <v>1137</v>
      </c>
      <c r="AX95" s="90">
        <v>0.21</v>
      </c>
      <c r="AY95" s="90">
        <v>0.56999999999999995</v>
      </c>
      <c r="AZ95" s="90">
        <v>0.85</v>
      </c>
      <c r="BA95" s="90">
        <v>0.86</v>
      </c>
      <c r="BB95" s="90">
        <v>2.04</v>
      </c>
      <c r="BC95" s="90">
        <v>2.72</v>
      </c>
      <c r="BD95" s="90">
        <v>2.91</v>
      </c>
      <c r="BE95" s="90">
        <v>4.08</v>
      </c>
      <c r="BF95" s="90">
        <v>4.08</v>
      </c>
      <c r="BG95" s="90">
        <v>4.09</v>
      </c>
      <c r="BH95" s="90">
        <v>4.38</v>
      </c>
      <c r="BI95" s="90">
        <v>4.38</v>
      </c>
      <c r="BJ95" s="83">
        <f t="shared" si="63"/>
        <v>4.0476190476190474</v>
      </c>
      <c r="BK95" s="83">
        <f t="shared" si="64"/>
        <v>13.857142857142858</v>
      </c>
      <c r="BL95" s="83">
        <f t="shared" si="65"/>
        <v>19.428571428571431</v>
      </c>
      <c r="BM95" s="83">
        <f t="shared" si="66"/>
        <v>19.428571428571431</v>
      </c>
      <c r="BN95" s="83">
        <f t="shared" si="67"/>
        <v>19.476190476190474</v>
      </c>
      <c r="BO95" s="83">
        <f t="shared" si="68"/>
        <v>20.857142857142858</v>
      </c>
      <c r="BP95" s="161">
        <f t="shared" si="69"/>
        <v>20.857142857142858</v>
      </c>
    </row>
    <row r="96" spans="1:68" ht="14.25" hidden="1" customHeight="1">
      <c r="A96" s="514"/>
      <c r="B96" s="44">
        <v>46029</v>
      </c>
      <c r="C96" s="165">
        <f t="shared" si="70"/>
        <v>2837</v>
      </c>
      <c r="D96" s="89">
        <f t="shared" si="39"/>
        <v>0.18149101163200562</v>
      </c>
      <c r="E96" s="89">
        <f t="shared" si="40"/>
        <v>0.28618258724004231</v>
      </c>
      <c r="F96" s="89">
        <f t="shared" si="41"/>
        <v>0.42832922100810711</v>
      </c>
      <c r="G96" s="89">
        <f t="shared" si="42"/>
        <v>0.46854776172012691</v>
      </c>
      <c r="H96" s="89">
        <f t="shared" si="43"/>
        <v>0.56047585477617201</v>
      </c>
      <c r="I96" s="89">
        <f t="shared" si="44"/>
        <v>0.56047585477617201</v>
      </c>
      <c r="J96" s="89">
        <f t="shared" si="45"/>
        <v>0.62942192456820578</v>
      </c>
      <c r="K96" s="89">
        <f t="shared" si="46"/>
        <v>0.88796968628833262</v>
      </c>
      <c r="L96" s="89">
        <f t="shared" si="47"/>
        <v>1.0990623898484315</v>
      </c>
      <c r="M96" s="89">
        <f t="shared" si="48"/>
        <v>1.1967359887204794</v>
      </c>
      <c r="N96" s="89">
        <f t="shared" si="49"/>
        <v>1.4552837504406064</v>
      </c>
      <c r="O96" s="89">
        <f t="shared" si="50"/>
        <v>1.7770320761367644</v>
      </c>
      <c r="P96" s="83">
        <f t="shared" si="51"/>
        <v>2.360057488007147</v>
      </c>
      <c r="Q96" s="83">
        <f t="shared" si="52"/>
        <v>3.4680611392724661</v>
      </c>
      <c r="R96" s="83">
        <f t="shared" si="53"/>
        <v>4.8926372623278755</v>
      </c>
      <c r="S96" s="83">
        <f t="shared" si="54"/>
        <v>6.0557400609839007</v>
      </c>
      <c r="T96" s="83">
        <f t="shared" si="55"/>
        <v>6.5939132630270549</v>
      </c>
      <c r="U96" s="83">
        <f t="shared" si="71"/>
        <v>8.0184893860824662</v>
      </c>
      <c r="V96" s="161">
        <f t="shared" si="72"/>
        <v>9.7912952281069767</v>
      </c>
      <c r="W96" s="1"/>
      <c r="X96" s="514"/>
      <c r="Y96" s="275">
        <v>46029</v>
      </c>
      <c r="Z96" s="124">
        <v>1630</v>
      </c>
      <c r="AA96" s="90">
        <v>0.19</v>
      </c>
      <c r="AB96" s="90">
        <v>0.35</v>
      </c>
      <c r="AC96" s="90">
        <v>0.59</v>
      </c>
      <c r="AD96" s="90">
        <v>0.66</v>
      </c>
      <c r="AE96" s="90">
        <v>0.82</v>
      </c>
      <c r="AF96" s="90">
        <v>0.82</v>
      </c>
      <c r="AG96" s="90">
        <v>0.94</v>
      </c>
      <c r="AH96" s="90">
        <v>1.39</v>
      </c>
      <c r="AI96" s="90">
        <v>1.75</v>
      </c>
      <c r="AJ96" s="90">
        <v>1.92</v>
      </c>
      <c r="AK96" s="90">
        <v>2.37</v>
      </c>
      <c r="AL96" s="90">
        <v>2.93</v>
      </c>
      <c r="AM96" s="83">
        <f t="shared" si="56"/>
        <v>3.1052631578947367</v>
      </c>
      <c r="AN96" s="83">
        <f t="shared" si="57"/>
        <v>4.947368421052631</v>
      </c>
      <c r="AO96" s="83">
        <f t="shared" si="58"/>
        <v>7.3157894736842097</v>
      </c>
      <c r="AP96" s="83">
        <f t="shared" si="59"/>
        <v>9.2105263157894743</v>
      </c>
      <c r="AQ96" s="83">
        <f t="shared" si="60"/>
        <v>10.105263157894736</v>
      </c>
      <c r="AR96" s="83">
        <f t="shared" si="61"/>
        <v>12.473684210526317</v>
      </c>
      <c r="AS96" s="161">
        <f t="shared" si="62"/>
        <v>15.421052631578949</v>
      </c>
      <c r="AT96" s="1"/>
      <c r="AU96" s="514"/>
      <c r="AV96" s="275">
        <v>46029</v>
      </c>
      <c r="AW96" s="204">
        <v>1207</v>
      </c>
      <c r="AX96" s="90">
        <v>0.17</v>
      </c>
      <c r="AY96" s="90">
        <v>0.2</v>
      </c>
      <c r="AZ96" s="90">
        <v>0.21</v>
      </c>
      <c r="BA96" s="90">
        <v>0.21</v>
      </c>
      <c r="BB96" s="90">
        <v>0.21</v>
      </c>
      <c r="BC96" s="90">
        <v>0.21</v>
      </c>
      <c r="BD96" s="90">
        <v>0.21</v>
      </c>
      <c r="BE96" s="90">
        <v>0.21</v>
      </c>
      <c r="BF96" s="90">
        <v>0.22</v>
      </c>
      <c r="BG96" s="90">
        <v>0.22</v>
      </c>
      <c r="BH96" s="90">
        <v>0.22</v>
      </c>
      <c r="BI96" s="90">
        <v>0.22</v>
      </c>
      <c r="BJ96" s="83">
        <f t="shared" si="63"/>
        <v>1.2352941176470587</v>
      </c>
      <c r="BK96" s="83">
        <f t="shared" si="64"/>
        <v>1.2352941176470587</v>
      </c>
      <c r="BL96" s="83">
        <f t="shared" si="65"/>
        <v>1.2352941176470587</v>
      </c>
      <c r="BM96" s="83">
        <f t="shared" si="66"/>
        <v>1.2941176470588234</v>
      </c>
      <c r="BN96" s="83">
        <f t="shared" si="67"/>
        <v>1.2941176470588234</v>
      </c>
      <c r="BO96" s="83">
        <f t="shared" si="68"/>
        <v>1.2941176470588234</v>
      </c>
      <c r="BP96" s="161">
        <f t="shared" si="69"/>
        <v>1.2941176470588234</v>
      </c>
    </row>
    <row r="97" spans="1:68" ht="14.25" hidden="1" customHeight="1">
      <c r="A97" s="514"/>
      <c r="B97" s="44">
        <v>46030</v>
      </c>
      <c r="C97" s="165">
        <f t="shared" si="70"/>
        <v>3105</v>
      </c>
      <c r="D97" s="89">
        <f t="shared" si="39"/>
        <v>9.2666666666666675E-2</v>
      </c>
      <c r="E97" s="89">
        <f t="shared" si="40"/>
        <v>9.7333333333333341E-2</v>
      </c>
      <c r="F97" s="89">
        <f t="shared" si="41"/>
        <v>0.10266666666666667</v>
      </c>
      <c r="G97" s="89">
        <f t="shared" si="42"/>
        <v>0.10266666666666667</v>
      </c>
      <c r="H97" s="89">
        <f t="shared" si="43"/>
        <v>0.10266666666666667</v>
      </c>
      <c r="I97" s="89">
        <f t="shared" si="44"/>
        <v>0.124</v>
      </c>
      <c r="J97" s="89">
        <f t="shared" si="45"/>
        <v>0.12866666666666665</v>
      </c>
      <c r="K97" s="89">
        <f t="shared" si="46"/>
        <v>0.20800000000000002</v>
      </c>
      <c r="L97" s="89">
        <f t="shared" si="47"/>
        <v>0.27200000000000002</v>
      </c>
      <c r="M97" s="89">
        <f t="shared" si="48"/>
        <v>0.36800000000000005</v>
      </c>
      <c r="N97" s="89">
        <f t="shared" si="49"/>
        <v>0.59133333333333327</v>
      </c>
      <c r="O97" s="89">
        <f t="shared" si="50"/>
        <v>1.2366666666666666</v>
      </c>
      <c r="P97" s="83">
        <f t="shared" si="51"/>
        <v>1.1079136690647482</v>
      </c>
      <c r="Q97" s="83">
        <f t="shared" si="52"/>
        <v>1.3884892086330933</v>
      </c>
      <c r="R97" s="83">
        <f t="shared" si="53"/>
        <v>2.2446043165467624</v>
      </c>
      <c r="S97" s="83">
        <f t="shared" si="54"/>
        <v>2.935251798561151</v>
      </c>
      <c r="T97" s="83">
        <f t="shared" si="55"/>
        <v>3.971223021582734</v>
      </c>
      <c r="U97" s="83">
        <f t="shared" si="71"/>
        <v>6.3812949640287755</v>
      </c>
      <c r="V97" s="161">
        <f t="shared" si="72"/>
        <v>13.345323741007192</v>
      </c>
      <c r="W97" s="1"/>
      <c r="X97" s="514"/>
      <c r="Y97" s="275">
        <v>46030</v>
      </c>
      <c r="Z97" s="124">
        <v>1656</v>
      </c>
      <c r="AA97" s="90">
        <v>0.06</v>
      </c>
      <c r="AB97" s="90">
        <v>0.06</v>
      </c>
      <c r="AC97" s="90">
        <v>7.0000000000000007E-2</v>
      </c>
      <c r="AD97" s="90">
        <v>7.0000000000000007E-2</v>
      </c>
      <c r="AE97" s="90">
        <v>7.0000000000000007E-2</v>
      </c>
      <c r="AF97" s="90">
        <v>0.11</v>
      </c>
      <c r="AG97" s="90">
        <v>0.11</v>
      </c>
      <c r="AH97" s="90">
        <v>0.25</v>
      </c>
      <c r="AI97" s="90">
        <v>0.37</v>
      </c>
      <c r="AJ97" s="90">
        <v>0.55000000000000004</v>
      </c>
      <c r="AK97" s="90">
        <v>0.96</v>
      </c>
      <c r="AL97" s="90">
        <v>2.17</v>
      </c>
      <c r="AM97" s="83">
        <f t="shared" si="56"/>
        <v>1.1666666666666667</v>
      </c>
      <c r="AN97" s="83">
        <f t="shared" si="57"/>
        <v>1.8333333333333335</v>
      </c>
      <c r="AO97" s="83">
        <f t="shared" si="58"/>
        <v>4.166666666666667</v>
      </c>
      <c r="AP97" s="83">
        <f t="shared" si="59"/>
        <v>6.166666666666667</v>
      </c>
      <c r="AQ97" s="83">
        <f t="shared" si="60"/>
        <v>9.1666666666666679</v>
      </c>
      <c r="AR97" s="83">
        <f t="shared" si="61"/>
        <v>16</v>
      </c>
      <c r="AS97" s="161">
        <f t="shared" si="62"/>
        <v>36.166666666666664</v>
      </c>
      <c r="AT97" s="1"/>
      <c r="AU97" s="514"/>
      <c r="AV97" s="275">
        <v>46030</v>
      </c>
      <c r="AW97" s="204">
        <v>1449</v>
      </c>
      <c r="AX97" s="90">
        <v>0.13</v>
      </c>
      <c r="AY97" s="90">
        <v>0.14000000000000001</v>
      </c>
      <c r="AZ97" s="90">
        <v>0.14000000000000001</v>
      </c>
      <c r="BA97" s="90">
        <v>0.14000000000000001</v>
      </c>
      <c r="BB97" s="90">
        <v>0.14000000000000001</v>
      </c>
      <c r="BC97" s="90">
        <v>0.14000000000000001</v>
      </c>
      <c r="BD97" s="90">
        <v>0.15</v>
      </c>
      <c r="BE97" s="90">
        <v>0.16</v>
      </c>
      <c r="BF97" s="90">
        <v>0.16</v>
      </c>
      <c r="BG97" s="90">
        <v>0.16</v>
      </c>
      <c r="BH97" s="90">
        <v>0.17</v>
      </c>
      <c r="BI97" s="90">
        <v>0.17</v>
      </c>
      <c r="BJ97" s="83">
        <f t="shared" si="63"/>
        <v>1.0769230769230771</v>
      </c>
      <c r="BK97" s="83">
        <f t="shared" si="64"/>
        <v>1.1538461538461537</v>
      </c>
      <c r="BL97" s="83">
        <f t="shared" si="65"/>
        <v>1.2307692307692308</v>
      </c>
      <c r="BM97" s="83">
        <f t="shared" si="66"/>
        <v>1.2307692307692308</v>
      </c>
      <c r="BN97" s="83">
        <f t="shared" si="67"/>
        <v>1.2307692307692308</v>
      </c>
      <c r="BO97" s="83">
        <f t="shared" si="68"/>
        <v>1.3076923076923077</v>
      </c>
      <c r="BP97" s="161">
        <f t="shared" si="69"/>
        <v>1.3076923076923077</v>
      </c>
    </row>
    <row r="98" spans="1:68" ht="14.25" hidden="1" customHeight="1">
      <c r="A98" s="514"/>
      <c r="B98" s="44">
        <v>46031</v>
      </c>
      <c r="C98" s="165">
        <f t="shared" si="70"/>
        <v>3348</v>
      </c>
      <c r="D98" s="89">
        <f t="shared" si="39"/>
        <v>0.12435782556750299</v>
      </c>
      <c r="E98" s="89">
        <f t="shared" si="40"/>
        <v>0.13897252090800477</v>
      </c>
      <c r="F98" s="89">
        <f t="shared" si="41"/>
        <v>0.18487156511350061</v>
      </c>
      <c r="G98" s="89">
        <f t="shared" si="42"/>
        <v>0.26154121863799284</v>
      </c>
      <c r="H98" s="89">
        <f t="shared" si="43"/>
        <v>0.28718339307048985</v>
      </c>
      <c r="I98" s="89">
        <f t="shared" si="44"/>
        <v>0.29231182795698929</v>
      </c>
      <c r="J98" s="89">
        <f t="shared" si="45"/>
        <v>0.29231182795698929</v>
      </c>
      <c r="K98" s="89">
        <f t="shared" si="46"/>
        <v>0.30205495818399042</v>
      </c>
      <c r="L98" s="89">
        <f t="shared" si="47"/>
        <v>0.34102747909199521</v>
      </c>
      <c r="M98" s="89">
        <f t="shared" si="48"/>
        <v>0.36051373954599764</v>
      </c>
      <c r="N98" s="89">
        <f t="shared" si="49"/>
        <v>0.42871565113500604</v>
      </c>
      <c r="O98" s="89">
        <f t="shared" si="50"/>
        <v>0.47281660692951022</v>
      </c>
      <c r="P98" s="83">
        <f t="shared" si="51"/>
        <v>1.486609823465834</v>
      </c>
      <c r="Q98" s="83">
        <f t="shared" si="52"/>
        <v>2.3505704335294828</v>
      </c>
      <c r="R98" s="83">
        <f t="shared" si="53"/>
        <v>2.4289179776630236</v>
      </c>
      <c r="S98" s="83">
        <f t="shared" si="54"/>
        <v>2.7423081541971897</v>
      </c>
      <c r="T98" s="83">
        <f t="shared" si="55"/>
        <v>2.8990032424642731</v>
      </c>
      <c r="U98" s="83">
        <f t="shared" si="71"/>
        <v>3.4474360513990634</v>
      </c>
      <c r="V98" s="161">
        <f t="shared" si="72"/>
        <v>3.8020655698330734</v>
      </c>
      <c r="W98" s="1"/>
      <c r="X98" s="514"/>
      <c r="Y98" s="275">
        <v>46031</v>
      </c>
      <c r="Z98" s="124">
        <v>1631</v>
      </c>
      <c r="AA98" s="90">
        <v>0.15</v>
      </c>
      <c r="AB98" s="90">
        <v>0.18</v>
      </c>
      <c r="AC98" s="90">
        <v>0.19</v>
      </c>
      <c r="AD98" s="90">
        <v>0.2</v>
      </c>
      <c r="AE98" s="90">
        <v>0.2</v>
      </c>
      <c r="AF98" s="90">
        <v>0.2</v>
      </c>
      <c r="AG98" s="90">
        <v>0.2</v>
      </c>
      <c r="AH98" s="90">
        <v>0.22</v>
      </c>
      <c r="AI98" s="90">
        <v>0.3</v>
      </c>
      <c r="AJ98" s="90">
        <v>0.34</v>
      </c>
      <c r="AK98" s="90">
        <v>0.48</v>
      </c>
      <c r="AL98" s="90">
        <v>0.56000000000000005</v>
      </c>
      <c r="AM98" s="83">
        <f t="shared" si="56"/>
        <v>1.2666666666666668</v>
      </c>
      <c r="AN98" s="83">
        <f t="shared" si="57"/>
        <v>1.3333333333333335</v>
      </c>
      <c r="AO98" s="83">
        <f t="shared" si="58"/>
        <v>1.4666666666666668</v>
      </c>
      <c r="AP98" s="83">
        <f t="shared" si="59"/>
        <v>2</v>
      </c>
      <c r="AQ98" s="83">
        <f t="shared" si="60"/>
        <v>2.2666666666666671</v>
      </c>
      <c r="AR98" s="83">
        <f t="shared" si="61"/>
        <v>3.2</v>
      </c>
      <c r="AS98" s="161">
        <f t="shared" si="62"/>
        <v>3.7333333333333338</v>
      </c>
      <c r="AT98" s="1"/>
      <c r="AU98" s="514"/>
      <c r="AV98" s="275">
        <v>46031</v>
      </c>
      <c r="AW98" s="204">
        <v>1717</v>
      </c>
      <c r="AX98" s="90">
        <v>0.1</v>
      </c>
      <c r="AY98" s="90">
        <v>0.1</v>
      </c>
      <c r="AZ98" s="90">
        <v>0.18</v>
      </c>
      <c r="BA98" s="90">
        <v>0.32</v>
      </c>
      <c r="BB98" s="90">
        <v>0.37</v>
      </c>
      <c r="BC98" s="90">
        <v>0.38</v>
      </c>
      <c r="BD98" s="90">
        <v>0.38</v>
      </c>
      <c r="BE98" s="90">
        <v>0.38</v>
      </c>
      <c r="BF98" s="90">
        <v>0.38</v>
      </c>
      <c r="BG98" s="90">
        <v>0.38</v>
      </c>
      <c r="BH98" s="90">
        <v>0.38</v>
      </c>
      <c r="BI98" s="90">
        <v>0.39</v>
      </c>
      <c r="BJ98" s="83">
        <f t="shared" si="63"/>
        <v>1.7999999999999998</v>
      </c>
      <c r="BK98" s="83">
        <f t="shared" si="64"/>
        <v>3.8</v>
      </c>
      <c r="BL98" s="83">
        <f t="shared" si="65"/>
        <v>3.8</v>
      </c>
      <c r="BM98" s="83">
        <f t="shared" si="66"/>
        <v>3.8</v>
      </c>
      <c r="BN98" s="83">
        <f t="shared" si="67"/>
        <v>3.8</v>
      </c>
      <c r="BO98" s="83">
        <f t="shared" si="68"/>
        <v>3.8</v>
      </c>
      <c r="BP98" s="161">
        <f t="shared" si="69"/>
        <v>3.9</v>
      </c>
    </row>
    <row r="99" spans="1:68" ht="14.25" hidden="1" customHeight="1">
      <c r="A99" s="514"/>
      <c r="B99" s="44">
        <v>46032</v>
      </c>
      <c r="C99" s="165">
        <f t="shared" si="70"/>
        <v>4285</v>
      </c>
      <c r="D99" s="89">
        <f t="shared" si="39"/>
        <v>0.16633838973162196</v>
      </c>
      <c r="E99" s="89">
        <f t="shared" si="40"/>
        <v>0.18633838973162195</v>
      </c>
      <c r="F99" s="89">
        <f t="shared" si="41"/>
        <v>0.21828704784130692</v>
      </c>
      <c r="G99" s="89">
        <f t="shared" si="42"/>
        <v>0.23145624270711784</v>
      </c>
      <c r="H99" s="89">
        <f t="shared" si="43"/>
        <v>0.23584597432905482</v>
      </c>
      <c r="I99" s="89">
        <f t="shared" si="44"/>
        <v>0.23584597432905482</v>
      </c>
      <c r="J99" s="89">
        <f t="shared" si="45"/>
        <v>0.27974329054842473</v>
      </c>
      <c r="K99" s="89">
        <f t="shared" si="46"/>
        <v>0.30974329054842475</v>
      </c>
      <c r="L99" s="89">
        <f t="shared" si="47"/>
        <v>0.31413302217036171</v>
      </c>
      <c r="M99" s="89">
        <f t="shared" si="48"/>
        <v>0.34925087514585768</v>
      </c>
      <c r="N99" s="89">
        <f t="shared" si="49"/>
        <v>0.39753792298716456</v>
      </c>
      <c r="O99" s="89">
        <f t="shared" si="50"/>
        <v>0.40192765460910151</v>
      </c>
      <c r="P99" s="83">
        <f t="shared" si="51"/>
        <v>1.3123070879398395</v>
      </c>
      <c r="Q99" s="83">
        <f t="shared" si="52"/>
        <v>1.6817722655592342</v>
      </c>
      <c r="R99" s="83">
        <f t="shared" si="53"/>
        <v>1.86212750434929</v>
      </c>
      <c r="S99" s="83">
        <f t="shared" si="54"/>
        <v>1.8885178741792465</v>
      </c>
      <c r="T99" s="83">
        <f t="shared" si="55"/>
        <v>2.0996408328189009</v>
      </c>
      <c r="U99" s="83">
        <f t="shared" si="71"/>
        <v>2.3899349009484259</v>
      </c>
      <c r="V99" s="161">
        <f t="shared" si="72"/>
        <v>2.4163252707783824</v>
      </c>
      <c r="W99" s="1"/>
      <c r="X99" s="514"/>
      <c r="Y99" s="275">
        <v>46032</v>
      </c>
      <c r="Z99" s="124">
        <v>1881</v>
      </c>
      <c r="AA99" s="90">
        <v>0.2</v>
      </c>
      <c r="AB99" s="90">
        <v>0.22</v>
      </c>
      <c r="AC99" s="90">
        <v>0.28000000000000003</v>
      </c>
      <c r="AD99" s="90">
        <v>0.31</v>
      </c>
      <c r="AE99" s="90">
        <v>0.32</v>
      </c>
      <c r="AF99" s="90">
        <v>0.32</v>
      </c>
      <c r="AG99" s="90">
        <v>0.42</v>
      </c>
      <c r="AH99" s="90">
        <v>0.45</v>
      </c>
      <c r="AI99" s="90">
        <v>0.46</v>
      </c>
      <c r="AJ99" s="90">
        <v>0.54</v>
      </c>
      <c r="AK99" s="90">
        <v>0.65</v>
      </c>
      <c r="AL99" s="90">
        <v>0.66</v>
      </c>
      <c r="AM99" s="83">
        <f t="shared" si="56"/>
        <v>1.4000000000000001</v>
      </c>
      <c r="AN99" s="83">
        <f t="shared" si="57"/>
        <v>2.0999999999999996</v>
      </c>
      <c r="AO99" s="83">
        <f t="shared" si="58"/>
        <v>2.25</v>
      </c>
      <c r="AP99" s="83">
        <f t="shared" si="59"/>
        <v>2.2999999999999998</v>
      </c>
      <c r="AQ99" s="83">
        <f t="shared" si="60"/>
        <v>2.7</v>
      </c>
      <c r="AR99" s="83">
        <f t="shared" si="61"/>
        <v>3.25</v>
      </c>
      <c r="AS99" s="161">
        <f t="shared" si="62"/>
        <v>3.3</v>
      </c>
      <c r="AT99" s="1"/>
      <c r="AU99" s="514"/>
      <c r="AV99" s="275">
        <v>46032</v>
      </c>
      <c r="AW99" s="204">
        <v>2404</v>
      </c>
      <c r="AX99" s="90">
        <v>0.14000000000000001</v>
      </c>
      <c r="AY99" s="90">
        <v>0.16</v>
      </c>
      <c r="AZ99" s="90">
        <v>0.17</v>
      </c>
      <c r="BA99" s="90">
        <v>0.17</v>
      </c>
      <c r="BB99" s="90">
        <v>0.17</v>
      </c>
      <c r="BC99" s="90">
        <v>0.17</v>
      </c>
      <c r="BD99" s="90">
        <v>0.17</v>
      </c>
      <c r="BE99" s="90">
        <v>0.2</v>
      </c>
      <c r="BF99" s="90">
        <v>0.2</v>
      </c>
      <c r="BG99" s="90">
        <v>0.2</v>
      </c>
      <c r="BH99" s="90">
        <v>0.2</v>
      </c>
      <c r="BI99" s="90">
        <v>0.2</v>
      </c>
      <c r="BJ99" s="83">
        <f t="shared" si="63"/>
        <v>1.2142857142857142</v>
      </c>
      <c r="BK99" s="83">
        <f t="shared" si="64"/>
        <v>1.2142857142857142</v>
      </c>
      <c r="BL99" s="83">
        <f t="shared" si="65"/>
        <v>1.4285714285714286</v>
      </c>
      <c r="BM99" s="83">
        <f t="shared" si="66"/>
        <v>1.4285714285714286</v>
      </c>
      <c r="BN99" s="83">
        <f t="shared" si="67"/>
        <v>1.4285714285714286</v>
      </c>
      <c r="BO99" s="83">
        <f t="shared" si="68"/>
        <v>1.4285714285714286</v>
      </c>
      <c r="BP99" s="161">
        <f t="shared" si="69"/>
        <v>1.4285714285714286</v>
      </c>
    </row>
    <row r="100" spans="1:68" ht="14.25" hidden="1" customHeight="1">
      <c r="A100" s="514"/>
      <c r="B100" s="44">
        <v>46033</v>
      </c>
      <c r="C100" s="165">
        <f t="shared" si="70"/>
        <v>3749</v>
      </c>
      <c r="D100" s="89">
        <f t="shared" ref="D100:D115" si="73">($Z100*AA100+$AW100*AX100)/$C100</f>
        <v>0.14783942384635904</v>
      </c>
      <c r="E100" s="89">
        <f t="shared" ref="E100:E115" si="74">($Z100*AB100+$AW100*AY100)/$C100</f>
        <v>0.5171218991731128</v>
      </c>
      <c r="F100" s="89">
        <f t="shared" ref="F100:F115" si="75">($Z100*AC100+$AW100*AZ100)/$C100</f>
        <v>0.69508935716190978</v>
      </c>
      <c r="G100" s="89">
        <f t="shared" ref="G100:G115" si="76">($Z100*AD100+$AW100*BA100)/$C100</f>
        <v>1.1177620698853026</v>
      </c>
      <c r="H100" s="89">
        <f t="shared" ref="H100:H115" si="77">($Z100*AE100+$AW100*BB100)/$C100</f>
        <v>1.162253934382502</v>
      </c>
      <c r="I100" s="89">
        <f t="shared" ref="I100:I115" si="78">($Z100*AF100+$AW100*BC100)/$C100</f>
        <v>1.2645852227260603</v>
      </c>
      <c r="J100" s="89">
        <f t="shared" ref="J100:J115" si="79">($Z100*AG100+$AW100*BD100)/$C100</f>
        <v>1.2868311549746598</v>
      </c>
      <c r="K100" s="89">
        <f t="shared" ref="K100:K115" si="80">($Z100*AH100+$AW100*BE100)/$C100</f>
        <v>2.9775220058682317</v>
      </c>
      <c r="L100" s="89">
        <f t="shared" ref="L100:L115" si="81">($Z100*AI100+$AW100*BF100)/$C100</f>
        <v>4.4235076020272075</v>
      </c>
      <c r="M100" s="89">
        <f t="shared" ref="M100:M115" si="82">($Z100*AJ100+$AW100*BG100)/$C100</f>
        <v>4.9173672979461189</v>
      </c>
      <c r="N100" s="89">
        <f t="shared" ref="N100:N115" si="83">($Z100*AK100+$AW100*BH100)/$C100</f>
        <v>6.9283995732195258</v>
      </c>
      <c r="O100" s="89" t="s">
        <v>22</v>
      </c>
      <c r="P100" s="83">
        <f t="shared" si="51"/>
        <v>4.7016508795669818</v>
      </c>
      <c r="Q100" s="83">
        <f t="shared" si="52"/>
        <v>8.7042489851150187</v>
      </c>
      <c r="R100" s="83">
        <f t="shared" si="53"/>
        <v>20.140243572395129</v>
      </c>
      <c r="S100" s="83">
        <f t="shared" si="54"/>
        <v>29.921028416779432</v>
      </c>
      <c r="T100" s="83">
        <f t="shared" si="55"/>
        <v>33.261542625169149</v>
      </c>
      <c r="U100" s="83">
        <f>N100/$D100</f>
        <v>46.864357239512856</v>
      </c>
      <c r="V100" s="161" t="s">
        <v>22</v>
      </c>
      <c r="W100" s="1"/>
      <c r="X100" s="514"/>
      <c r="Y100" s="275">
        <v>46033</v>
      </c>
      <c r="Z100" s="124">
        <v>1668</v>
      </c>
      <c r="AA100" s="90">
        <v>0.22</v>
      </c>
      <c r="AB100" s="90">
        <v>1.05</v>
      </c>
      <c r="AC100" s="90">
        <v>1.45</v>
      </c>
      <c r="AD100" s="90">
        <v>2.4</v>
      </c>
      <c r="AE100" s="90">
        <v>2.5</v>
      </c>
      <c r="AF100" s="90">
        <v>2.73</v>
      </c>
      <c r="AG100" s="90">
        <v>2.78</v>
      </c>
      <c r="AH100" s="90">
        <v>6.58</v>
      </c>
      <c r="AI100" s="90">
        <v>9.83</v>
      </c>
      <c r="AJ100" s="90">
        <v>10.94</v>
      </c>
      <c r="AK100" s="90">
        <v>15.46</v>
      </c>
      <c r="AL100" s="90" t="s">
        <v>22</v>
      </c>
      <c r="AM100" s="83">
        <f t="shared" si="56"/>
        <v>6.5909090909090908</v>
      </c>
      <c r="AN100" s="83">
        <f t="shared" si="57"/>
        <v>12.636363636363635</v>
      </c>
      <c r="AO100" s="83">
        <f t="shared" si="58"/>
        <v>29.90909090909091</v>
      </c>
      <c r="AP100" s="83">
        <f t="shared" si="59"/>
        <v>44.68181818181818</v>
      </c>
      <c r="AQ100" s="83">
        <f t="shared" si="60"/>
        <v>49.727272727272727</v>
      </c>
      <c r="AR100" s="83">
        <f t="shared" si="61"/>
        <v>70.27272727272728</v>
      </c>
      <c r="AS100" s="161" t="s">
        <v>22</v>
      </c>
      <c r="AT100" s="1"/>
      <c r="AU100" s="514"/>
      <c r="AV100" s="275">
        <v>46033</v>
      </c>
      <c r="AW100" s="204">
        <v>2081</v>
      </c>
      <c r="AX100" s="90">
        <v>0.09</v>
      </c>
      <c r="AY100" s="90">
        <v>0.09</v>
      </c>
      <c r="AZ100" s="90">
        <v>0.09</v>
      </c>
      <c r="BA100" s="90">
        <v>0.09</v>
      </c>
      <c r="BB100" s="90">
        <v>0.09</v>
      </c>
      <c r="BC100" s="90">
        <v>0.09</v>
      </c>
      <c r="BD100" s="90">
        <v>0.09</v>
      </c>
      <c r="BE100" s="90">
        <v>0.09</v>
      </c>
      <c r="BF100" s="90">
        <v>0.09</v>
      </c>
      <c r="BG100" s="90">
        <v>0.09</v>
      </c>
      <c r="BH100" s="90">
        <v>0.09</v>
      </c>
      <c r="BI100" s="90" t="s">
        <v>22</v>
      </c>
      <c r="BJ100" s="83">
        <f t="shared" si="63"/>
        <v>1</v>
      </c>
      <c r="BK100" s="83">
        <f t="shared" si="64"/>
        <v>1</v>
      </c>
      <c r="BL100" s="83">
        <f t="shared" si="65"/>
        <v>1</v>
      </c>
      <c r="BM100" s="83">
        <f t="shared" si="66"/>
        <v>1</v>
      </c>
      <c r="BN100" s="83">
        <f t="shared" si="67"/>
        <v>1</v>
      </c>
      <c r="BO100" s="83">
        <f t="shared" si="68"/>
        <v>1</v>
      </c>
      <c r="BP100" s="161" t="s">
        <v>22</v>
      </c>
    </row>
    <row r="101" spans="1:68" ht="14.25" hidden="1" customHeight="1">
      <c r="A101" s="514"/>
      <c r="B101" s="44">
        <v>46034</v>
      </c>
      <c r="C101" s="165">
        <f t="shared" si="70"/>
        <v>2560</v>
      </c>
      <c r="D101" s="89">
        <f t="shared" si="73"/>
        <v>0.13978125</v>
      </c>
      <c r="E101" s="89">
        <f t="shared" si="74"/>
        <v>0.26040625000000001</v>
      </c>
      <c r="F101" s="89">
        <f t="shared" si="75"/>
        <v>0.33678125000000003</v>
      </c>
      <c r="G101" s="89">
        <f t="shared" si="76"/>
        <v>0.35890625000000004</v>
      </c>
      <c r="H101" s="89">
        <f t="shared" si="77"/>
        <v>0.47506249999999994</v>
      </c>
      <c r="I101" s="89">
        <f t="shared" si="78"/>
        <v>0.73949999999999994</v>
      </c>
      <c r="J101" s="89">
        <f t="shared" si="79"/>
        <v>0.82246874999999997</v>
      </c>
      <c r="K101" s="89">
        <f t="shared" si="80"/>
        <v>1.4917500000000001</v>
      </c>
      <c r="L101" s="89">
        <f t="shared" si="81"/>
        <v>1.6023749999999999</v>
      </c>
      <c r="M101" s="89">
        <f t="shared" si="82"/>
        <v>2.0338124999999998</v>
      </c>
      <c r="N101" s="89">
        <f t="shared" si="83"/>
        <v>2.6135312500000003</v>
      </c>
      <c r="O101" s="89" t="s">
        <v>22</v>
      </c>
      <c r="P101" s="83">
        <f t="shared" si="51"/>
        <v>2.4093449586407334</v>
      </c>
      <c r="Q101" s="83">
        <f t="shared" si="52"/>
        <v>5.8839704896042928</v>
      </c>
      <c r="R101" s="83">
        <f t="shared" si="53"/>
        <v>10.672032193158955</v>
      </c>
      <c r="S101" s="83">
        <f t="shared" si="54"/>
        <v>11.463447350771293</v>
      </c>
      <c r="T101" s="83">
        <f t="shared" si="55"/>
        <v>14.549966465459422</v>
      </c>
      <c r="U101" s="83">
        <f>N101/$D101</f>
        <v>18.697294880393475</v>
      </c>
      <c r="V101" s="161" t="s">
        <v>22</v>
      </c>
      <c r="W101" s="1"/>
      <c r="X101" s="514"/>
      <c r="Y101" s="275">
        <v>46034</v>
      </c>
      <c r="Z101" s="124">
        <v>1416</v>
      </c>
      <c r="AA101" s="90">
        <v>0.18</v>
      </c>
      <c r="AB101" s="90">
        <v>0.39</v>
      </c>
      <c r="AC101" s="90">
        <v>0.52</v>
      </c>
      <c r="AD101" s="90">
        <v>0.56000000000000005</v>
      </c>
      <c r="AE101" s="90">
        <v>0.77</v>
      </c>
      <c r="AF101" s="90">
        <v>1.24</v>
      </c>
      <c r="AG101" s="90">
        <v>1.39</v>
      </c>
      <c r="AH101" s="90">
        <v>2.6</v>
      </c>
      <c r="AI101" s="90">
        <v>2.8</v>
      </c>
      <c r="AJ101" s="90">
        <v>3.58</v>
      </c>
      <c r="AK101" s="90">
        <v>4.62</v>
      </c>
      <c r="AL101" s="90" t="s">
        <v>22</v>
      </c>
      <c r="AM101" s="83">
        <f t="shared" si="56"/>
        <v>2.8888888888888893</v>
      </c>
      <c r="AN101" s="83">
        <f t="shared" si="57"/>
        <v>7.7222222222222223</v>
      </c>
      <c r="AO101" s="83">
        <f t="shared" si="58"/>
        <v>14.444444444444445</v>
      </c>
      <c r="AP101" s="83">
        <f t="shared" si="59"/>
        <v>15.555555555555555</v>
      </c>
      <c r="AQ101" s="83">
        <f t="shared" si="60"/>
        <v>19.888888888888889</v>
      </c>
      <c r="AR101" s="83">
        <f t="shared" si="61"/>
        <v>25.666666666666668</v>
      </c>
      <c r="AS101" s="161" t="s">
        <v>22</v>
      </c>
      <c r="AT101" s="1"/>
      <c r="AU101" s="514"/>
      <c r="AV101" s="275">
        <v>46034</v>
      </c>
      <c r="AW101" s="204">
        <v>1144</v>
      </c>
      <c r="AX101" s="90">
        <v>0.09</v>
      </c>
      <c r="AY101" s="90">
        <v>0.1</v>
      </c>
      <c r="AZ101" s="90">
        <v>0.11</v>
      </c>
      <c r="BA101" s="90">
        <v>0.11</v>
      </c>
      <c r="BB101" s="90">
        <v>0.11</v>
      </c>
      <c r="BC101" s="90">
        <v>0.12</v>
      </c>
      <c r="BD101" s="90">
        <v>0.12</v>
      </c>
      <c r="BE101" s="90">
        <v>0.12</v>
      </c>
      <c r="BF101" s="90">
        <v>0.12</v>
      </c>
      <c r="BG101" s="90">
        <v>0.12</v>
      </c>
      <c r="BH101" s="90">
        <v>0.13</v>
      </c>
      <c r="BI101" s="90" t="s">
        <v>22</v>
      </c>
      <c r="BJ101" s="83">
        <f t="shared" si="63"/>
        <v>1.2222222222222223</v>
      </c>
      <c r="BK101" s="83">
        <f t="shared" si="64"/>
        <v>1.3333333333333333</v>
      </c>
      <c r="BL101" s="83">
        <f t="shared" si="65"/>
        <v>1.3333333333333333</v>
      </c>
      <c r="BM101" s="83">
        <f t="shared" si="66"/>
        <v>1.3333333333333333</v>
      </c>
      <c r="BN101" s="83">
        <f t="shared" si="67"/>
        <v>1.3333333333333333</v>
      </c>
      <c r="BO101" s="83">
        <f t="shared" si="68"/>
        <v>1.4444444444444446</v>
      </c>
      <c r="BP101" s="161" t="s">
        <v>22</v>
      </c>
    </row>
    <row r="102" spans="1:68" ht="14.25" hidden="1" customHeight="1">
      <c r="B102" s="87">
        <v>46035</v>
      </c>
      <c r="C102" s="178">
        <f t="shared" si="70"/>
        <v>1814</v>
      </c>
      <c r="D102" s="89">
        <f t="shared" si="73"/>
        <v>0.62608048511576631</v>
      </c>
      <c r="E102" s="89">
        <f t="shared" si="74"/>
        <v>0.84278941565600873</v>
      </c>
      <c r="F102" s="89">
        <f t="shared" si="75"/>
        <v>0.85704520396912887</v>
      </c>
      <c r="G102" s="89">
        <f t="shared" si="76"/>
        <v>1.0637541345093715</v>
      </c>
      <c r="H102" s="89">
        <f t="shared" si="77"/>
        <v>1.0737541345093715</v>
      </c>
      <c r="I102" s="89">
        <f t="shared" si="78"/>
        <v>1.1450330760749725</v>
      </c>
      <c r="J102" s="89">
        <f t="shared" si="79"/>
        <v>1.9077177508269021</v>
      </c>
      <c r="K102" s="89">
        <f t="shared" si="80"/>
        <v>2.5407166482910695</v>
      </c>
      <c r="L102" s="89">
        <f t="shared" si="81"/>
        <v>3.1280760749724368</v>
      </c>
      <c r="M102" s="89">
        <f t="shared" si="82"/>
        <v>3.9335281146637264</v>
      </c>
      <c r="N102" s="89">
        <f t="shared" si="83"/>
        <v>4.3184343991179714</v>
      </c>
      <c r="O102" s="89" t="s">
        <v>22</v>
      </c>
      <c r="P102" s="83">
        <f t="shared" si="51"/>
        <v>1.3689057946130612</v>
      </c>
      <c r="Q102" s="83">
        <f t="shared" si="52"/>
        <v>3.0470806808076007</v>
      </c>
      <c r="R102" s="83">
        <f t="shared" si="53"/>
        <v>4.0581310369724664</v>
      </c>
      <c r="S102" s="83">
        <f t="shared" si="54"/>
        <v>4.9962842627079098</v>
      </c>
      <c r="T102" s="83">
        <f t="shared" si="55"/>
        <v>6.2827834570444914</v>
      </c>
      <c r="U102" s="83">
        <f>N102/$D102</f>
        <v>6.8975706826566636</v>
      </c>
      <c r="V102" s="161" t="s">
        <v>22</v>
      </c>
      <c r="W102" s="1"/>
      <c r="Y102" s="127">
        <v>46035</v>
      </c>
      <c r="Z102" s="200">
        <v>1293</v>
      </c>
      <c r="AA102" s="90">
        <v>0.83</v>
      </c>
      <c r="AB102" s="90">
        <v>1.1299999999999999</v>
      </c>
      <c r="AC102" s="90">
        <v>1.1499999999999999</v>
      </c>
      <c r="AD102" s="90">
        <v>1.44</v>
      </c>
      <c r="AE102" s="90">
        <v>1.45</v>
      </c>
      <c r="AF102" s="90">
        <v>1.55</v>
      </c>
      <c r="AG102" s="90">
        <v>2.62</v>
      </c>
      <c r="AH102" s="90">
        <v>3.5</v>
      </c>
      <c r="AI102" s="90">
        <v>4.32</v>
      </c>
      <c r="AJ102" s="90">
        <v>5.45</v>
      </c>
      <c r="AK102" s="90">
        <v>5.99</v>
      </c>
      <c r="AL102" s="90" t="s">
        <v>22</v>
      </c>
      <c r="AM102" s="83">
        <f t="shared" si="56"/>
        <v>1.3855421686746987</v>
      </c>
      <c r="AN102" s="83">
        <f t="shared" si="57"/>
        <v>3.1566265060240966</v>
      </c>
      <c r="AO102" s="83">
        <f t="shared" si="58"/>
        <v>4.2168674698795181</v>
      </c>
      <c r="AP102" s="83">
        <f t="shared" si="59"/>
        <v>5.2048192771084345</v>
      </c>
      <c r="AQ102" s="83">
        <f t="shared" si="60"/>
        <v>6.5662650602409647</v>
      </c>
      <c r="AR102" s="83">
        <f t="shared" si="61"/>
        <v>7.216867469879519</v>
      </c>
      <c r="AS102" s="161" t="s">
        <v>22</v>
      </c>
      <c r="AT102" s="1"/>
      <c r="AU102" s="1"/>
      <c r="AV102" s="127">
        <v>46035</v>
      </c>
      <c r="AW102" s="154">
        <v>521</v>
      </c>
      <c r="AX102" s="90">
        <v>0.12</v>
      </c>
      <c r="AY102" s="90">
        <v>0.13</v>
      </c>
      <c r="AZ102" s="90">
        <v>0.13</v>
      </c>
      <c r="BA102" s="90">
        <v>0.13</v>
      </c>
      <c r="BB102" s="90">
        <v>0.14000000000000001</v>
      </c>
      <c r="BC102" s="90">
        <v>0.14000000000000001</v>
      </c>
      <c r="BD102" s="90">
        <v>0.14000000000000001</v>
      </c>
      <c r="BE102" s="90">
        <v>0.16</v>
      </c>
      <c r="BF102" s="90">
        <v>0.17</v>
      </c>
      <c r="BG102" s="90">
        <v>0.17</v>
      </c>
      <c r="BH102" s="90">
        <v>0.17</v>
      </c>
      <c r="BI102" s="90" t="s">
        <v>22</v>
      </c>
      <c r="BJ102" s="83">
        <f t="shared" si="63"/>
        <v>1.0833333333333335</v>
      </c>
      <c r="BK102" s="83">
        <f t="shared" si="64"/>
        <v>1.1666666666666667</v>
      </c>
      <c r="BL102" s="83">
        <f t="shared" si="65"/>
        <v>1.3333333333333335</v>
      </c>
      <c r="BM102" s="83">
        <f t="shared" si="66"/>
        <v>1.4166666666666667</v>
      </c>
      <c r="BN102" s="83">
        <f t="shared" si="67"/>
        <v>1.4166666666666667</v>
      </c>
      <c r="BO102" s="83">
        <f t="shared" si="68"/>
        <v>1.4166666666666667</v>
      </c>
      <c r="BP102" s="161" t="s">
        <v>22</v>
      </c>
    </row>
    <row r="103" spans="1:68" ht="27.75" hidden="1" customHeight="1">
      <c r="B103" s="253" t="s">
        <v>35</v>
      </c>
      <c r="C103" s="300">
        <f>SUM(C90:C102)</f>
        <v>35431</v>
      </c>
      <c r="D103" s="303">
        <f t="shared" si="73"/>
        <v>0.24067059919279729</v>
      </c>
      <c r="E103" s="303">
        <f t="shared" si="74"/>
        <v>0.45929835454827694</v>
      </c>
      <c r="F103" s="303">
        <f t="shared" si="75"/>
        <v>0.56844458242781748</v>
      </c>
      <c r="G103" s="303">
        <f t="shared" si="76"/>
        <v>0.70945048121701337</v>
      </c>
      <c r="H103" s="303">
        <f t="shared" si="77"/>
        <v>0.87859670909655385</v>
      </c>
      <c r="I103" s="303">
        <f t="shared" si="78"/>
        <v>0.98469419434958083</v>
      </c>
      <c r="J103" s="303">
        <f t="shared" si="79"/>
        <v>1.1214622787954049</v>
      </c>
      <c r="K103" s="303">
        <f t="shared" si="80"/>
        <v>1.6605774604160199</v>
      </c>
      <c r="L103" s="303">
        <f t="shared" si="81"/>
        <v>1.9544489289040672</v>
      </c>
      <c r="M103" s="303">
        <f t="shared" si="82"/>
        <v>2.4023750388078238</v>
      </c>
      <c r="N103" s="303">
        <f t="shared" si="83"/>
        <v>3.9778298665010872</v>
      </c>
      <c r="O103" s="303">
        <f>($Z103*AM103+$AW103*BJ103)/$C103</f>
        <v>2.1914622787954054</v>
      </c>
      <c r="P103" s="297">
        <f t="shared" si="51"/>
        <v>2.3619195046439629</v>
      </c>
      <c r="Q103" s="297">
        <f t="shared" si="52"/>
        <v>4.6597394220846224</v>
      </c>
      <c r="R103" s="297">
        <f t="shared" si="53"/>
        <v>6.8997936016511865</v>
      </c>
      <c r="S103" s="297">
        <f t="shared" si="54"/>
        <v>8.1208462332301341</v>
      </c>
      <c r="T103" s="297">
        <f t="shared" si="55"/>
        <v>9.9820046439628474</v>
      </c>
      <c r="U103" s="297">
        <f t="shared" ref="U103:U115" si="84">N103/D103</f>
        <v>16.528108875129</v>
      </c>
      <c r="V103" s="378">
        <f>O103/$D103</f>
        <v>9.1056501547987612</v>
      </c>
      <c r="W103" s="1"/>
      <c r="Y103" s="253" t="s">
        <v>35</v>
      </c>
      <c r="Z103" s="300">
        <f>SUM(Z90:Z102)</f>
        <v>20416</v>
      </c>
      <c r="AA103" s="296">
        <v>0.3</v>
      </c>
      <c r="AB103" s="296">
        <v>0.65</v>
      </c>
      <c r="AC103" s="296">
        <v>0.81</v>
      </c>
      <c r="AD103" s="296">
        <v>1.04</v>
      </c>
      <c r="AE103" s="296">
        <v>1.26</v>
      </c>
      <c r="AF103" s="296">
        <v>1.4</v>
      </c>
      <c r="AG103" s="296">
        <v>1.63</v>
      </c>
      <c r="AH103" s="296">
        <v>2.4700000000000002</v>
      </c>
      <c r="AI103" s="296">
        <v>2.98</v>
      </c>
      <c r="AJ103" s="296">
        <v>3.75</v>
      </c>
      <c r="AK103" s="296">
        <v>6.44</v>
      </c>
      <c r="AL103" s="296">
        <v>6.59</v>
      </c>
      <c r="AM103" s="297">
        <f t="shared" si="56"/>
        <v>2.7</v>
      </c>
      <c r="AN103" s="297">
        <f t="shared" si="57"/>
        <v>5.4333333333333336</v>
      </c>
      <c r="AO103" s="297">
        <f t="shared" si="58"/>
        <v>8.2333333333333343</v>
      </c>
      <c r="AP103" s="297">
        <f t="shared" si="59"/>
        <v>9.9333333333333336</v>
      </c>
      <c r="AQ103" s="297">
        <f t="shared" si="60"/>
        <v>12.5</v>
      </c>
      <c r="AR103" s="297">
        <f t="shared" si="61"/>
        <v>21.466666666666669</v>
      </c>
      <c r="AS103" s="378">
        <f>AL103/$AA103</f>
        <v>21.966666666666669</v>
      </c>
      <c r="AT103" s="1"/>
      <c r="AU103" s="1"/>
      <c r="AV103" s="253" t="s">
        <v>35</v>
      </c>
      <c r="AW103" s="451">
        <f>SUM(AW90:AW102)</f>
        <v>15015</v>
      </c>
      <c r="AX103" s="193">
        <v>0.16</v>
      </c>
      <c r="AY103" s="193">
        <v>0.2</v>
      </c>
      <c r="AZ103" s="193">
        <v>0.24</v>
      </c>
      <c r="BA103" s="193">
        <v>0.26</v>
      </c>
      <c r="BB103" s="193">
        <v>0.36</v>
      </c>
      <c r="BC103" s="193">
        <v>0.42</v>
      </c>
      <c r="BD103" s="193">
        <v>0.43</v>
      </c>
      <c r="BE103" s="193">
        <v>0.56000000000000005</v>
      </c>
      <c r="BF103" s="193">
        <v>0.56000000000000005</v>
      </c>
      <c r="BG103" s="193">
        <v>0.56999999999999995</v>
      </c>
      <c r="BH103" s="193">
        <v>0.63</v>
      </c>
      <c r="BI103" s="193">
        <v>0.83</v>
      </c>
      <c r="BJ103" s="194">
        <f t="shared" si="63"/>
        <v>1.5</v>
      </c>
      <c r="BK103" s="194">
        <f t="shared" si="64"/>
        <v>2.6875</v>
      </c>
      <c r="BL103" s="194">
        <f t="shared" si="65"/>
        <v>3.5000000000000004</v>
      </c>
      <c r="BM103" s="194">
        <f t="shared" si="66"/>
        <v>3.5000000000000004</v>
      </c>
      <c r="BN103" s="194">
        <f t="shared" si="67"/>
        <v>3.5624999999999996</v>
      </c>
      <c r="BO103" s="194">
        <f t="shared" si="68"/>
        <v>3.9375</v>
      </c>
      <c r="BP103" s="201">
        <f>BI103/$AX103</f>
        <v>5.1875</v>
      </c>
    </row>
    <row r="104" spans="1:68" ht="14.25" hidden="1" customHeight="1">
      <c r="B104" s="87">
        <v>46036</v>
      </c>
      <c r="C104" s="178">
        <f t="shared" ref="C104:C135" si="85">Z104+AW104</f>
        <v>3161</v>
      </c>
      <c r="D104" s="89">
        <f t="shared" si="73"/>
        <v>0.16780449224928823</v>
      </c>
      <c r="E104" s="89">
        <f t="shared" si="74"/>
        <v>0.2769503321733629</v>
      </c>
      <c r="F104" s="89">
        <f t="shared" si="75"/>
        <v>0.34231572287250867</v>
      </c>
      <c r="G104" s="89">
        <f t="shared" si="76"/>
        <v>0.41792470737108506</v>
      </c>
      <c r="H104" s="89">
        <f t="shared" si="77"/>
        <v>0.47463144574501737</v>
      </c>
      <c r="I104" s="89">
        <f t="shared" si="78"/>
        <v>0.47841189496994624</v>
      </c>
      <c r="J104" s="89">
        <f t="shared" si="79"/>
        <v>0.48219234419487506</v>
      </c>
      <c r="K104" s="89">
        <f t="shared" si="80"/>
        <v>0.85889591901297047</v>
      </c>
      <c r="L104" s="89">
        <f t="shared" si="81"/>
        <v>1.1764536539069914</v>
      </c>
      <c r="M104" s="89">
        <f t="shared" si="82"/>
        <v>1.5248655488769378</v>
      </c>
      <c r="N104" s="89">
        <f t="shared" si="83"/>
        <v>2.4548560582094274</v>
      </c>
      <c r="O104" s="89" t="s">
        <v>22</v>
      </c>
      <c r="P104" s="83">
        <f t="shared" si="51"/>
        <v>2.0399675734781209</v>
      </c>
      <c r="Q104" s="83">
        <f t="shared" si="52"/>
        <v>2.8735365646739432</v>
      </c>
      <c r="R104" s="83">
        <f t="shared" si="53"/>
        <v>5.1184322153724322</v>
      </c>
      <c r="S104" s="83">
        <f t="shared" si="54"/>
        <v>7.0108591143034884</v>
      </c>
      <c r="T104" s="83">
        <f t="shared" si="55"/>
        <v>9.0871557038629032</v>
      </c>
      <c r="U104" s="83">
        <f t="shared" si="84"/>
        <v>14.629263050732423</v>
      </c>
      <c r="V104" s="149" t="s">
        <v>22</v>
      </c>
      <c r="W104" s="1"/>
      <c r="Y104" s="87">
        <v>46036</v>
      </c>
      <c r="Z104" s="25">
        <v>1195</v>
      </c>
      <c r="AA104" s="90">
        <v>0.23</v>
      </c>
      <c r="AB104" s="90">
        <v>0.42</v>
      </c>
      <c r="AC104" s="90">
        <v>0.56000000000000005</v>
      </c>
      <c r="AD104" s="90">
        <v>0.76</v>
      </c>
      <c r="AE104" s="90">
        <v>0.91</v>
      </c>
      <c r="AF104" s="90">
        <v>0.92</v>
      </c>
      <c r="AG104" s="90">
        <v>0.93</v>
      </c>
      <c r="AH104" s="90">
        <v>1.91</v>
      </c>
      <c r="AI104" s="90">
        <v>2.75</v>
      </c>
      <c r="AJ104" s="90">
        <v>3.54</v>
      </c>
      <c r="AK104" s="90">
        <v>6</v>
      </c>
      <c r="AL104" s="90" t="s">
        <v>22</v>
      </c>
      <c r="AM104" s="83">
        <f t="shared" si="56"/>
        <v>2.4347826086956523</v>
      </c>
      <c r="AN104" s="83">
        <f t="shared" si="57"/>
        <v>4.0434782608695654</v>
      </c>
      <c r="AO104" s="83">
        <f t="shared" si="58"/>
        <v>8.3043478260869552</v>
      </c>
      <c r="AP104" s="83">
        <f t="shared" si="59"/>
        <v>11.956521739130434</v>
      </c>
      <c r="AQ104" s="83">
        <f t="shared" si="60"/>
        <v>15.391304347826086</v>
      </c>
      <c r="AR104" s="83">
        <f t="shared" si="61"/>
        <v>26.086956521739129</v>
      </c>
      <c r="AS104" s="84" t="s">
        <v>22</v>
      </c>
      <c r="AT104" s="1"/>
      <c r="AU104" s="1"/>
      <c r="AV104" s="127">
        <v>46036</v>
      </c>
      <c r="AW104" s="145">
        <v>1966</v>
      </c>
      <c r="AX104" s="423">
        <v>0.13</v>
      </c>
      <c r="AY104" s="423">
        <v>0.19</v>
      </c>
      <c r="AZ104" s="423">
        <v>0.21</v>
      </c>
      <c r="BA104" s="423">
        <v>0.21</v>
      </c>
      <c r="BB104" s="423">
        <v>0.21</v>
      </c>
      <c r="BC104" s="423">
        <v>0.21</v>
      </c>
      <c r="BD104" s="423">
        <v>0.21</v>
      </c>
      <c r="BE104" s="423">
        <v>0.22</v>
      </c>
      <c r="BF104" s="423">
        <v>0.22</v>
      </c>
      <c r="BG104" s="423">
        <v>0.3</v>
      </c>
      <c r="BH104" s="423">
        <v>0.3</v>
      </c>
      <c r="BI104" s="423" t="s">
        <v>22</v>
      </c>
      <c r="BJ104" s="433">
        <f t="shared" si="63"/>
        <v>1.6153846153846152</v>
      </c>
      <c r="BK104" s="433">
        <f t="shared" si="64"/>
        <v>1.6153846153846152</v>
      </c>
      <c r="BL104" s="433">
        <f t="shared" si="65"/>
        <v>1.6923076923076923</v>
      </c>
      <c r="BM104" s="433">
        <f t="shared" si="66"/>
        <v>1.6923076923076923</v>
      </c>
      <c r="BN104" s="433">
        <f t="shared" si="67"/>
        <v>2.3076923076923075</v>
      </c>
      <c r="BO104" s="433">
        <f t="shared" si="68"/>
        <v>2.3076923076923075</v>
      </c>
      <c r="BP104" s="149" t="s">
        <v>22</v>
      </c>
    </row>
    <row r="105" spans="1:68" ht="14.25" hidden="1" customHeight="1">
      <c r="B105" s="86">
        <v>46037</v>
      </c>
      <c r="C105" s="178">
        <f t="shared" si="85"/>
        <v>3073</v>
      </c>
      <c r="D105" s="89">
        <f t="shared" si="73"/>
        <v>0.21066059225512529</v>
      </c>
      <c r="E105" s="89">
        <f t="shared" si="74"/>
        <v>0.409004230393752</v>
      </c>
      <c r="F105" s="89">
        <f t="shared" si="75"/>
        <v>0.43214448421737717</v>
      </c>
      <c r="G105" s="89">
        <f t="shared" si="76"/>
        <v>0.44528473804100233</v>
      </c>
      <c r="H105" s="89">
        <f t="shared" si="77"/>
        <v>0.4509046534331273</v>
      </c>
      <c r="I105" s="89">
        <f t="shared" si="78"/>
        <v>0.4509046534331273</v>
      </c>
      <c r="J105" s="89">
        <f t="shared" si="79"/>
        <v>0.47718516108037745</v>
      </c>
      <c r="K105" s="89">
        <f t="shared" si="80"/>
        <v>0.48280507647250248</v>
      </c>
      <c r="L105" s="89">
        <f t="shared" si="81"/>
        <v>0.50470549951187771</v>
      </c>
      <c r="M105" s="89">
        <f t="shared" si="82"/>
        <v>0.53784575333550277</v>
      </c>
      <c r="N105" s="89">
        <f t="shared" si="83"/>
        <v>0.57288643019850305</v>
      </c>
      <c r="O105" s="89" t="s">
        <v>22</v>
      </c>
      <c r="P105" s="83">
        <f t="shared" si="51"/>
        <v>2.0513779041028175</v>
      </c>
      <c r="Q105" s="83">
        <f t="shared" si="52"/>
        <v>2.2651847503707363</v>
      </c>
      <c r="R105" s="83">
        <f t="shared" si="53"/>
        <v>2.2918623331685617</v>
      </c>
      <c r="S105" s="83">
        <f t="shared" si="54"/>
        <v>2.3958230350963916</v>
      </c>
      <c r="T105" s="83">
        <f t="shared" si="55"/>
        <v>2.5531389026198714</v>
      </c>
      <c r="U105" s="83">
        <f t="shared" si="84"/>
        <v>2.7194760257043993</v>
      </c>
      <c r="V105" s="161" t="s">
        <v>22</v>
      </c>
      <c r="W105" s="1"/>
      <c r="Y105" s="87">
        <v>46037</v>
      </c>
      <c r="Z105" s="25">
        <v>1346</v>
      </c>
      <c r="AA105" s="90">
        <v>0.25</v>
      </c>
      <c r="AB105" s="90">
        <v>0.69</v>
      </c>
      <c r="AC105" s="90">
        <v>0.73</v>
      </c>
      <c r="AD105" s="90">
        <v>0.76</v>
      </c>
      <c r="AE105" s="90">
        <v>0.76</v>
      </c>
      <c r="AF105" s="90">
        <v>0.76</v>
      </c>
      <c r="AG105" s="90">
        <v>0.82</v>
      </c>
      <c r="AH105" s="90">
        <v>0.82</v>
      </c>
      <c r="AI105" s="90">
        <v>0.87</v>
      </c>
      <c r="AJ105" s="90">
        <v>0.92</v>
      </c>
      <c r="AK105" s="90">
        <v>1</v>
      </c>
      <c r="AL105" s="90" t="s">
        <v>22</v>
      </c>
      <c r="AM105" s="83">
        <f t="shared" si="56"/>
        <v>2.92</v>
      </c>
      <c r="AN105" s="83">
        <f t="shared" si="57"/>
        <v>3.28</v>
      </c>
      <c r="AO105" s="83">
        <f t="shared" si="58"/>
        <v>3.28</v>
      </c>
      <c r="AP105" s="83">
        <f t="shared" si="59"/>
        <v>3.48</v>
      </c>
      <c r="AQ105" s="83">
        <f t="shared" si="60"/>
        <v>3.68</v>
      </c>
      <c r="AR105" s="83">
        <f t="shared" si="61"/>
        <v>4</v>
      </c>
      <c r="AS105" s="84" t="s">
        <v>22</v>
      </c>
      <c r="AT105" s="1"/>
      <c r="AU105" s="1"/>
      <c r="AV105" s="127">
        <v>46037</v>
      </c>
      <c r="AW105" s="154">
        <v>1727</v>
      </c>
      <c r="AX105" s="90">
        <v>0.18</v>
      </c>
      <c r="AY105" s="90">
        <v>0.19</v>
      </c>
      <c r="AZ105" s="90">
        <v>0.2</v>
      </c>
      <c r="BA105" s="90">
        <v>0.2</v>
      </c>
      <c r="BB105" s="90">
        <v>0.21</v>
      </c>
      <c r="BC105" s="90">
        <v>0.21</v>
      </c>
      <c r="BD105" s="90">
        <v>0.21</v>
      </c>
      <c r="BE105" s="90">
        <v>0.22</v>
      </c>
      <c r="BF105" s="90">
        <v>0.22</v>
      </c>
      <c r="BG105" s="90">
        <v>0.24</v>
      </c>
      <c r="BH105" s="90">
        <v>0.24</v>
      </c>
      <c r="BI105" s="90" t="s">
        <v>22</v>
      </c>
      <c r="BJ105" s="83">
        <f t="shared" si="63"/>
        <v>1.1111111111111112</v>
      </c>
      <c r="BK105" s="83">
        <f t="shared" si="64"/>
        <v>1.1666666666666667</v>
      </c>
      <c r="BL105" s="83">
        <f t="shared" si="65"/>
        <v>1.2222222222222223</v>
      </c>
      <c r="BM105" s="83">
        <f t="shared" si="66"/>
        <v>1.2222222222222223</v>
      </c>
      <c r="BN105" s="83">
        <f t="shared" si="67"/>
        <v>1.3333333333333333</v>
      </c>
      <c r="BO105" s="83">
        <f t="shared" si="68"/>
        <v>1.3333333333333333</v>
      </c>
      <c r="BP105" s="161" t="s">
        <v>22</v>
      </c>
    </row>
    <row r="106" spans="1:68" ht="14.25" hidden="1" customHeight="1">
      <c r="A106" s="617" t="s">
        <v>24</v>
      </c>
      <c r="B106" s="51">
        <v>46038</v>
      </c>
      <c r="C106" s="184">
        <f t="shared" si="85"/>
        <v>2888</v>
      </c>
      <c r="D106" s="89">
        <f t="shared" si="73"/>
        <v>0.21142659279778395</v>
      </c>
      <c r="E106" s="89">
        <f t="shared" si="74"/>
        <v>1.0142105263157895</v>
      </c>
      <c r="F106" s="89">
        <f t="shared" si="75"/>
        <v>1.2552596952908586</v>
      </c>
      <c r="G106" s="89">
        <f t="shared" si="76"/>
        <v>1.6302250692520777</v>
      </c>
      <c r="H106" s="89">
        <f t="shared" si="77"/>
        <v>1.6891481994459834</v>
      </c>
      <c r="I106" s="89">
        <f t="shared" si="78"/>
        <v>1.769497922437673</v>
      </c>
      <c r="J106" s="89">
        <f t="shared" si="79"/>
        <v>1.8123511080332408</v>
      </c>
      <c r="K106" s="89">
        <f t="shared" si="80"/>
        <v>3.8050242382271469</v>
      </c>
      <c r="L106" s="89">
        <f t="shared" si="81"/>
        <v>4.1157098337950142</v>
      </c>
      <c r="M106" s="89">
        <f t="shared" si="82"/>
        <v>4.5924515235457068</v>
      </c>
      <c r="N106" s="89">
        <f t="shared" si="83"/>
        <v>7.1315027700831033</v>
      </c>
      <c r="O106" s="89" t="s">
        <v>22</v>
      </c>
      <c r="P106" s="83">
        <f t="shared" si="51"/>
        <v>5.9370946609891897</v>
      </c>
      <c r="Q106" s="83">
        <f t="shared" si="52"/>
        <v>8.572011136586962</v>
      </c>
      <c r="R106" s="83">
        <f t="shared" si="53"/>
        <v>17.996904683917457</v>
      </c>
      <c r="S106" s="83">
        <f t="shared" si="54"/>
        <v>19.466377333770062</v>
      </c>
      <c r="T106" s="83">
        <f t="shared" si="55"/>
        <v>21.721257779233543</v>
      </c>
      <c r="U106" s="83">
        <f t="shared" si="84"/>
        <v>33.730396331477237</v>
      </c>
      <c r="V106" s="161" t="s">
        <v>22</v>
      </c>
      <c r="W106" s="1"/>
      <c r="X106" s="551" t="s">
        <v>24</v>
      </c>
      <c r="Y106" s="88">
        <v>46038</v>
      </c>
      <c r="Z106" s="71">
        <v>1547</v>
      </c>
      <c r="AA106" s="90">
        <v>0.23</v>
      </c>
      <c r="AB106" s="90">
        <v>1.72</v>
      </c>
      <c r="AC106" s="90">
        <v>2.17</v>
      </c>
      <c r="AD106" s="90">
        <v>2.87</v>
      </c>
      <c r="AE106" s="90">
        <v>2.98</v>
      </c>
      <c r="AF106" s="90">
        <v>3.13</v>
      </c>
      <c r="AG106" s="90">
        <v>3.21</v>
      </c>
      <c r="AH106" s="90">
        <v>6.93</v>
      </c>
      <c r="AI106" s="90">
        <v>7.51</v>
      </c>
      <c r="AJ106" s="90">
        <v>8.4</v>
      </c>
      <c r="AK106" s="90">
        <v>13.14</v>
      </c>
      <c r="AL106" s="90" t="s">
        <v>22</v>
      </c>
      <c r="AM106" s="83">
        <f t="shared" si="56"/>
        <v>9.4347826086956523</v>
      </c>
      <c r="AN106" s="83">
        <f t="shared" si="57"/>
        <v>13.956521739130434</v>
      </c>
      <c r="AO106" s="83">
        <f t="shared" si="58"/>
        <v>30.130434782608692</v>
      </c>
      <c r="AP106" s="83">
        <f t="shared" si="59"/>
        <v>32.652173913043477</v>
      </c>
      <c r="AQ106" s="83">
        <f t="shared" si="60"/>
        <v>36.521739130434781</v>
      </c>
      <c r="AR106" s="83">
        <f t="shared" si="61"/>
        <v>57.130434782608695</v>
      </c>
      <c r="AS106" s="84" t="s">
        <v>22</v>
      </c>
      <c r="AT106" s="1"/>
      <c r="AU106" s="538" t="s">
        <v>24</v>
      </c>
      <c r="AV106" s="164">
        <v>46038</v>
      </c>
      <c r="AW106" s="211">
        <v>1341</v>
      </c>
      <c r="AX106" s="90">
        <v>0.19</v>
      </c>
      <c r="AY106" s="90">
        <v>0.2</v>
      </c>
      <c r="AZ106" s="90">
        <v>0.2</v>
      </c>
      <c r="BA106" s="90">
        <v>0.2</v>
      </c>
      <c r="BB106" s="90">
        <v>0.2</v>
      </c>
      <c r="BC106" s="90">
        <v>0.2</v>
      </c>
      <c r="BD106" s="90">
        <v>0.2</v>
      </c>
      <c r="BE106" s="90">
        <v>0.2</v>
      </c>
      <c r="BF106" s="90">
        <v>0.2</v>
      </c>
      <c r="BG106" s="90">
        <v>0.2</v>
      </c>
      <c r="BH106" s="90">
        <v>0.2</v>
      </c>
      <c r="BI106" s="90" t="s">
        <v>22</v>
      </c>
      <c r="BJ106" s="83">
        <f t="shared" si="63"/>
        <v>1.0526315789473684</v>
      </c>
      <c r="BK106" s="83">
        <f t="shared" si="64"/>
        <v>1.0526315789473684</v>
      </c>
      <c r="BL106" s="83">
        <f t="shared" si="65"/>
        <v>1.0526315789473684</v>
      </c>
      <c r="BM106" s="83">
        <f t="shared" si="66"/>
        <v>1.0526315789473684</v>
      </c>
      <c r="BN106" s="83">
        <f t="shared" si="67"/>
        <v>1.0526315789473684</v>
      </c>
      <c r="BO106" s="83">
        <f t="shared" si="68"/>
        <v>1.0526315789473684</v>
      </c>
      <c r="BP106" s="161" t="s">
        <v>22</v>
      </c>
    </row>
    <row r="107" spans="1:68" ht="14.25" hidden="1" customHeight="1">
      <c r="A107" s="513"/>
      <c r="B107" s="51">
        <v>46039</v>
      </c>
      <c r="C107" s="184">
        <f t="shared" si="85"/>
        <v>3246</v>
      </c>
      <c r="D107" s="89">
        <f t="shared" si="73"/>
        <v>0.10049291435613064</v>
      </c>
      <c r="E107" s="89">
        <f t="shared" si="74"/>
        <v>0.15180529882932842</v>
      </c>
      <c r="F107" s="89">
        <f t="shared" si="75"/>
        <v>0.20967344423906348</v>
      </c>
      <c r="G107" s="89">
        <f t="shared" si="76"/>
        <v>0.21426370918052989</v>
      </c>
      <c r="H107" s="89">
        <f t="shared" si="77"/>
        <v>0.21426370918052989</v>
      </c>
      <c r="I107" s="89">
        <f t="shared" si="78"/>
        <v>0.25180529882932839</v>
      </c>
      <c r="J107" s="89">
        <f t="shared" si="79"/>
        <v>0.26557609365372764</v>
      </c>
      <c r="K107" s="89">
        <f t="shared" si="80"/>
        <v>0.31344423906346275</v>
      </c>
      <c r="L107" s="89">
        <f t="shared" si="81"/>
        <v>0.31803450400492911</v>
      </c>
      <c r="M107" s="89">
        <f t="shared" si="82"/>
        <v>0.3937707948243992</v>
      </c>
      <c r="N107" s="89">
        <f t="shared" si="83"/>
        <v>0.43459026494146646</v>
      </c>
      <c r="O107" s="90" t="s">
        <v>22</v>
      </c>
      <c r="P107" s="83">
        <f t="shared" si="51"/>
        <v>2.0864500306560392</v>
      </c>
      <c r="Q107" s="83">
        <f t="shared" si="52"/>
        <v>2.6427345187001832</v>
      </c>
      <c r="R107" s="83">
        <f t="shared" si="53"/>
        <v>3.1190680564071118</v>
      </c>
      <c r="S107" s="83">
        <f t="shared" si="54"/>
        <v>3.1647455548743091</v>
      </c>
      <c r="T107" s="83">
        <f t="shared" si="55"/>
        <v>3.9183936235438366</v>
      </c>
      <c r="U107" s="83">
        <f t="shared" si="84"/>
        <v>4.3245861434702633</v>
      </c>
      <c r="V107" s="118" t="s">
        <v>22</v>
      </c>
      <c r="W107" s="1"/>
      <c r="X107" s="513"/>
      <c r="Y107" s="88">
        <v>46039</v>
      </c>
      <c r="Z107" s="71">
        <v>1756</v>
      </c>
      <c r="AA107" s="90">
        <v>0.05</v>
      </c>
      <c r="AB107" s="90">
        <v>0.06</v>
      </c>
      <c r="AC107" s="90">
        <v>0.15</v>
      </c>
      <c r="AD107" s="90">
        <v>0.15</v>
      </c>
      <c r="AE107" s="90">
        <v>0.15</v>
      </c>
      <c r="AF107" s="90">
        <v>0.16</v>
      </c>
      <c r="AG107" s="90">
        <v>0.16</v>
      </c>
      <c r="AH107" s="90">
        <v>0.24</v>
      </c>
      <c r="AI107" s="90">
        <v>0.24</v>
      </c>
      <c r="AJ107" s="90">
        <v>0.38</v>
      </c>
      <c r="AK107" s="90">
        <v>0.43</v>
      </c>
      <c r="AL107" s="90" t="s">
        <v>22</v>
      </c>
      <c r="AM107" s="83">
        <f t="shared" si="56"/>
        <v>2.9999999999999996</v>
      </c>
      <c r="AN107" s="83">
        <f t="shared" si="57"/>
        <v>3.1999999999999997</v>
      </c>
      <c r="AO107" s="83">
        <f t="shared" si="58"/>
        <v>4.8</v>
      </c>
      <c r="AP107" s="83">
        <f t="shared" si="59"/>
        <v>4.8</v>
      </c>
      <c r="AQ107" s="83">
        <f t="shared" si="60"/>
        <v>7.6</v>
      </c>
      <c r="AR107" s="83">
        <f t="shared" si="61"/>
        <v>8.6</v>
      </c>
      <c r="AS107" s="118" t="s">
        <v>22</v>
      </c>
      <c r="AT107" s="1"/>
      <c r="AU107" s="513"/>
      <c r="AV107" s="164">
        <v>46039</v>
      </c>
      <c r="AW107" s="211">
        <v>1490</v>
      </c>
      <c r="AX107" s="90">
        <v>0.16</v>
      </c>
      <c r="AY107" s="90">
        <v>0.26</v>
      </c>
      <c r="AZ107" s="90">
        <v>0.28000000000000003</v>
      </c>
      <c r="BA107" s="90">
        <v>0.28999999999999998</v>
      </c>
      <c r="BB107" s="90">
        <v>0.28999999999999998</v>
      </c>
      <c r="BC107" s="90">
        <v>0.36</v>
      </c>
      <c r="BD107" s="90">
        <v>0.39</v>
      </c>
      <c r="BE107" s="90">
        <v>0.4</v>
      </c>
      <c r="BF107" s="90">
        <v>0.41</v>
      </c>
      <c r="BG107" s="90">
        <v>0.41</v>
      </c>
      <c r="BH107" s="90">
        <v>0.44</v>
      </c>
      <c r="BI107" s="90" t="s">
        <v>22</v>
      </c>
      <c r="BJ107" s="83">
        <f t="shared" si="63"/>
        <v>1.7500000000000002</v>
      </c>
      <c r="BK107" s="83">
        <f t="shared" si="64"/>
        <v>2.4375</v>
      </c>
      <c r="BL107" s="83">
        <f t="shared" si="65"/>
        <v>2.5</v>
      </c>
      <c r="BM107" s="83">
        <f t="shared" si="66"/>
        <v>2.5625</v>
      </c>
      <c r="BN107" s="83">
        <f t="shared" si="67"/>
        <v>2.5625</v>
      </c>
      <c r="BO107" s="83">
        <f t="shared" si="68"/>
        <v>2.75</v>
      </c>
      <c r="BP107" s="161" t="s">
        <v>22</v>
      </c>
    </row>
    <row r="108" spans="1:68" ht="14.25" customHeight="1">
      <c r="B108" s="23">
        <v>46040</v>
      </c>
      <c r="C108" s="178">
        <f t="shared" si="85"/>
        <v>3087</v>
      </c>
      <c r="D108" s="89">
        <f t="shared" si="73"/>
        <v>0.17705539358600586</v>
      </c>
      <c r="E108" s="89">
        <f t="shared" si="74"/>
        <v>0.22599611273080664</v>
      </c>
      <c r="F108" s="89">
        <f t="shared" si="75"/>
        <v>0.29258503401360547</v>
      </c>
      <c r="G108" s="89">
        <f t="shared" si="76"/>
        <v>0.32834791059280855</v>
      </c>
      <c r="H108" s="89">
        <f t="shared" si="77"/>
        <v>0.37517006802721092</v>
      </c>
      <c r="I108" s="89">
        <f t="shared" si="78"/>
        <v>0.38964042759961132</v>
      </c>
      <c r="J108" s="89">
        <f t="shared" si="79"/>
        <v>0.38964042759961132</v>
      </c>
      <c r="K108" s="89">
        <f t="shared" si="80"/>
        <v>0.60080660835762878</v>
      </c>
      <c r="L108" s="89">
        <f t="shared" si="81"/>
        <v>1.5035860058309036</v>
      </c>
      <c r="M108" s="89">
        <f t="shared" si="82"/>
        <v>2.9249271137026245</v>
      </c>
      <c r="N108" s="89">
        <f t="shared" si="83"/>
        <v>4.5893197278911568</v>
      </c>
      <c r="O108" s="90" t="s">
        <v>22</v>
      </c>
      <c r="P108" s="83">
        <f t="shared" si="51"/>
        <v>1.6525056259948405</v>
      </c>
      <c r="Q108" s="83">
        <f t="shared" si="52"/>
        <v>2.2006696306054119</v>
      </c>
      <c r="R108" s="83">
        <f t="shared" si="53"/>
        <v>3.3933256490476968</v>
      </c>
      <c r="S108" s="83">
        <f t="shared" si="54"/>
        <v>8.4921784949777681</v>
      </c>
      <c r="T108" s="83">
        <f t="shared" si="55"/>
        <v>16.51984192326692</v>
      </c>
      <c r="U108" s="83">
        <f t="shared" si="84"/>
        <v>25.920248092650528</v>
      </c>
      <c r="V108" s="118" t="s">
        <v>22</v>
      </c>
      <c r="W108" s="1"/>
      <c r="Y108" s="87">
        <v>46040</v>
      </c>
      <c r="Z108" s="25">
        <v>1707</v>
      </c>
      <c r="AA108" s="90">
        <v>0.11</v>
      </c>
      <c r="AB108" s="90">
        <v>0.15</v>
      </c>
      <c r="AC108" s="90">
        <v>0.23</v>
      </c>
      <c r="AD108" s="90">
        <v>0.23</v>
      </c>
      <c r="AE108" s="90">
        <v>0.25</v>
      </c>
      <c r="AF108" s="90">
        <v>0.26</v>
      </c>
      <c r="AG108" s="90">
        <v>0.26</v>
      </c>
      <c r="AH108" s="90">
        <v>0.27</v>
      </c>
      <c r="AI108" s="90">
        <v>0.31</v>
      </c>
      <c r="AJ108" s="90">
        <v>0.35</v>
      </c>
      <c r="AK108" s="90">
        <v>0.49</v>
      </c>
      <c r="AL108" s="90" t="s">
        <v>22</v>
      </c>
      <c r="AM108" s="83">
        <f t="shared" si="56"/>
        <v>2.0909090909090908</v>
      </c>
      <c r="AN108" s="83">
        <f t="shared" si="57"/>
        <v>2.3636363636363638</v>
      </c>
      <c r="AO108" s="83">
        <f t="shared" si="58"/>
        <v>2.4545454545454546</v>
      </c>
      <c r="AP108" s="83">
        <f t="shared" si="59"/>
        <v>2.8181818181818183</v>
      </c>
      <c r="AQ108" s="83">
        <f t="shared" si="60"/>
        <v>3.1818181818181817</v>
      </c>
      <c r="AR108" s="83">
        <f t="shared" si="61"/>
        <v>4.4545454545454541</v>
      </c>
      <c r="AS108" s="118" t="s">
        <v>22</v>
      </c>
      <c r="AT108" s="1"/>
      <c r="AV108" s="127">
        <v>46040</v>
      </c>
      <c r="AW108" s="154">
        <v>1380</v>
      </c>
      <c r="AX108" s="90">
        <v>0.26</v>
      </c>
      <c r="AY108" s="90">
        <v>0.32</v>
      </c>
      <c r="AZ108" s="90">
        <v>0.37</v>
      </c>
      <c r="BA108" s="90">
        <v>0.45</v>
      </c>
      <c r="BB108" s="90">
        <v>0.53</v>
      </c>
      <c r="BC108" s="90">
        <v>0.55000000000000004</v>
      </c>
      <c r="BD108" s="90">
        <v>0.55000000000000004</v>
      </c>
      <c r="BE108" s="90">
        <v>1.01</v>
      </c>
      <c r="BF108" s="90">
        <v>2.98</v>
      </c>
      <c r="BG108" s="90">
        <v>6.11</v>
      </c>
      <c r="BH108" s="90">
        <v>9.66</v>
      </c>
      <c r="BI108" s="90" t="s">
        <v>22</v>
      </c>
      <c r="BJ108" s="83">
        <f t="shared" si="63"/>
        <v>1.4230769230769229</v>
      </c>
      <c r="BK108" s="83">
        <f t="shared" si="64"/>
        <v>2.1153846153846154</v>
      </c>
      <c r="BL108" s="83">
        <f t="shared" si="65"/>
        <v>3.8846153846153846</v>
      </c>
      <c r="BM108" s="83">
        <f t="shared" si="66"/>
        <v>11.461538461538462</v>
      </c>
      <c r="BN108" s="83">
        <f t="shared" si="67"/>
        <v>23.5</v>
      </c>
      <c r="BO108" s="83">
        <f t="shared" si="68"/>
        <v>37.153846153846153</v>
      </c>
      <c r="BP108" s="429" t="s">
        <v>22</v>
      </c>
    </row>
    <row r="109" spans="1:68" ht="14.25" customHeight="1">
      <c r="A109" s="616" t="s">
        <v>25</v>
      </c>
      <c r="B109" s="51">
        <v>46041</v>
      </c>
      <c r="C109" s="184">
        <f t="shared" si="85"/>
        <v>2460</v>
      </c>
      <c r="D109" s="89">
        <f t="shared" si="73"/>
        <v>0.15505284552845527</v>
      </c>
      <c r="E109" s="89">
        <f t="shared" si="74"/>
        <v>0.22042276422764229</v>
      </c>
      <c r="F109" s="89">
        <f t="shared" si="75"/>
        <v>0.23052845528455285</v>
      </c>
      <c r="G109" s="89">
        <f t="shared" si="76"/>
        <v>0.28610975609756101</v>
      </c>
      <c r="H109" s="89">
        <f t="shared" si="77"/>
        <v>0.36663821138211383</v>
      </c>
      <c r="I109" s="89">
        <f t="shared" si="78"/>
        <v>0.36663821138211383</v>
      </c>
      <c r="J109" s="89">
        <f t="shared" si="79"/>
        <v>0.48758943089430895</v>
      </c>
      <c r="K109" s="89">
        <f t="shared" si="80"/>
        <v>1.7049024390243903</v>
      </c>
      <c r="L109" s="89">
        <f t="shared" si="81"/>
        <v>2.2651341463414636</v>
      </c>
      <c r="M109" s="89">
        <f t="shared" si="82"/>
        <v>3.2894878048780485</v>
      </c>
      <c r="N109" s="89">
        <f t="shared" si="83"/>
        <v>5.3495691056910575</v>
      </c>
      <c r="O109" s="90" t="s">
        <v>22</v>
      </c>
      <c r="P109" s="83">
        <f t="shared" si="51"/>
        <v>1.4867734577773117</v>
      </c>
      <c r="Q109" s="83">
        <f t="shared" si="52"/>
        <v>3.1446661248459744</v>
      </c>
      <c r="R109" s="83">
        <f t="shared" si="53"/>
        <v>10.995621739244424</v>
      </c>
      <c r="S109" s="83">
        <f t="shared" si="54"/>
        <v>14.608787982067485</v>
      </c>
      <c r="T109" s="83">
        <f t="shared" si="55"/>
        <v>21.215268856670949</v>
      </c>
      <c r="U109" s="83">
        <f t="shared" si="84"/>
        <v>34.501586136381519</v>
      </c>
      <c r="V109" s="118" t="s">
        <v>22</v>
      </c>
      <c r="W109" s="1"/>
      <c r="X109" s="549" t="s">
        <v>25</v>
      </c>
      <c r="Y109" s="88">
        <v>46041</v>
      </c>
      <c r="Z109" s="71">
        <v>1243</v>
      </c>
      <c r="AA109" s="90">
        <v>0.16</v>
      </c>
      <c r="AB109" s="90">
        <v>0.26</v>
      </c>
      <c r="AC109" s="90">
        <v>0.28000000000000003</v>
      </c>
      <c r="AD109" s="90">
        <v>0.39</v>
      </c>
      <c r="AE109" s="90">
        <v>0.52</v>
      </c>
      <c r="AF109" s="90">
        <v>0.52</v>
      </c>
      <c r="AG109" s="90">
        <v>0.73</v>
      </c>
      <c r="AH109" s="90">
        <v>3.1</v>
      </c>
      <c r="AI109" s="90">
        <v>4.1500000000000004</v>
      </c>
      <c r="AJ109" s="90">
        <v>6.05</v>
      </c>
      <c r="AK109" s="90">
        <v>9.99</v>
      </c>
      <c r="AL109" s="90" t="s">
        <v>22</v>
      </c>
      <c r="AM109" s="83">
        <f t="shared" si="56"/>
        <v>1.7500000000000002</v>
      </c>
      <c r="AN109" s="83">
        <f t="shared" si="57"/>
        <v>4.5625</v>
      </c>
      <c r="AO109" s="83">
        <f t="shared" si="58"/>
        <v>19.375</v>
      </c>
      <c r="AP109" s="83">
        <f t="shared" si="59"/>
        <v>25.9375</v>
      </c>
      <c r="AQ109" s="83">
        <f t="shared" si="60"/>
        <v>37.8125</v>
      </c>
      <c r="AR109" s="83">
        <f t="shared" si="61"/>
        <v>62.4375</v>
      </c>
      <c r="AS109" s="118" t="s">
        <v>22</v>
      </c>
      <c r="AT109" s="1"/>
      <c r="AU109" s="539" t="s">
        <v>25</v>
      </c>
      <c r="AV109" s="164">
        <v>46041</v>
      </c>
      <c r="AW109" s="211">
        <v>1217</v>
      </c>
      <c r="AX109" s="90">
        <v>0.15</v>
      </c>
      <c r="AY109" s="90">
        <v>0.18</v>
      </c>
      <c r="AZ109" s="90">
        <v>0.18</v>
      </c>
      <c r="BA109" s="90">
        <v>0.18</v>
      </c>
      <c r="BB109" s="90">
        <v>0.21</v>
      </c>
      <c r="BC109" s="90">
        <v>0.21</v>
      </c>
      <c r="BD109" s="90">
        <v>0.24</v>
      </c>
      <c r="BE109" s="90">
        <v>0.28000000000000003</v>
      </c>
      <c r="BF109" s="90">
        <v>0.34</v>
      </c>
      <c r="BG109" s="90">
        <v>0.47</v>
      </c>
      <c r="BH109" s="90">
        <v>0.61</v>
      </c>
      <c r="BI109" s="90" t="s">
        <v>22</v>
      </c>
      <c r="BJ109" s="83">
        <f t="shared" si="63"/>
        <v>1.2</v>
      </c>
      <c r="BK109" s="83">
        <f t="shared" si="64"/>
        <v>1.6</v>
      </c>
      <c r="BL109" s="83">
        <f t="shared" si="65"/>
        <v>1.8666666666666669</v>
      </c>
      <c r="BM109" s="83">
        <f t="shared" si="66"/>
        <v>2.2666666666666671</v>
      </c>
      <c r="BN109" s="83">
        <f t="shared" si="67"/>
        <v>3.1333333333333333</v>
      </c>
      <c r="BO109" s="83">
        <f t="shared" si="68"/>
        <v>4.0666666666666664</v>
      </c>
      <c r="BP109" s="429" t="s">
        <v>22</v>
      </c>
    </row>
    <row r="110" spans="1:68" ht="14.25" customHeight="1">
      <c r="A110" s="513"/>
      <c r="B110" s="51">
        <v>46042</v>
      </c>
      <c r="C110" s="184">
        <f t="shared" si="85"/>
        <v>2340</v>
      </c>
      <c r="D110" s="89">
        <f t="shared" si="73"/>
        <v>0.16871794871794873</v>
      </c>
      <c r="E110" s="89">
        <f t="shared" si="74"/>
        <v>0.28512820512820514</v>
      </c>
      <c r="F110" s="89">
        <f t="shared" si="75"/>
        <v>0.30108974358974355</v>
      </c>
      <c r="G110" s="89">
        <f t="shared" si="76"/>
        <v>0.31108974358974362</v>
      </c>
      <c r="H110" s="89">
        <f t="shared" si="77"/>
        <v>0.32705128205128203</v>
      </c>
      <c r="I110" s="89">
        <f t="shared" si="78"/>
        <v>0.39025641025641028</v>
      </c>
      <c r="J110" s="89">
        <f t="shared" si="79"/>
        <v>0.43814102564102564</v>
      </c>
      <c r="K110" s="89">
        <f t="shared" si="80"/>
        <v>0.45410256410256417</v>
      </c>
      <c r="L110" s="89">
        <f t="shared" si="81"/>
        <v>0.45410256410256417</v>
      </c>
      <c r="M110" s="89">
        <f t="shared" si="82"/>
        <v>0.45942307692307699</v>
      </c>
      <c r="N110" s="89">
        <f t="shared" si="83"/>
        <v>0.47006410256410258</v>
      </c>
      <c r="O110" s="90" t="s">
        <v>22</v>
      </c>
      <c r="P110" s="83">
        <f t="shared" si="51"/>
        <v>1.7845744680851059</v>
      </c>
      <c r="Q110" s="83">
        <f t="shared" si="52"/>
        <v>2.5968844984802431</v>
      </c>
      <c r="R110" s="83">
        <f t="shared" si="53"/>
        <v>2.6914893617021276</v>
      </c>
      <c r="S110" s="83">
        <f t="shared" si="54"/>
        <v>2.6914893617021276</v>
      </c>
      <c r="T110" s="83">
        <f t="shared" si="55"/>
        <v>2.7230243161094227</v>
      </c>
      <c r="U110" s="83">
        <f t="shared" si="84"/>
        <v>2.7860942249240122</v>
      </c>
      <c r="V110" s="118" t="s">
        <v>22</v>
      </c>
      <c r="W110" s="1"/>
      <c r="X110" s="513"/>
      <c r="Y110" s="88">
        <v>46042</v>
      </c>
      <c r="Z110" s="71">
        <v>1245</v>
      </c>
      <c r="AA110" s="90">
        <v>0.15</v>
      </c>
      <c r="AB110" s="90">
        <v>0.36</v>
      </c>
      <c r="AC110" s="90">
        <v>0.39</v>
      </c>
      <c r="AD110" s="90">
        <v>0.4</v>
      </c>
      <c r="AE110" s="90">
        <v>0.43</v>
      </c>
      <c r="AF110" s="90">
        <v>0.54</v>
      </c>
      <c r="AG110" s="90">
        <v>0.63</v>
      </c>
      <c r="AH110" s="90">
        <v>0.66</v>
      </c>
      <c r="AI110" s="90">
        <v>0.66</v>
      </c>
      <c r="AJ110" s="90">
        <v>0.67</v>
      </c>
      <c r="AK110" s="90">
        <v>0.69</v>
      </c>
      <c r="AL110" s="90" t="s">
        <v>22</v>
      </c>
      <c r="AM110" s="83">
        <f t="shared" si="56"/>
        <v>2.6</v>
      </c>
      <c r="AN110" s="83">
        <f t="shared" si="57"/>
        <v>4.2</v>
      </c>
      <c r="AO110" s="83">
        <f t="shared" si="58"/>
        <v>4.4000000000000004</v>
      </c>
      <c r="AP110" s="83">
        <f t="shared" si="59"/>
        <v>4.4000000000000004</v>
      </c>
      <c r="AQ110" s="83">
        <f t="shared" si="60"/>
        <v>4.4666666666666668</v>
      </c>
      <c r="AR110" s="83">
        <f t="shared" si="61"/>
        <v>4.5999999999999996</v>
      </c>
      <c r="AS110" s="118" t="s">
        <v>22</v>
      </c>
      <c r="AT110" s="1"/>
      <c r="AU110" s="513"/>
      <c r="AV110" s="164">
        <v>46042</v>
      </c>
      <c r="AW110" s="211">
        <v>1095</v>
      </c>
      <c r="AX110" s="90">
        <v>0.19</v>
      </c>
      <c r="AY110" s="90">
        <v>0.2</v>
      </c>
      <c r="AZ110" s="90">
        <v>0.2</v>
      </c>
      <c r="BA110" s="90">
        <v>0.21</v>
      </c>
      <c r="BB110" s="90">
        <v>0.21</v>
      </c>
      <c r="BC110" s="90">
        <v>0.22</v>
      </c>
      <c r="BD110" s="90">
        <v>0.22</v>
      </c>
      <c r="BE110" s="90">
        <v>0.22</v>
      </c>
      <c r="BF110" s="90">
        <v>0.22</v>
      </c>
      <c r="BG110" s="90">
        <v>0.22</v>
      </c>
      <c r="BH110" s="90">
        <v>0.22</v>
      </c>
      <c r="BI110" s="90" t="s">
        <v>22</v>
      </c>
      <c r="BJ110" s="83">
        <f t="shared" si="63"/>
        <v>1.0526315789473684</v>
      </c>
      <c r="BK110" s="83">
        <f t="shared" si="64"/>
        <v>1.1578947368421053</v>
      </c>
      <c r="BL110" s="83">
        <f t="shared" si="65"/>
        <v>1.1578947368421053</v>
      </c>
      <c r="BM110" s="83">
        <f t="shared" si="66"/>
        <v>1.1578947368421053</v>
      </c>
      <c r="BN110" s="83">
        <f t="shared" si="67"/>
        <v>1.1578947368421053</v>
      </c>
      <c r="BO110" s="83">
        <f t="shared" si="68"/>
        <v>1.1578947368421053</v>
      </c>
      <c r="BP110" s="429" t="s">
        <v>22</v>
      </c>
    </row>
    <row r="111" spans="1:68" ht="14.25" customHeight="1">
      <c r="A111" s="513"/>
      <c r="B111" s="51">
        <v>46043</v>
      </c>
      <c r="C111" s="184">
        <f t="shared" si="85"/>
        <v>1853</v>
      </c>
      <c r="D111" s="89">
        <f t="shared" si="73"/>
        <v>0.207323259579061</v>
      </c>
      <c r="E111" s="89">
        <f t="shared" si="74"/>
        <v>0.67573664328116556</v>
      </c>
      <c r="F111" s="89">
        <f t="shared" si="75"/>
        <v>1.377209929843497</v>
      </c>
      <c r="G111" s="89">
        <f t="shared" si="76"/>
        <v>1.5780895844576364</v>
      </c>
      <c r="H111" s="89">
        <f t="shared" si="77"/>
        <v>2.4455477603885591</v>
      </c>
      <c r="I111" s="89">
        <f t="shared" si="78"/>
        <v>2.6617431192660552</v>
      </c>
      <c r="J111" s="89">
        <f t="shared" si="79"/>
        <v>2.6617431192660552</v>
      </c>
      <c r="K111" s="89">
        <f t="shared" si="80"/>
        <v>4.0224716675661094</v>
      </c>
      <c r="L111" s="89">
        <f t="shared" si="81"/>
        <v>4.8205990286022669</v>
      </c>
      <c r="M111" s="89">
        <f t="shared" si="82"/>
        <v>6.5317107393416087</v>
      </c>
      <c r="N111" s="89">
        <f t="shared" si="83"/>
        <v>8.1526119805720452</v>
      </c>
      <c r="O111" s="90" t="s">
        <v>22</v>
      </c>
      <c r="P111" s="83">
        <f t="shared" si="51"/>
        <v>6.6428143790509404</v>
      </c>
      <c r="Q111" s="83">
        <f t="shared" si="52"/>
        <v>12.838613113985994</v>
      </c>
      <c r="R111" s="83">
        <f t="shared" si="53"/>
        <v>19.401931436603586</v>
      </c>
      <c r="S111" s="83">
        <f t="shared" si="54"/>
        <v>23.251607361324414</v>
      </c>
      <c r="T111" s="83">
        <f t="shared" si="55"/>
        <v>31.504958742223494</v>
      </c>
      <c r="U111" s="83">
        <f t="shared" si="84"/>
        <v>39.32319025431449</v>
      </c>
      <c r="V111" s="118" t="s">
        <v>22</v>
      </c>
      <c r="W111" s="1"/>
      <c r="X111" s="513"/>
      <c r="Y111" s="88">
        <v>46043</v>
      </c>
      <c r="Z111" s="71">
        <v>1194</v>
      </c>
      <c r="AA111" s="90">
        <v>0.25</v>
      </c>
      <c r="AB111" s="90">
        <v>0.85</v>
      </c>
      <c r="AC111" s="90">
        <v>1.9</v>
      </c>
      <c r="AD111" s="90">
        <v>2.14</v>
      </c>
      <c r="AE111" s="90">
        <v>3.42</v>
      </c>
      <c r="AF111" s="90">
        <v>3.75</v>
      </c>
      <c r="AG111" s="90">
        <v>3.75</v>
      </c>
      <c r="AH111" s="90">
        <v>5.79</v>
      </c>
      <c r="AI111" s="90">
        <v>6.99</v>
      </c>
      <c r="AJ111" s="90">
        <v>9.64</v>
      </c>
      <c r="AK111" s="90">
        <v>12.15</v>
      </c>
      <c r="AL111" s="90" t="s">
        <v>22</v>
      </c>
      <c r="AM111" s="83">
        <f t="shared" si="56"/>
        <v>7.6</v>
      </c>
      <c r="AN111" s="83">
        <f t="shared" si="57"/>
        <v>15</v>
      </c>
      <c r="AO111" s="83">
        <f t="shared" si="58"/>
        <v>23.16</v>
      </c>
      <c r="AP111" s="83">
        <f t="shared" si="59"/>
        <v>27.96</v>
      </c>
      <c r="AQ111" s="83">
        <f t="shared" si="60"/>
        <v>38.56</v>
      </c>
      <c r="AR111" s="83">
        <f t="shared" si="61"/>
        <v>48.6</v>
      </c>
      <c r="AS111" s="118" t="s">
        <v>22</v>
      </c>
      <c r="AT111" s="1"/>
      <c r="AU111" s="513"/>
      <c r="AV111" s="164">
        <v>46043</v>
      </c>
      <c r="AW111" s="211">
        <v>659</v>
      </c>
      <c r="AX111" s="90">
        <v>0.13</v>
      </c>
      <c r="AY111" s="90">
        <v>0.36</v>
      </c>
      <c r="AZ111" s="90">
        <v>0.43</v>
      </c>
      <c r="BA111" s="90">
        <v>0.56000000000000005</v>
      </c>
      <c r="BB111" s="90">
        <v>0.68</v>
      </c>
      <c r="BC111" s="90">
        <v>0.69</v>
      </c>
      <c r="BD111" s="90">
        <v>0.69</v>
      </c>
      <c r="BE111" s="90">
        <v>0.82</v>
      </c>
      <c r="BF111" s="90">
        <v>0.89</v>
      </c>
      <c r="BG111" s="90">
        <v>0.9</v>
      </c>
      <c r="BH111" s="90">
        <v>0.91</v>
      </c>
      <c r="BI111" s="90" t="s">
        <v>22</v>
      </c>
      <c r="BJ111" s="83">
        <f t="shared" si="63"/>
        <v>3.3076923076923075</v>
      </c>
      <c r="BK111" s="83">
        <f t="shared" si="64"/>
        <v>5.3076923076923075</v>
      </c>
      <c r="BL111" s="83">
        <f t="shared" si="65"/>
        <v>6.3076923076923075</v>
      </c>
      <c r="BM111" s="83">
        <f t="shared" si="66"/>
        <v>6.8461538461538458</v>
      </c>
      <c r="BN111" s="83">
        <f t="shared" si="67"/>
        <v>6.9230769230769234</v>
      </c>
      <c r="BO111" s="83">
        <f t="shared" si="68"/>
        <v>7</v>
      </c>
      <c r="BP111" s="429" t="s">
        <v>22</v>
      </c>
    </row>
    <row r="112" spans="1:68" ht="14.25" customHeight="1">
      <c r="A112" s="615" t="s">
        <v>26</v>
      </c>
      <c r="B112" s="58">
        <v>46044</v>
      </c>
      <c r="C112" s="166">
        <f t="shared" si="85"/>
        <v>2248</v>
      </c>
      <c r="D112" s="89">
        <f t="shared" si="73"/>
        <v>0.47898131672597866</v>
      </c>
      <c r="E112" s="89">
        <f t="shared" si="74"/>
        <v>1.3585854092526692</v>
      </c>
      <c r="F112" s="89">
        <f t="shared" si="75"/>
        <v>1.5496218861209963</v>
      </c>
      <c r="G112" s="89">
        <f t="shared" si="76"/>
        <v>2.0164101423487546</v>
      </c>
      <c r="H112" s="89">
        <f t="shared" si="77"/>
        <v>2.2768594306049823</v>
      </c>
      <c r="I112" s="89">
        <f t="shared" si="78"/>
        <v>2.3699510676156588</v>
      </c>
      <c r="J112" s="89">
        <f t="shared" si="79"/>
        <v>2.5370151245551602</v>
      </c>
      <c r="K112" s="89">
        <f t="shared" si="80"/>
        <v>3.4948398576512454</v>
      </c>
      <c r="L112" s="89">
        <f t="shared" si="81"/>
        <v>4.1277935943060493</v>
      </c>
      <c r="M112" s="89">
        <f t="shared" si="82"/>
        <v>5.9577446619217085</v>
      </c>
      <c r="N112" s="89">
        <f t="shared" si="83"/>
        <v>7.3250177935943057</v>
      </c>
      <c r="O112" s="90" t="s">
        <v>22</v>
      </c>
      <c r="P112" s="83">
        <f t="shared" si="51"/>
        <v>3.2352449500812628</v>
      </c>
      <c r="Q112" s="83">
        <f t="shared" si="52"/>
        <v>5.2966891107499423</v>
      </c>
      <c r="R112" s="83">
        <f t="shared" si="53"/>
        <v>7.2964012073368929</v>
      </c>
      <c r="S112" s="83">
        <f t="shared" si="54"/>
        <v>8.6178592988158798</v>
      </c>
      <c r="T112" s="83">
        <f t="shared" si="55"/>
        <v>12.438365451590435</v>
      </c>
      <c r="U112" s="83">
        <f t="shared" si="84"/>
        <v>15.29290921755282</v>
      </c>
      <c r="V112" s="118" t="s">
        <v>22</v>
      </c>
      <c r="W112" s="1"/>
      <c r="X112" s="550" t="s">
        <v>26</v>
      </c>
      <c r="Y112" s="58">
        <v>46044</v>
      </c>
      <c r="Z112" s="60">
        <v>1091</v>
      </c>
      <c r="AA112" s="90">
        <v>0.69</v>
      </c>
      <c r="AB112" s="90">
        <v>2.46</v>
      </c>
      <c r="AC112" s="90">
        <v>2.79</v>
      </c>
      <c r="AD112" s="90">
        <v>3.72</v>
      </c>
      <c r="AE112" s="90">
        <v>4.1399999999999997</v>
      </c>
      <c r="AF112" s="90">
        <v>4.3</v>
      </c>
      <c r="AG112" s="90">
        <v>4.57</v>
      </c>
      <c r="AH112" s="90">
        <v>6.13</v>
      </c>
      <c r="AI112" s="90">
        <v>7.01</v>
      </c>
      <c r="AJ112" s="90">
        <v>10.77</v>
      </c>
      <c r="AK112" s="90">
        <v>13.46</v>
      </c>
      <c r="AL112" s="90" t="s">
        <v>22</v>
      </c>
      <c r="AM112" s="83">
        <f t="shared" si="56"/>
        <v>4.0434782608695654</v>
      </c>
      <c r="AN112" s="83">
        <f t="shared" si="57"/>
        <v>6.6231884057971024</v>
      </c>
      <c r="AO112" s="83">
        <f t="shared" si="58"/>
        <v>8.884057971014494</v>
      </c>
      <c r="AP112" s="83">
        <f t="shared" si="59"/>
        <v>10.159420289855072</v>
      </c>
      <c r="AQ112" s="83">
        <f t="shared" si="60"/>
        <v>15.608695652173914</v>
      </c>
      <c r="AR112" s="83">
        <f t="shared" si="61"/>
        <v>19.507246376811597</v>
      </c>
      <c r="AS112" s="118" t="s">
        <v>22</v>
      </c>
      <c r="AT112" s="1"/>
      <c r="AU112" s="540" t="s">
        <v>26</v>
      </c>
      <c r="AV112" s="207">
        <v>46044</v>
      </c>
      <c r="AW112" s="212">
        <v>1157</v>
      </c>
      <c r="AX112" s="90">
        <v>0.28000000000000003</v>
      </c>
      <c r="AY112" s="90">
        <v>0.32</v>
      </c>
      <c r="AZ112" s="90">
        <v>0.38</v>
      </c>
      <c r="BA112" s="90">
        <v>0.41</v>
      </c>
      <c r="BB112" s="90">
        <v>0.52</v>
      </c>
      <c r="BC112" s="90">
        <v>0.55000000000000004</v>
      </c>
      <c r="BD112" s="90">
        <v>0.62</v>
      </c>
      <c r="BE112" s="90">
        <v>1.01</v>
      </c>
      <c r="BF112" s="90">
        <v>1.41</v>
      </c>
      <c r="BG112" s="90">
        <v>1.42</v>
      </c>
      <c r="BH112" s="90">
        <v>1.54</v>
      </c>
      <c r="BI112" s="90" t="s">
        <v>22</v>
      </c>
      <c r="BJ112" s="83">
        <f t="shared" si="63"/>
        <v>1.357142857142857</v>
      </c>
      <c r="BK112" s="83">
        <f t="shared" si="64"/>
        <v>2.214285714285714</v>
      </c>
      <c r="BL112" s="83">
        <f t="shared" si="65"/>
        <v>3.6071428571428568</v>
      </c>
      <c r="BM112" s="83">
        <f t="shared" si="66"/>
        <v>5.0357142857142847</v>
      </c>
      <c r="BN112" s="83">
        <f t="shared" si="67"/>
        <v>5.0714285714285703</v>
      </c>
      <c r="BO112" s="83">
        <f t="shared" si="68"/>
        <v>5.5</v>
      </c>
      <c r="BP112" s="429" t="s">
        <v>22</v>
      </c>
    </row>
    <row r="113" spans="1:68" ht="14.25" customHeight="1">
      <c r="A113" s="504"/>
      <c r="B113" s="58">
        <v>46045</v>
      </c>
      <c r="C113" s="166">
        <f t="shared" si="85"/>
        <v>2196</v>
      </c>
      <c r="D113" s="89">
        <f t="shared" si="73"/>
        <v>1.1131967213114753</v>
      </c>
      <c r="E113" s="89">
        <f t="shared" si="74"/>
        <v>1.8241803278688524</v>
      </c>
      <c r="F113" s="89">
        <f t="shared" si="75"/>
        <v>2.3444262295081968</v>
      </c>
      <c r="G113" s="89">
        <f t="shared" si="76"/>
        <v>2.994754098360656</v>
      </c>
      <c r="H113" s="89">
        <f t="shared" si="77"/>
        <v>3.4643442622950817</v>
      </c>
      <c r="I113" s="89">
        <f t="shared" si="78"/>
        <v>4.2492622950819667</v>
      </c>
      <c r="J113" s="89">
        <f t="shared" si="79"/>
        <v>4.3060655737704909</v>
      </c>
      <c r="K113" s="89">
        <f t="shared" si="80"/>
        <v>5.3530327868852465</v>
      </c>
      <c r="L113" s="89">
        <f t="shared" si="81"/>
        <v>7.7436885245901639</v>
      </c>
      <c r="M113" s="89">
        <f t="shared" si="82"/>
        <v>10.695491803278687</v>
      </c>
      <c r="N113" s="89">
        <f t="shared" si="83"/>
        <v>13.224508196721313</v>
      </c>
      <c r="O113" s="90" t="s">
        <v>22</v>
      </c>
      <c r="P113" s="83">
        <f t="shared" si="51"/>
        <v>2.1060304837640826</v>
      </c>
      <c r="Q113" s="83">
        <f t="shared" si="52"/>
        <v>3.8681982180988141</v>
      </c>
      <c r="R113" s="83">
        <f t="shared" si="53"/>
        <v>4.8087033355423028</v>
      </c>
      <c r="S113" s="83">
        <f t="shared" si="54"/>
        <v>6.9562624254473171</v>
      </c>
      <c r="T113" s="83">
        <f t="shared" si="55"/>
        <v>9.6079081069140706</v>
      </c>
      <c r="U113" s="83">
        <f t="shared" si="84"/>
        <v>11.879758486120318</v>
      </c>
      <c r="V113" s="118" t="s">
        <v>22</v>
      </c>
      <c r="W113" s="1"/>
      <c r="X113" s="504"/>
      <c r="Y113" s="58">
        <v>46045</v>
      </c>
      <c r="Z113" s="60">
        <v>1134</v>
      </c>
      <c r="AA113" s="90">
        <v>1.65</v>
      </c>
      <c r="AB113" s="90">
        <v>2.98</v>
      </c>
      <c r="AC113" s="90">
        <v>3.95</v>
      </c>
      <c r="AD113" s="90">
        <v>5.2</v>
      </c>
      <c r="AE113" s="90">
        <v>6.1</v>
      </c>
      <c r="AF113" s="90">
        <v>7.62</v>
      </c>
      <c r="AG113" s="90">
        <v>7.73</v>
      </c>
      <c r="AH113" s="90">
        <v>9.7200000000000006</v>
      </c>
      <c r="AI113" s="90">
        <v>13.9</v>
      </c>
      <c r="AJ113" s="90">
        <v>19.559999999999999</v>
      </c>
      <c r="AK113" s="90">
        <v>24.42</v>
      </c>
      <c r="AL113" s="90" t="s">
        <v>22</v>
      </c>
      <c r="AM113" s="83">
        <f t="shared" si="56"/>
        <v>2.393939393939394</v>
      </c>
      <c r="AN113" s="83">
        <f t="shared" si="57"/>
        <v>4.6848484848484855</v>
      </c>
      <c r="AO113" s="83">
        <f t="shared" si="58"/>
        <v>5.8909090909090915</v>
      </c>
      <c r="AP113" s="83">
        <f t="shared" si="59"/>
        <v>8.4242424242424256</v>
      </c>
      <c r="AQ113" s="83">
        <f t="shared" si="60"/>
        <v>11.854545454545454</v>
      </c>
      <c r="AR113" s="83">
        <f t="shared" si="61"/>
        <v>14.800000000000002</v>
      </c>
      <c r="AS113" s="118" t="s">
        <v>22</v>
      </c>
      <c r="AT113" s="1"/>
      <c r="AU113" s="504"/>
      <c r="AV113" s="207">
        <v>46045</v>
      </c>
      <c r="AW113" s="212">
        <v>1062</v>
      </c>
      <c r="AX113" s="90">
        <v>0.54</v>
      </c>
      <c r="AY113" s="90">
        <v>0.59</v>
      </c>
      <c r="AZ113" s="90">
        <v>0.63</v>
      </c>
      <c r="BA113" s="90">
        <v>0.64</v>
      </c>
      <c r="BB113" s="90">
        <v>0.65</v>
      </c>
      <c r="BC113" s="90">
        <v>0.65</v>
      </c>
      <c r="BD113" s="90">
        <v>0.65</v>
      </c>
      <c r="BE113" s="90">
        <v>0.69</v>
      </c>
      <c r="BF113" s="90">
        <v>1.17</v>
      </c>
      <c r="BG113" s="90">
        <v>1.23</v>
      </c>
      <c r="BH113" s="90">
        <v>1.27</v>
      </c>
      <c r="BI113" s="90" t="s">
        <v>22</v>
      </c>
      <c r="BJ113" s="83">
        <f t="shared" si="63"/>
        <v>1.1666666666666665</v>
      </c>
      <c r="BK113" s="83">
        <f t="shared" si="64"/>
        <v>1.2037037037037037</v>
      </c>
      <c r="BL113" s="83">
        <f t="shared" si="65"/>
        <v>1.2777777777777777</v>
      </c>
      <c r="BM113" s="83">
        <f t="shared" si="66"/>
        <v>2.1666666666666665</v>
      </c>
      <c r="BN113" s="83">
        <f t="shared" si="67"/>
        <v>2.2777777777777777</v>
      </c>
      <c r="BO113" s="83">
        <f t="shared" si="68"/>
        <v>2.3518518518518516</v>
      </c>
      <c r="BP113" s="429" t="s">
        <v>22</v>
      </c>
    </row>
    <row r="114" spans="1:68" ht="14.25" customHeight="1">
      <c r="A114" s="504"/>
      <c r="B114" s="58">
        <v>46046</v>
      </c>
      <c r="C114" s="166">
        <f t="shared" si="85"/>
        <v>2317</v>
      </c>
      <c r="D114" s="89">
        <f t="shared" si="73"/>
        <v>0.26856279671989641</v>
      </c>
      <c r="E114" s="89">
        <f t="shared" si="74"/>
        <v>0.41585239533880014</v>
      </c>
      <c r="F114" s="89">
        <f t="shared" si="75"/>
        <v>0.44254639620198538</v>
      </c>
      <c r="G114" s="89">
        <f t="shared" si="76"/>
        <v>0.47390159689253342</v>
      </c>
      <c r="H114" s="89">
        <f t="shared" si="77"/>
        <v>0.47390159689253342</v>
      </c>
      <c r="I114" s="89">
        <f t="shared" si="78"/>
        <v>0.47856279671989638</v>
      </c>
      <c r="J114" s="89">
        <f t="shared" si="79"/>
        <v>0.48390159689253348</v>
      </c>
      <c r="K114" s="89">
        <f t="shared" si="80"/>
        <v>0.53585239533880025</v>
      </c>
      <c r="L114" s="89">
        <f t="shared" si="81"/>
        <v>0.54983599482088896</v>
      </c>
      <c r="M114" s="89">
        <f t="shared" si="82"/>
        <v>0.60577039274924471</v>
      </c>
      <c r="N114" s="89">
        <f t="shared" si="83"/>
        <v>0.61975399223133354</v>
      </c>
      <c r="O114" s="90" t="s">
        <v>22</v>
      </c>
      <c r="P114" s="83">
        <f t="shared" si="51"/>
        <v>1.6478320959084629</v>
      </c>
      <c r="Q114" s="83">
        <f t="shared" si="52"/>
        <v>1.8018191752643591</v>
      </c>
      <c r="R114" s="83">
        <f t="shared" si="53"/>
        <v>1.9952592164047187</v>
      </c>
      <c r="S114" s="83">
        <f t="shared" si="54"/>
        <v>2.0473274836884898</v>
      </c>
      <c r="T114" s="83">
        <f t="shared" si="55"/>
        <v>2.2556005528235787</v>
      </c>
      <c r="U114" s="83">
        <f t="shared" si="84"/>
        <v>2.3076688201073505</v>
      </c>
      <c r="V114" s="118" t="s">
        <v>22</v>
      </c>
      <c r="W114" s="1"/>
      <c r="X114" s="504"/>
      <c r="Y114" s="58">
        <v>46046</v>
      </c>
      <c r="Z114" s="60">
        <v>1237</v>
      </c>
      <c r="AA114" s="90">
        <v>0.18</v>
      </c>
      <c r="AB114" s="90">
        <v>0.28999999999999998</v>
      </c>
      <c r="AC114" s="90">
        <v>0.34</v>
      </c>
      <c r="AD114" s="90">
        <v>0.39</v>
      </c>
      <c r="AE114" s="90">
        <v>0.39</v>
      </c>
      <c r="AF114" s="90">
        <v>0.39</v>
      </c>
      <c r="AG114" s="90">
        <v>0.4</v>
      </c>
      <c r="AH114" s="90">
        <v>0.41</v>
      </c>
      <c r="AI114" s="90">
        <v>0.41</v>
      </c>
      <c r="AJ114" s="90">
        <v>0.41</v>
      </c>
      <c r="AK114" s="90">
        <v>0.41</v>
      </c>
      <c r="AL114" s="90" t="s">
        <v>22</v>
      </c>
      <c r="AM114" s="83">
        <f t="shared" si="56"/>
        <v>1.8888888888888891</v>
      </c>
      <c r="AN114" s="83">
        <f t="shared" si="57"/>
        <v>2.2222222222222223</v>
      </c>
      <c r="AO114" s="83">
        <f t="shared" si="58"/>
        <v>2.2777777777777777</v>
      </c>
      <c r="AP114" s="83">
        <f t="shared" si="59"/>
        <v>2.2777777777777777</v>
      </c>
      <c r="AQ114" s="83">
        <f t="shared" si="60"/>
        <v>2.2777777777777777</v>
      </c>
      <c r="AR114" s="83">
        <f t="shared" si="61"/>
        <v>2.2777777777777777</v>
      </c>
      <c r="AS114" s="118" t="s">
        <v>22</v>
      </c>
      <c r="AT114" s="1"/>
      <c r="AU114" s="504"/>
      <c r="AV114" s="207">
        <v>46046</v>
      </c>
      <c r="AW114" s="212">
        <v>1080</v>
      </c>
      <c r="AX114" s="90">
        <v>0.37</v>
      </c>
      <c r="AY114" s="90">
        <v>0.56000000000000005</v>
      </c>
      <c r="AZ114" s="90">
        <v>0.56000000000000005</v>
      </c>
      <c r="BA114" s="90">
        <v>0.56999999999999995</v>
      </c>
      <c r="BB114" s="90">
        <v>0.56999999999999995</v>
      </c>
      <c r="BC114" s="90">
        <v>0.57999999999999996</v>
      </c>
      <c r="BD114" s="90">
        <v>0.57999999999999996</v>
      </c>
      <c r="BE114" s="90">
        <v>0.68</v>
      </c>
      <c r="BF114" s="90">
        <v>0.71</v>
      </c>
      <c r="BG114" s="90">
        <v>0.83</v>
      </c>
      <c r="BH114" s="90">
        <v>0.86</v>
      </c>
      <c r="BI114" s="90" t="s">
        <v>22</v>
      </c>
      <c r="BJ114" s="83">
        <f t="shared" si="63"/>
        <v>1.5135135135135136</v>
      </c>
      <c r="BK114" s="83">
        <f t="shared" si="64"/>
        <v>1.5675675675675675</v>
      </c>
      <c r="BL114" s="83">
        <f t="shared" si="65"/>
        <v>1.8378378378378379</v>
      </c>
      <c r="BM114" s="83">
        <f t="shared" si="66"/>
        <v>1.9189189189189189</v>
      </c>
      <c r="BN114" s="83">
        <f t="shared" si="67"/>
        <v>2.243243243243243</v>
      </c>
      <c r="BO114" s="83">
        <f t="shared" si="68"/>
        <v>2.3243243243243241</v>
      </c>
      <c r="BP114" s="429" t="s">
        <v>22</v>
      </c>
    </row>
    <row r="115" spans="1:68" ht="14.25" customHeight="1">
      <c r="B115" s="23">
        <v>46047</v>
      </c>
      <c r="C115" s="178">
        <f t="shared" si="85"/>
        <v>2369</v>
      </c>
      <c r="D115" s="89">
        <f t="shared" si="73"/>
        <v>0.35947235120303922</v>
      </c>
      <c r="E115" s="89">
        <f t="shared" si="74"/>
        <v>0.53930350358801182</v>
      </c>
      <c r="F115" s="89">
        <f t="shared" si="75"/>
        <v>0.58921907978049815</v>
      </c>
      <c r="G115" s="89">
        <f t="shared" si="76"/>
        <v>0.67403967918953134</v>
      </c>
      <c r="H115" s="89">
        <f t="shared" si="77"/>
        <v>0.72900802026171374</v>
      </c>
      <c r="I115" s="89">
        <f t="shared" si="78"/>
        <v>1.2699155761924863</v>
      </c>
      <c r="J115" s="89">
        <f t="shared" si="79"/>
        <v>1.3400633178556354</v>
      </c>
      <c r="K115" s="89">
        <f t="shared" si="80"/>
        <v>1.7497678345293373</v>
      </c>
      <c r="L115" s="89">
        <f t="shared" si="81"/>
        <v>1.8949683410721825</v>
      </c>
      <c r="M115" s="89">
        <f t="shared" si="82"/>
        <v>2.095242718446602</v>
      </c>
      <c r="N115" s="89">
        <f t="shared" si="83"/>
        <v>2.2204643309413252</v>
      </c>
      <c r="O115" s="90" t="s">
        <v>22</v>
      </c>
      <c r="P115" s="83">
        <f t="shared" si="51"/>
        <v>1.6391221127537903</v>
      </c>
      <c r="Q115" s="83">
        <f t="shared" si="52"/>
        <v>3.7278619993189217</v>
      </c>
      <c r="R115" s="83">
        <f t="shared" si="53"/>
        <v>4.8676006059253867</v>
      </c>
      <c r="S115" s="83">
        <f t="shared" si="54"/>
        <v>5.2715273781984298</v>
      </c>
      <c r="T115" s="83">
        <f t="shared" si="55"/>
        <v>5.8286616799163928</v>
      </c>
      <c r="U115" s="83">
        <f t="shared" si="84"/>
        <v>6.1770100635282237</v>
      </c>
      <c r="V115" s="118" t="s">
        <v>22</v>
      </c>
      <c r="W115" s="1"/>
      <c r="Y115" s="87">
        <v>46047</v>
      </c>
      <c r="Z115" s="25">
        <v>1187</v>
      </c>
      <c r="AA115" s="90">
        <v>0.11</v>
      </c>
      <c r="AB115" s="90">
        <v>0.21</v>
      </c>
      <c r="AC115" s="90">
        <v>0.22</v>
      </c>
      <c r="AD115" s="90">
        <v>0.22</v>
      </c>
      <c r="AE115" s="90">
        <v>0.26</v>
      </c>
      <c r="AF115" s="90">
        <v>1.23</v>
      </c>
      <c r="AG115" s="90">
        <v>1.37</v>
      </c>
      <c r="AH115" s="90">
        <v>1.64</v>
      </c>
      <c r="AI115" s="90">
        <v>1.88</v>
      </c>
      <c r="AJ115" s="90">
        <v>2.21</v>
      </c>
      <c r="AK115" s="90">
        <v>2.44</v>
      </c>
      <c r="AL115" s="90" t="s">
        <v>22</v>
      </c>
      <c r="AM115" s="83">
        <f t="shared" si="56"/>
        <v>2</v>
      </c>
      <c r="AN115" s="83">
        <f t="shared" si="57"/>
        <v>12.454545454545455</v>
      </c>
      <c r="AO115" s="83">
        <f t="shared" si="58"/>
        <v>14.909090909090908</v>
      </c>
      <c r="AP115" s="83">
        <f t="shared" si="59"/>
        <v>17.09090909090909</v>
      </c>
      <c r="AQ115" s="83">
        <f t="shared" si="60"/>
        <v>20.09090909090909</v>
      </c>
      <c r="AR115" s="83">
        <f t="shared" si="61"/>
        <v>22.18181818181818</v>
      </c>
      <c r="AS115" s="118" t="s">
        <v>22</v>
      </c>
      <c r="AT115" s="1"/>
      <c r="AV115" s="127">
        <v>46047</v>
      </c>
      <c r="AW115" s="154">
        <v>1182</v>
      </c>
      <c r="AX115" s="90">
        <v>0.61</v>
      </c>
      <c r="AY115" s="90">
        <v>0.87</v>
      </c>
      <c r="AZ115" s="90">
        <v>0.96</v>
      </c>
      <c r="BA115" s="90">
        <v>1.1299999999999999</v>
      </c>
      <c r="BB115" s="90">
        <v>1.2</v>
      </c>
      <c r="BC115" s="90">
        <v>1.31</v>
      </c>
      <c r="BD115" s="90">
        <v>1.31</v>
      </c>
      <c r="BE115" s="90">
        <v>1.86</v>
      </c>
      <c r="BF115" s="90">
        <v>1.91</v>
      </c>
      <c r="BG115" s="90">
        <v>1.98</v>
      </c>
      <c r="BH115" s="90">
        <v>2</v>
      </c>
      <c r="BI115" s="90" t="s">
        <v>22</v>
      </c>
      <c r="BJ115" s="83">
        <f t="shared" si="63"/>
        <v>1.5737704918032787</v>
      </c>
      <c r="BK115" s="83">
        <f t="shared" si="64"/>
        <v>2.1475409836065573</v>
      </c>
      <c r="BL115" s="83">
        <f t="shared" si="65"/>
        <v>3.0491803278688527</v>
      </c>
      <c r="BM115" s="83">
        <f t="shared" si="66"/>
        <v>3.1311475409836067</v>
      </c>
      <c r="BN115" s="83">
        <f t="shared" si="67"/>
        <v>3.2459016393442623</v>
      </c>
      <c r="BO115" s="83">
        <f t="shared" si="68"/>
        <v>3.278688524590164</v>
      </c>
      <c r="BP115" s="429" t="s">
        <v>22</v>
      </c>
    </row>
    <row r="116" spans="1:68" ht="14.25" customHeight="1">
      <c r="B116" s="23">
        <v>46048</v>
      </c>
      <c r="C116" s="178">
        <f t="shared" si="85"/>
        <v>2038</v>
      </c>
      <c r="D116" s="89">
        <f t="shared" ref="D116:D131" si="86">($Z116*AA116+$AW116*AX116)/$C116</f>
        <v>1.0054465161923454</v>
      </c>
      <c r="E116" s="89">
        <f t="shared" ref="E116:E131" si="87">($Z116*AB116+$AW116*AY116)/$C116</f>
        <v>1.2075662414131498</v>
      </c>
      <c r="F116" s="89">
        <f t="shared" ref="F116:F131" si="88">($Z116*AC116+$AW116*AZ116)/$C116</f>
        <v>1.2779293424926399</v>
      </c>
      <c r="G116" s="89">
        <f t="shared" ref="G116:G131" si="89">($Z116*AD116+$AW116*BA116)/$C116</f>
        <v>1.2958684985279687</v>
      </c>
      <c r="H116" s="89">
        <f t="shared" ref="H116:H131" si="90">($Z116*AE116+$AW116*BB116)/$C116</f>
        <v>1.4259273797841021</v>
      </c>
      <c r="I116" s="89">
        <f t="shared" ref="I116:I131" si="91">($Z116*AF116+$AW116*BC116)/$C116</f>
        <v>1.4573209028459273</v>
      </c>
      <c r="J116" s="89">
        <f t="shared" ref="J116:J131" si="92">($Z116*AG116+$AW116*BD116)/$C116</f>
        <v>1.8609519136408244</v>
      </c>
      <c r="K116" s="89">
        <f t="shared" ref="K116:K131" si="93">($Z116*AH116+$AW116*BE116)/$C116</f>
        <v>2.6588812561334647</v>
      </c>
      <c r="L116" s="89">
        <f t="shared" ref="L116:L131" si="94">($Z116*AI116+$AW116*BF116)/$C116</f>
        <v>3.2420314033366044</v>
      </c>
      <c r="M116" s="89">
        <f t="shared" ref="M116:M131" si="95">($Z116*AJ116+$AW116*BG116)/$C116</f>
        <v>3.3931207065750737</v>
      </c>
      <c r="N116" s="90" t="s">
        <v>22</v>
      </c>
      <c r="O116" s="90" t="s">
        <v>22</v>
      </c>
      <c r="P116" s="83">
        <f t="shared" si="51"/>
        <v>1.271006783465912</v>
      </c>
      <c r="Q116" s="83">
        <f t="shared" si="52"/>
        <v>1.8508711141476748</v>
      </c>
      <c r="R116" s="83">
        <f t="shared" si="53"/>
        <v>2.6444780635400913</v>
      </c>
      <c r="S116" s="83">
        <f t="shared" si="54"/>
        <v>3.2244692791957448</v>
      </c>
      <c r="T116" s="83">
        <f t="shared" si="55"/>
        <v>3.3747401298130888</v>
      </c>
      <c r="U116" s="119" t="s">
        <v>22</v>
      </c>
      <c r="V116" s="118" t="s">
        <v>22</v>
      </c>
      <c r="W116" s="1"/>
      <c r="Y116" s="87">
        <v>46048</v>
      </c>
      <c r="Z116" s="25">
        <v>1124</v>
      </c>
      <c r="AA116" s="90">
        <v>0.4</v>
      </c>
      <c r="AB116" s="90">
        <v>0.49</v>
      </c>
      <c r="AC116" s="90">
        <v>0.52</v>
      </c>
      <c r="AD116" s="90">
        <v>0.52</v>
      </c>
      <c r="AE116" s="90">
        <v>0.52</v>
      </c>
      <c r="AF116" s="90">
        <v>0.52</v>
      </c>
      <c r="AG116" s="90">
        <v>0.52</v>
      </c>
      <c r="AH116" s="90">
        <v>0.56000000000000005</v>
      </c>
      <c r="AI116" s="90">
        <v>1.04</v>
      </c>
      <c r="AJ116" s="90">
        <v>1.07</v>
      </c>
      <c r="AK116" s="90" t="s">
        <v>22</v>
      </c>
      <c r="AL116" s="90" t="s">
        <v>22</v>
      </c>
      <c r="AM116" s="83">
        <f t="shared" si="56"/>
        <v>1.3</v>
      </c>
      <c r="AN116" s="83">
        <f t="shared" si="57"/>
        <v>1.3</v>
      </c>
      <c r="AO116" s="83">
        <f t="shared" si="58"/>
        <v>1.4000000000000001</v>
      </c>
      <c r="AP116" s="83">
        <f t="shared" si="59"/>
        <v>2.6</v>
      </c>
      <c r="AQ116" s="83">
        <f t="shared" si="60"/>
        <v>2.6749999999999998</v>
      </c>
      <c r="AR116" s="119" t="s">
        <v>22</v>
      </c>
      <c r="AS116" s="118" t="s">
        <v>22</v>
      </c>
      <c r="AT116" s="1"/>
      <c r="AV116" s="127">
        <v>46048</v>
      </c>
      <c r="AW116" s="154">
        <v>914</v>
      </c>
      <c r="AX116" s="90">
        <v>1.75</v>
      </c>
      <c r="AY116" s="90">
        <v>2.09</v>
      </c>
      <c r="AZ116" s="90">
        <v>2.21</v>
      </c>
      <c r="BA116" s="90">
        <v>2.25</v>
      </c>
      <c r="BB116" s="90">
        <v>2.54</v>
      </c>
      <c r="BC116" s="90">
        <v>2.61</v>
      </c>
      <c r="BD116" s="90">
        <v>3.51</v>
      </c>
      <c r="BE116" s="90">
        <v>5.24</v>
      </c>
      <c r="BF116" s="90">
        <v>5.95</v>
      </c>
      <c r="BG116" s="90">
        <v>6.25</v>
      </c>
      <c r="BH116" s="90" t="s">
        <v>22</v>
      </c>
      <c r="BI116" s="90" t="s">
        <v>22</v>
      </c>
      <c r="BJ116" s="83">
        <f t="shared" si="63"/>
        <v>1.2628571428571429</v>
      </c>
      <c r="BK116" s="83">
        <f t="shared" si="64"/>
        <v>2.0057142857142858</v>
      </c>
      <c r="BL116" s="83">
        <f t="shared" si="65"/>
        <v>2.9942857142857142</v>
      </c>
      <c r="BM116" s="83">
        <f t="shared" si="66"/>
        <v>3.4</v>
      </c>
      <c r="BN116" s="83">
        <f t="shared" si="67"/>
        <v>3.5714285714285716</v>
      </c>
      <c r="BO116" s="119" t="s">
        <v>22</v>
      </c>
      <c r="BP116" s="429" t="s">
        <v>22</v>
      </c>
    </row>
    <row r="117" spans="1:68" ht="14.25" customHeight="1">
      <c r="A117" s="602" t="s">
        <v>27</v>
      </c>
      <c r="B117" s="88">
        <v>46049</v>
      </c>
      <c r="C117" s="184">
        <f t="shared" si="85"/>
        <v>1838</v>
      </c>
      <c r="D117" s="89">
        <f t="shared" si="86"/>
        <v>0.42090315560391728</v>
      </c>
      <c r="E117" s="89">
        <f t="shared" si="87"/>
        <v>0.66573449401523388</v>
      </c>
      <c r="F117" s="89">
        <f t="shared" si="88"/>
        <v>0.77910772578890097</v>
      </c>
      <c r="G117" s="89">
        <f t="shared" si="89"/>
        <v>0.97180631120783456</v>
      </c>
      <c r="H117" s="89">
        <f t="shared" si="90"/>
        <v>1.1241675734494014</v>
      </c>
      <c r="I117" s="89">
        <f t="shared" si="91"/>
        <v>1.2168661588683352</v>
      </c>
      <c r="J117" s="89">
        <f t="shared" si="92"/>
        <v>1.2320348204570184</v>
      </c>
      <c r="K117" s="89">
        <f t="shared" si="93"/>
        <v>1.7537323177366704</v>
      </c>
      <c r="L117" s="89">
        <f t="shared" si="94"/>
        <v>3.2988248095756254</v>
      </c>
      <c r="M117" s="89">
        <f t="shared" si="95"/>
        <v>5.47145810663765</v>
      </c>
      <c r="N117" s="90" t="s">
        <v>22</v>
      </c>
      <c r="O117" s="90" t="s">
        <v>22</v>
      </c>
      <c r="P117" s="83">
        <f t="shared" si="51"/>
        <v>1.8510379773015175</v>
      </c>
      <c r="Q117" s="83">
        <f t="shared" si="52"/>
        <v>2.9271218427651817</v>
      </c>
      <c r="R117" s="83">
        <f t="shared" si="53"/>
        <v>4.1665934179571371</v>
      </c>
      <c r="S117" s="83">
        <f t="shared" si="54"/>
        <v>7.8374912747860703</v>
      </c>
      <c r="T117" s="83">
        <f t="shared" si="55"/>
        <v>12.999327835371373</v>
      </c>
      <c r="U117" s="119" t="s">
        <v>22</v>
      </c>
      <c r="V117" s="118" t="s">
        <v>22</v>
      </c>
      <c r="W117" s="1"/>
      <c r="X117" s="553" t="s">
        <v>27</v>
      </c>
      <c r="Y117" s="88">
        <v>46049</v>
      </c>
      <c r="Z117" s="71">
        <v>888</v>
      </c>
      <c r="AA117" s="90">
        <v>0.24</v>
      </c>
      <c r="AB117" s="90">
        <v>0.49</v>
      </c>
      <c r="AC117" s="90">
        <v>0.5</v>
      </c>
      <c r="AD117" s="90">
        <v>0.61</v>
      </c>
      <c r="AE117" s="90">
        <v>0.69</v>
      </c>
      <c r="AF117" s="90">
        <v>0.7</v>
      </c>
      <c r="AG117" s="90">
        <v>0.71</v>
      </c>
      <c r="AH117" s="90">
        <v>0.72</v>
      </c>
      <c r="AI117" s="90">
        <v>0.73</v>
      </c>
      <c r="AJ117" s="90">
        <v>0.83</v>
      </c>
      <c r="AK117" s="90" t="s">
        <v>22</v>
      </c>
      <c r="AL117" s="90" t="s">
        <v>22</v>
      </c>
      <c r="AM117" s="83">
        <f t="shared" si="56"/>
        <v>2.0833333333333335</v>
      </c>
      <c r="AN117" s="83">
        <f t="shared" si="57"/>
        <v>2.9583333333333335</v>
      </c>
      <c r="AO117" s="83">
        <f t="shared" si="58"/>
        <v>3</v>
      </c>
      <c r="AP117" s="83">
        <f t="shared" si="59"/>
        <v>3.0416666666666665</v>
      </c>
      <c r="AQ117" s="83">
        <f t="shared" si="60"/>
        <v>3.4583333333333335</v>
      </c>
      <c r="AR117" s="119" t="s">
        <v>22</v>
      </c>
      <c r="AS117" s="118" t="s">
        <v>22</v>
      </c>
      <c r="AT117" s="1"/>
      <c r="AU117" s="542" t="s">
        <v>27</v>
      </c>
      <c r="AV117" s="164">
        <v>46049</v>
      </c>
      <c r="AW117" s="211">
        <v>950</v>
      </c>
      <c r="AX117" s="90">
        <v>0.59</v>
      </c>
      <c r="AY117" s="90">
        <v>0.83</v>
      </c>
      <c r="AZ117" s="90">
        <v>1.04</v>
      </c>
      <c r="BA117" s="90">
        <v>1.31</v>
      </c>
      <c r="BB117" s="90">
        <v>1.53</v>
      </c>
      <c r="BC117" s="90">
        <v>1.7</v>
      </c>
      <c r="BD117" s="90">
        <v>1.72</v>
      </c>
      <c r="BE117" s="90">
        <v>2.72</v>
      </c>
      <c r="BF117" s="90">
        <v>5.7</v>
      </c>
      <c r="BG117" s="90">
        <v>9.81</v>
      </c>
      <c r="BH117" s="90" t="s">
        <v>22</v>
      </c>
      <c r="BI117" s="90" t="s">
        <v>22</v>
      </c>
      <c r="BJ117" s="83">
        <f t="shared" si="63"/>
        <v>1.7627118644067798</v>
      </c>
      <c r="BK117" s="83">
        <f t="shared" si="64"/>
        <v>2.9152542372881358</v>
      </c>
      <c r="BL117" s="83">
        <f t="shared" si="65"/>
        <v>4.6101694915254239</v>
      </c>
      <c r="BM117" s="83">
        <f t="shared" si="66"/>
        <v>9.6610169491525433</v>
      </c>
      <c r="BN117" s="83">
        <f t="shared" si="67"/>
        <v>16.627118644067799</v>
      </c>
      <c r="BO117" s="119" t="s">
        <v>22</v>
      </c>
      <c r="BP117" s="429" t="s">
        <v>22</v>
      </c>
    </row>
    <row r="118" spans="1:68" ht="14.25" customHeight="1">
      <c r="A118" s="502"/>
      <c r="B118" s="88">
        <v>46050</v>
      </c>
      <c r="C118" s="184">
        <f t="shared" si="85"/>
        <v>1754</v>
      </c>
      <c r="D118" s="89">
        <f t="shared" si="86"/>
        <v>0.21161915621436717</v>
      </c>
      <c r="E118" s="89">
        <f t="shared" si="87"/>
        <v>0.30765108323831242</v>
      </c>
      <c r="F118" s="89">
        <f t="shared" si="88"/>
        <v>0.61736602052451539</v>
      </c>
      <c r="G118" s="89">
        <f t="shared" si="89"/>
        <v>0.7204561003420753</v>
      </c>
      <c r="H118" s="89">
        <f t="shared" si="90"/>
        <v>0.84090079817559871</v>
      </c>
      <c r="I118" s="89">
        <f t="shared" si="91"/>
        <v>1.0187001140250855</v>
      </c>
      <c r="J118" s="89">
        <f t="shared" si="92"/>
        <v>1.1334093500570126</v>
      </c>
      <c r="K118" s="89">
        <f t="shared" si="93"/>
        <v>1.3456214367160775</v>
      </c>
      <c r="L118" s="89">
        <f t="shared" si="94"/>
        <v>2.0510832383124287</v>
      </c>
      <c r="M118" s="89">
        <f t="shared" si="95"/>
        <v>2.6590421892816418</v>
      </c>
      <c r="N118" s="90" t="s">
        <v>22</v>
      </c>
      <c r="O118" s="90" t="s">
        <v>22</v>
      </c>
      <c r="P118" s="83">
        <f t="shared" si="51"/>
        <v>2.91734468451964</v>
      </c>
      <c r="Q118" s="83">
        <f t="shared" si="52"/>
        <v>5.355892020044184</v>
      </c>
      <c r="R118" s="83">
        <f t="shared" si="53"/>
        <v>6.3586938951452119</v>
      </c>
      <c r="S118" s="83">
        <f t="shared" si="54"/>
        <v>9.6923325610216065</v>
      </c>
      <c r="T118" s="83">
        <f t="shared" si="55"/>
        <v>12.565224419419149</v>
      </c>
      <c r="U118" s="119" t="s">
        <v>22</v>
      </c>
      <c r="V118" s="118" t="s">
        <v>22</v>
      </c>
      <c r="W118" s="1"/>
      <c r="X118" s="502"/>
      <c r="Y118" s="88">
        <v>46050</v>
      </c>
      <c r="Z118" s="71">
        <v>1006</v>
      </c>
      <c r="AA118" s="90">
        <v>0.25</v>
      </c>
      <c r="AB118" s="90">
        <v>0.41</v>
      </c>
      <c r="AC118" s="90">
        <v>0.95</v>
      </c>
      <c r="AD118" s="90">
        <v>1.1000000000000001</v>
      </c>
      <c r="AE118" s="90">
        <v>1.31</v>
      </c>
      <c r="AF118" s="90">
        <v>1.62</v>
      </c>
      <c r="AG118" s="90">
        <v>1.82</v>
      </c>
      <c r="AH118" s="90">
        <v>2.19</v>
      </c>
      <c r="AI118" s="90">
        <v>3.42</v>
      </c>
      <c r="AJ118" s="90">
        <v>4.4800000000000004</v>
      </c>
      <c r="AK118" s="90" t="s">
        <v>22</v>
      </c>
      <c r="AL118" s="90" t="s">
        <v>22</v>
      </c>
      <c r="AM118" s="83">
        <f t="shared" si="56"/>
        <v>3.8</v>
      </c>
      <c r="AN118" s="83">
        <f t="shared" si="57"/>
        <v>7.28</v>
      </c>
      <c r="AO118" s="83">
        <f t="shared" si="58"/>
        <v>8.76</v>
      </c>
      <c r="AP118" s="83">
        <f t="shared" si="59"/>
        <v>13.68</v>
      </c>
      <c r="AQ118" s="83">
        <f t="shared" si="60"/>
        <v>17.920000000000002</v>
      </c>
      <c r="AR118" s="119" t="s">
        <v>22</v>
      </c>
      <c r="AS118" s="118" t="s">
        <v>22</v>
      </c>
      <c r="AT118" s="1"/>
      <c r="AU118" s="502"/>
      <c r="AV118" s="164">
        <v>46050</v>
      </c>
      <c r="AW118" s="211">
        <v>748</v>
      </c>
      <c r="AX118" s="90">
        <v>0.16</v>
      </c>
      <c r="AY118" s="90">
        <v>0.17</v>
      </c>
      <c r="AZ118" s="90">
        <v>0.17</v>
      </c>
      <c r="BA118" s="90">
        <v>0.21</v>
      </c>
      <c r="BB118" s="90">
        <v>0.21</v>
      </c>
      <c r="BC118" s="90">
        <v>0.21</v>
      </c>
      <c r="BD118" s="90">
        <v>0.21</v>
      </c>
      <c r="BE118" s="90">
        <v>0.21</v>
      </c>
      <c r="BF118" s="90">
        <v>0.21</v>
      </c>
      <c r="BG118" s="90">
        <v>0.21</v>
      </c>
      <c r="BH118" s="90" t="s">
        <v>22</v>
      </c>
      <c r="BI118" s="90" t="s">
        <v>22</v>
      </c>
      <c r="BJ118" s="83">
        <f t="shared" si="63"/>
        <v>1.0625</v>
      </c>
      <c r="BK118" s="83">
        <f t="shared" si="64"/>
        <v>1.3125</v>
      </c>
      <c r="BL118" s="83">
        <f t="shared" si="65"/>
        <v>1.3125</v>
      </c>
      <c r="BM118" s="83">
        <f t="shared" si="66"/>
        <v>1.3125</v>
      </c>
      <c r="BN118" s="83">
        <f t="shared" si="67"/>
        <v>1.3125</v>
      </c>
      <c r="BO118" s="119" t="s">
        <v>22</v>
      </c>
      <c r="BP118" s="429" t="s">
        <v>22</v>
      </c>
    </row>
    <row r="119" spans="1:68" ht="14.25" customHeight="1">
      <c r="A119" s="502"/>
      <c r="B119" s="88">
        <v>46051</v>
      </c>
      <c r="C119" s="184">
        <f t="shared" si="85"/>
        <v>1963</v>
      </c>
      <c r="D119" s="89">
        <f t="shared" si="86"/>
        <v>0.18814060112073358</v>
      </c>
      <c r="E119" s="89">
        <f t="shared" si="87"/>
        <v>0.38060112073357105</v>
      </c>
      <c r="F119" s="89">
        <f t="shared" si="88"/>
        <v>0.45281202241467139</v>
      </c>
      <c r="G119" s="89">
        <f t="shared" si="89"/>
        <v>0.55954661232806924</v>
      </c>
      <c r="H119" s="89">
        <f t="shared" si="90"/>
        <v>0.66442180336220069</v>
      </c>
      <c r="I119" s="89">
        <f t="shared" si="91"/>
        <v>0.87246051961283755</v>
      </c>
      <c r="J119" s="89">
        <f t="shared" si="92"/>
        <v>0.96130412633723894</v>
      </c>
      <c r="K119" s="89">
        <f t="shared" si="93"/>
        <v>1.3665766683647478</v>
      </c>
      <c r="L119" s="89">
        <f t="shared" si="94"/>
        <v>1.7133571064696891</v>
      </c>
      <c r="M119" s="89">
        <f t="shared" si="95"/>
        <v>2.7021905247070808</v>
      </c>
      <c r="N119" s="90" t="s">
        <v>22</v>
      </c>
      <c r="O119" s="90" t="s">
        <v>22</v>
      </c>
      <c r="P119" s="83">
        <f t="shared" ref="P119:P150" si="96">F119/D119</f>
        <v>2.4067746128019061</v>
      </c>
      <c r="Q119" s="83">
        <f t="shared" ref="Q119:Q154" si="97">J119/D119</f>
        <v>5.1094985378533524</v>
      </c>
      <c r="R119" s="83">
        <f t="shared" ref="R119:R147" si="98">K119/D119</f>
        <v>7.2635925484674528</v>
      </c>
      <c r="S119" s="83">
        <f t="shared" ref="S119:S140" si="99">L119/D119</f>
        <v>9.1067908588757707</v>
      </c>
      <c r="T119" s="83">
        <f t="shared" si="55"/>
        <v>14.362612368677567</v>
      </c>
      <c r="U119" s="119" t="s">
        <v>22</v>
      </c>
      <c r="V119" s="118" t="s">
        <v>22</v>
      </c>
      <c r="W119" s="1"/>
      <c r="X119" s="502"/>
      <c r="Y119" s="88">
        <v>46051</v>
      </c>
      <c r="Z119" s="71">
        <v>1164</v>
      </c>
      <c r="AA119" s="90">
        <v>0.18</v>
      </c>
      <c r="AB119" s="90">
        <v>0.23</v>
      </c>
      <c r="AC119" s="90">
        <v>0.28999999999999998</v>
      </c>
      <c r="AD119" s="90">
        <v>0.47</v>
      </c>
      <c r="AE119" s="90">
        <v>0.64</v>
      </c>
      <c r="AF119" s="90">
        <v>0.73</v>
      </c>
      <c r="AG119" s="90">
        <v>0.77</v>
      </c>
      <c r="AH119" s="90">
        <v>0.87</v>
      </c>
      <c r="AI119" s="90">
        <v>0.94</v>
      </c>
      <c r="AJ119" s="90">
        <v>1.07</v>
      </c>
      <c r="AK119" s="90" t="s">
        <v>22</v>
      </c>
      <c r="AL119" s="90" t="s">
        <v>22</v>
      </c>
      <c r="AM119" s="83">
        <f t="shared" ref="AM119:AM150" si="100">AC119/AA119</f>
        <v>1.6111111111111112</v>
      </c>
      <c r="AN119" s="83">
        <f t="shared" ref="AN119:AN154" si="101">AG119/AA119</f>
        <v>4.2777777777777777</v>
      </c>
      <c r="AO119" s="83">
        <f t="shared" ref="AO119:AO147" si="102">AH119/AA119</f>
        <v>4.8333333333333339</v>
      </c>
      <c r="AP119" s="83">
        <f t="shared" ref="AP119:AP140" si="103">AI119/AA119</f>
        <v>5.2222222222222223</v>
      </c>
      <c r="AQ119" s="83">
        <f t="shared" si="60"/>
        <v>5.9444444444444446</v>
      </c>
      <c r="AR119" s="119" t="s">
        <v>22</v>
      </c>
      <c r="AS119" s="118" t="s">
        <v>22</v>
      </c>
      <c r="AT119" s="1"/>
      <c r="AU119" s="502"/>
      <c r="AV119" s="164">
        <v>46051</v>
      </c>
      <c r="AW119" s="211">
        <v>799</v>
      </c>
      <c r="AX119" s="90">
        <v>0.2</v>
      </c>
      <c r="AY119" s="90">
        <v>0.6</v>
      </c>
      <c r="AZ119" s="90">
        <v>0.69</v>
      </c>
      <c r="BA119" s="90">
        <v>0.69</v>
      </c>
      <c r="BB119" s="90">
        <v>0.7</v>
      </c>
      <c r="BC119" s="90">
        <v>1.08</v>
      </c>
      <c r="BD119" s="90">
        <v>1.24</v>
      </c>
      <c r="BE119" s="90">
        <v>2.09</v>
      </c>
      <c r="BF119" s="90">
        <v>2.84</v>
      </c>
      <c r="BG119" s="90">
        <v>5.08</v>
      </c>
      <c r="BH119" s="90" t="s">
        <v>22</v>
      </c>
      <c r="BI119" s="90" t="s">
        <v>22</v>
      </c>
      <c r="BJ119" s="83">
        <f t="shared" ref="BJ119:BJ150" si="104">AZ119/AX119</f>
        <v>3.4499999999999997</v>
      </c>
      <c r="BK119" s="83">
        <f t="shared" ref="BK119:BK154" si="105">BD119/AX119</f>
        <v>6.1999999999999993</v>
      </c>
      <c r="BL119" s="83">
        <f t="shared" ref="BL119:BL147" si="106">BE119/AX119</f>
        <v>10.45</v>
      </c>
      <c r="BM119" s="83">
        <f t="shared" ref="BM119:BM140" si="107">BF119/AX119</f>
        <v>14.2</v>
      </c>
      <c r="BN119" s="83">
        <f t="shared" si="67"/>
        <v>25.4</v>
      </c>
      <c r="BO119" s="119" t="s">
        <v>22</v>
      </c>
      <c r="BP119" s="429" t="s">
        <v>22</v>
      </c>
    </row>
    <row r="120" spans="1:68" ht="14.25" customHeight="1">
      <c r="A120" s="621" t="s">
        <v>28</v>
      </c>
      <c r="B120" s="88">
        <v>46052</v>
      </c>
      <c r="C120" s="184">
        <f t="shared" si="85"/>
        <v>2081</v>
      </c>
      <c r="D120" s="89">
        <f t="shared" si="86"/>
        <v>0.45725612686208555</v>
      </c>
      <c r="E120" s="89">
        <f t="shared" si="87"/>
        <v>1.1158000961076406</v>
      </c>
      <c r="F120" s="89">
        <f t="shared" si="88"/>
        <v>1.717731859682845</v>
      </c>
      <c r="G120" s="89">
        <f t="shared" si="89"/>
        <v>2.0949879865449303</v>
      </c>
      <c r="H120" s="89">
        <f t="shared" si="90"/>
        <v>2.6259538683325321</v>
      </c>
      <c r="I120" s="89">
        <f t="shared" si="91"/>
        <v>2.8964344065353198</v>
      </c>
      <c r="J120" s="89">
        <f t="shared" si="92"/>
        <v>3.3493320518981262</v>
      </c>
      <c r="K120" s="89">
        <f t="shared" si="93"/>
        <v>5.5222152811148497</v>
      </c>
      <c r="L120" s="89">
        <f t="shared" si="94"/>
        <v>15.824858241230178</v>
      </c>
      <c r="M120" s="89">
        <f t="shared" si="95"/>
        <v>20.877073522345029</v>
      </c>
      <c r="N120" s="90" t="s">
        <v>22</v>
      </c>
      <c r="O120" s="90" t="s">
        <v>22</v>
      </c>
      <c r="P120" s="83">
        <f t="shared" si="96"/>
        <v>3.7566076401660453</v>
      </c>
      <c r="Q120" s="83">
        <f t="shared" si="97"/>
        <v>7.3248489306920295</v>
      </c>
      <c r="R120" s="83">
        <f t="shared" si="98"/>
        <v>12.076853554726501</v>
      </c>
      <c r="S120" s="83">
        <f t="shared" si="99"/>
        <v>34.608302243707634</v>
      </c>
      <c r="T120" s="83">
        <f t="shared" si="55"/>
        <v>45.657285481582683</v>
      </c>
      <c r="U120" s="119" t="s">
        <v>22</v>
      </c>
      <c r="V120" s="118" t="s">
        <v>22</v>
      </c>
      <c r="W120" s="1"/>
      <c r="X120" s="552" t="s">
        <v>28</v>
      </c>
      <c r="Y120" s="88">
        <v>46052</v>
      </c>
      <c r="Z120" s="71">
        <v>1309</v>
      </c>
      <c r="AA120" s="90">
        <v>0.55000000000000004</v>
      </c>
      <c r="AB120" s="90">
        <v>1.42</v>
      </c>
      <c r="AC120" s="90">
        <v>2.2000000000000002</v>
      </c>
      <c r="AD120" s="90">
        <v>2.67</v>
      </c>
      <c r="AE120" s="90">
        <v>3.29</v>
      </c>
      <c r="AF120" s="90">
        <v>3.72</v>
      </c>
      <c r="AG120" s="90">
        <v>4.4400000000000004</v>
      </c>
      <c r="AH120" s="90">
        <v>7.57</v>
      </c>
      <c r="AI120" s="90">
        <v>22.61</v>
      </c>
      <c r="AJ120" s="90">
        <v>29.71</v>
      </c>
      <c r="AK120" s="90" t="s">
        <v>22</v>
      </c>
      <c r="AL120" s="90" t="s">
        <v>22</v>
      </c>
      <c r="AM120" s="83">
        <f t="shared" si="100"/>
        <v>4</v>
      </c>
      <c r="AN120" s="83">
        <f t="shared" si="101"/>
        <v>8.0727272727272723</v>
      </c>
      <c r="AO120" s="83">
        <f t="shared" si="102"/>
        <v>13.763636363636364</v>
      </c>
      <c r="AP120" s="83">
        <f t="shared" si="103"/>
        <v>41.109090909090902</v>
      </c>
      <c r="AQ120" s="83">
        <f t="shared" si="60"/>
        <v>54.018181818181816</v>
      </c>
      <c r="AR120" s="119" t="s">
        <v>22</v>
      </c>
      <c r="AS120" s="118" t="s">
        <v>22</v>
      </c>
      <c r="AT120" s="1"/>
      <c r="AU120" s="541" t="s">
        <v>28</v>
      </c>
      <c r="AV120" s="164">
        <v>46052</v>
      </c>
      <c r="AW120" s="211">
        <v>772</v>
      </c>
      <c r="AX120" s="90">
        <v>0.3</v>
      </c>
      <c r="AY120" s="90">
        <v>0.6</v>
      </c>
      <c r="AZ120" s="90">
        <v>0.9</v>
      </c>
      <c r="BA120" s="90">
        <v>1.1200000000000001</v>
      </c>
      <c r="BB120" s="90">
        <v>1.5</v>
      </c>
      <c r="BC120" s="90">
        <v>1.5</v>
      </c>
      <c r="BD120" s="90">
        <v>1.5</v>
      </c>
      <c r="BE120" s="90">
        <v>2.0499999999999998</v>
      </c>
      <c r="BF120" s="90">
        <v>4.32</v>
      </c>
      <c r="BG120" s="90">
        <v>5.9</v>
      </c>
      <c r="BH120" s="90" t="s">
        <v>22</v>
      </c>
      <c r="BI120" s="90" t="s">
        <v>22</v>
      </c>
      <c r="BJ120" s="83">
        <f t="shared" si="104"/>
        <v>3</v>
      </c>
      <c r="BK120" s="83">
        <f t="shared" si="105"/>
        <v>5</v>
      </c>
      <c r="BL120" s="83">
        <f t="shared" si="106"/>
        <v>6.833333333333333</v>
      </c>
      <c r="BM120" s="83">
        <f t="shared" si="107"/>
        <v>14.400000000000002</v>
      </c>
      <c r="BN120" s="83">
        <f t="shared" si="67"/>
        <v>19.666666666666668</v>
      </c>
      <c r="BO120" s="119" t="s">
        <v>22</v>
      </c>
      <c r="BP120" s="429" t="s">
        <v>22</v>
      </c>
    </row>
    <row r="121" spans="1:68" ht="14.25" customHeight="1">
      <c r="A121" s="502"/>
      <c r="B121" s="88">
        <v>46053</v>
      </c>
      <c r="C121" s="184">
        <f t="shared" si="85"/>
        <v>1845</v>
      </c>
      <c r="D121" s="89">
        <f t="shared" si="86"/>
        <v>0.49737127371273709</v>
      </c>
      <c r="E121" s="89">
        <f t="shared" si="87"/>
        <v>0.79737127371273719</v>
      </c>
      <c r="F121" s="89">
        <f t="shared" si="88"/>
        <v>1.2701463414634147</v>
      </c>
      <c r="G121" s="89">
        <f t="shared" si="89"/>
        <v>1.3097235772357725</v>
      </c>
      <c r="H121" s="89">
        <f t="shared" si="90"/>
        <v>1.4045582655826558</v>
      </c>
      <c r="I121" s="89">
        <f t="shared" si="91"/>
        <v>1.4427750677506777</v>
      </c>
      <c r="J121" s="89">
        <f t="shared" si="92"/>
        <v>1.5540433604336044</v>
      </c>
      <c r="K121" s="89">
        <f t="shared" si="93"/>
        <v>2.5160650406504064</v>
      </c>
      <c r="L121" s="89">
        <f t="shared" si="94"/>
        <v>3.7637506775067751</v>
      </c>
      <c r="M121" s="89">
        <f t="shared" si="95"/>
        <v>4.8091382113821144</v>
      </c>
      <c r="N121" s="90" t="s">
        <v>22</v>
      </c>
      <c r="O121" s="90" t="s">
        <v>22</v>
      </c>
      <c r="P121" s="83">
        <f t="shared" si="96"/>
        <v>2.5537187380809678</v>
      </c>
      <c r="Q121" s="83">
        <f t="shared" si="97"/>
        <v>3.1245137034817199</v>
      </c>
      <c r="R121" s="83">
        <f t="shared" si="98"/>
        <v>5.0587260938266221</v>
      </c>
      <c r="S121" s="83">
        <f t="shared" si="99"/>
        <v>7.5672860022884549</v>
      </c>
      <c r="T121" s="83">
        <f t="shared" si="55"/>
        <v>9.6691113169509091</v>
      </c>
      <c r="U121" s="119" t="s">
        <v>22</v>
      </c>
      <c r="V121" s="118" t="s">
        <v>22</v>
      </c>
      <c r="W121" s="1"/>
      <c r="X121" s="502"/>
      <c r="Y121" s="88">
        <v>46053</v>
      </c>
      <c r="Z121" s="71">
        <v>1204</v>
      </c>
      <c r="AA121" s="90">
        <v>0.48</v>
      </c>
      <c r="AB121" s="90">
        <v>0.78</v>
      </c>
      <c r="AC121" s="90">
        <v>1.02</v>
      </c>
      <c r="AD121" s="90">
        <v>1.07</v>
      </c>
      <c r="AE121" s="90">
        <v>1.21</v>
      </c>
      <c r="AF121" s="90">
        <v>1.21</v>
      </c>
      <c r="AG121" s="90">
        <v>1.29</v>
      </c>
      <c r="AH121" s="90">
        <v>2.12</v>
      </c>
      <c r="AI121" s="90">
        <v>4</v>
      </c>
      <c r="AJ121" s="90">
        <v>5.57</v>
      </c>
      <c r="AK121" s="90" t="s">
        <v>22</v>
      </c>
      <c r="AL121" s="90" t="s">
        <v>22</v>
      </c>
      <c r="AM121" s="83">
        <f t="shared" si="100"/>
        <v>2.125</v>
      </c>
      <c r="AN121" s="83">
        <f t="shared" si="101"/>
        <v>2.6875</v>
      </c>
      <c r="AO121" s="83">
        <f t="shared" si="102"/>
        <v>4.416666666666667</v>
      </c>
      <c r="AP121" s="83">
        <f t="shared" si="103"/>
        <v>8.3333333333333339</v>
      </c>
      <c r="AQ121" s="83">
        <f t="shared" si="60"/>
        <v>11.604166666666668</v>
      </c>
      <c r="AR121" s="119" t="s">
        <v>22</v>
      </c>
      <c r="AS121" s="118" t="s">
        <v>22</v>
      </c>
      <c r="AT121" s="1"/>
      <c r="AU121" s="502"/>
      <c r="AV121" s="164">
        <v>46053</v>
      </c>
      <c r="AW121" s="211">
        <v>641</v>
      </c>
      <c r="AX121" s="90">
        <v>0.53</v>
      </c>
      <c r="AY121" s="90">
        <v>0.83</v>
      </c>
      <c r="AZ121" s="90">
        <v>1.74</v>
      </c>
      <c r="BA121" s="90">
        <v>1.76</v>
      </c>
      <c r="BB121" s="90">
        <v>1.77</v>
      </c>
      <c r="BC121" s="90">
        <v>1.88</v>
      </c>
      <c r="BD121" s="90">
        <v>2.0499999999999998</v>
      </c>
      <c r="BE121" s="90">
        <v>3.26</v>
      </c>
      <c r="BF121" s="90">
        <v>3.32</v>
      </c>
      <c r="BG121" s="90">
        <v>3.38</v>
      </c>
      <c r="BH121" s="90" t="s">
        <v>22</v>
      </c>
      <c r="BI121" s="90" t="s">
        <v>22</v>
      </c>
      <c r="BJ121" s="83">
        <f t="shared" si="104"/>
        <v>3.283018867924528</v>
      </c>
      <c r="BK121" s="83">
        <f t="shared" si="105"/>
        <v>3.8679245283018862</v>
      </c>
      <c r="BL121" s="83">
        <f t="shared" si="106"/>
        <v>6.1509433962264142</v>
      </c>
      <c r="BM121" s="83">
        <f t="shared" si="107"/>
        <v>6.2641509433962259</v>
      </c>
      <c r="BN121" s="83">
        <f t="shared" si="67"/>
        <v>6.3773584905660377</v>
      </c>
      <c r="BO121" s="119" t="s">
        <v>22</v>
      </c>
      <c r="BP121" s="429" t="s">
        <v>22</v>
      </c>
    </row>
    <row r="122" spans="1:68" ht="14.25" customHeight="1">
      <c r="A122" s="90"/>
      <c r="B122" s="216">
        <v>46054</v>
      </c>
      <c r="C122" s="178">
        <f t="shared" si="85"/>
        <v>1850</v>
      </c>
      <c r="D122" s="89">
        <f t="shared" si="86"/>
        <v>0.53738378378378382</v>
      </c>
      <c r="E122" s="89">
        <f t="shared" si="87"/>
        <v>0.71630810810810819</v>
      </c>
      <c r="F122" s="89">
        <f t="shared" si="88"/>
        <v>0.93078378378378368</v>
      </c>
      <c r="G122" s="89">
        <f t="shared" si="89"/>
        <v>0.95970810810810814</v>
      </c>
      <c r="H122" s="89">
        <f t="shared" si="90"/>
        <v>1.1209297297297296</v>
      </c>
      <c r="I122" s="89">
        <f t="shared" si="91"/>
        <v>1.1813945945945945</v>
      </c>
      <c r="J122" s="89">
        <f t="shared" si="92"/>
        <v>1.2607837837837836</v>
      </c>
      <c r="K122" s="89">
        <f t="shared" si="93"/>
        <v>2.6882486486486488</v>
      </c>
      <c r="L122" s="89">
        <f t="shared" si="94"/>
        <v>3.8219945945945937</v>
      </c>
      <c r="M122" s="89">
        <f t="shared" si="95"/>
        <v>7.7965405405405406</v>
      </c>
      <c r="N122" s="90" t="s">
        <v>22</v>
      </c>
      <c r="O122" s="90" t="s">
        <v>22</v>
      </c>
      <c r="P122" s="83">
        <f t="shared" si="96"/>
        <v>1.7320652611249696</v>
      </c>
      <c r="Q122" s="83">
        <f t="shared" si="97"/>
        <v>2.3461515249054474</v>
      </c>
      <c r="R122" s="83">
        <f t="shared" si="98"/>
        <v>5.0024744507926284</v>
      </c>
      <c r="S122" s="83">
        <f t="shared" si="99"/>
        <v>7.1122253963144741</v>
      </c>
      <c r="T122" s="83">
        <f t="shared" si="55"/>
        <v>14.508328639253238</v>
      </c>
      <c r="U122" s="119" t="s">
        <v>22</v>
      </c>
      <c r="V122" s="118" t="s">
        <v>22</v>
      </c>
      <c r="W122" s="1"/>
      <c r="X122" s="90"/>
      <c r="Y122" s="216">
        <v>46054</v>
      </c>
      <c r="Z122" s="25">
        <v>1167</v>
      </c>
      <c r="AA122" s="90">
        <v>0.53</v>
      </c>
      <c r="AB122" s="90">
        <v>0.72</v>
      </c>
      <c r="AC122" s="90">
        <v>1.06</v>
      </c>
      <c r="AD122" s="90">
        <v>1.1000000000000001</v>
      </c>
      <c r="AE122" s="90">
        <v>1.18</v>
      </c>
      <c r="AF122" s="90">
        <v>1.27</v>
      </c>
      <c r="AG122" s="90">
        <v>1.39</v>
      </c>
      <c r="AH122" s="90">
        <v>3.53</v>
      </c>
      <c r="AI122" s="90">
        <v>5.14</v>
      </c>
      <c r="AJ122" s="90">
        <v>11.23</v>
      </c>
      <c r="AK122" s="90" t="s">
        <v>22</v>
      </c>
      <c r="AL122" s="90" t="s">
        <v>22</v>
      </c>
      <c r="AM122" s="83">
        <f t="shared" si="100"/>
        <v>2</v>
      </c>
      <c r="AN122" s="83">
        <f t="shared" si="101"/>
        <v>2.6226415094339619</v>
      </c>
      <c r="AO122" s="83">
        <f t="shared" si="102"/>
        <v>6.6603773584905657</v>
      </c>
      <c r="AP122" s="83">
        <f t="shared" si="103"/>
        <v>9.6981132075471681</v>
      </c>
      <c r="AQ122" s="83">
        <f t="shared" si="60"/>
        <v>21.188679245283019</v>
      </c>
      <c r="AR122" s="119" t="s">
        <v>22</v>
      </c>
      <c r="AS122" s="118" t="s">
        <v>22</v>
      </c>
      <c r="AT122" s="1"/>
      <c r="AU122" s="90"/>
      <c r="AV122" s="163">
        <v>46054</v>
      </c>
      <c r="AW122" s="154">
        <v>683</v>
      </c>
      <c r="AX122" s="90">
        <v>0.55000000000000004</v>
      </c>
      <c r="AY122" s="90">
        <v>0.71</v>
      </c>
      <c r="AZ122" s="90">
        <v>0.71</v>
      </c>
      <c r="BA122" s="90">
        <v>0.72</v>
      </c>
      <c r="BB122" s="90">
        <v>1.02</v>
      </c>
      <c r="BC122" s="90">
        <v>1.03</v>
      </c>
      <c r="BD122" s="90">
        <v>1.04</v>
      </c>
      <c r="BE122" s="90">
        <v>1.25</v>
      </c>
      <c r="BF122" s="90">
        <v>1.57</v>
      </c>
      <c r="BG122" s="90">
        <v>1.93</v>
      </c>
      <c r="BH122" s="90" t="s">
        <v>22</v>
      </c>
      <c r="BI122" s="90" t="s">
        <v>22</v>
      </c>
      <c r="BJ122" s="83">
        <f t="shared" si="104"/>
        <v>1.2909090909090908</v>
      </c>
      <c r="BK122" s="83">
        <f t="shared" si="105"/>
        <v>1.8909090909090909</v>
      </c>
      <c r="BL122" s="83">
        <f t="shared" si="106"/>
        <v>2.2727272727272725</v>
      </c>
      <c r="BM122" s="83">
        <f t="shared" si="107"/>
        <v>2.8545454545454545</v>
      </c>
      <c r="BN122" s="83">
        <f t="shared" si="67"/>
        <v>3.5090909090909088</v>
      </c>
      <c r="BO122" s="119" t="s">
        <v>22</v>
      </c>
      <c r="BP122" s="429" t="s">
        <v>22</v>
      </c>
    </row>
    <row r="123" spans="1:68" ht="14.25" customHeight="1">
      <c r="A123" s="90"/>
      <c r="B123" s="216">
        <v>46055</v>
      </c>
      <c r="C123" s="178">
        <f t="shared" si="85"/>
        <v>1690</v>
      </c>
      <c r="D123" s="89">
        <f t="shared" si="86"/>
        <v>0.55606508875739646</v>
      </c>
      <c r="E123" s="89">
        <f t="shared" si="87"/>
        <v>1.5172781065088756</v>
      </c>
      <c r="F123" s="89">
        <f t="shared" si="88"/>
        <v>2.1594970414201184</v>
      </c>
      <c r="G123" s="89">
        <f t="shared" si="89"/>
        <v>2.5470532544378699</v>
      </c>
      <c r="H123" s="89">
        <f t="shared" si="90"/>
        <v>3.4687514792899412</v>
      </c>
      <c r="I123" s="89">
        <f t="shared" si="91"/>
        <v>3.7977810650887576</v>
      </c>
      <c r="J123" s="89">
        <f t="shared" si="92"/>
        <v>3.9592544378698227</v>
      </c>
      <c r="K123" s="89">
        <f t="shared" si="93"/>
        <v>8.4353254437869811</v>
      </c>
      <c r="L123" s="89">
        <f t="shared" si="94"/>
        <v>9.6597633136094689</v>
      </c>
      <c r="M123" s="89">
        <f t="shared" si="95"/>
        <v>14.699473372781066</v>
      </c>
      <c r="N123" s="90" t="s">
        <v>22</v>
      </c>
      <c r="O123" s="90" t="s">
        <v>22</v>
      </c>
      <c r="P123" s="83">
        <f t="shared" si="96"/>
        <v>3.8835328544825751</v>
      </c>
      <c r="Q123" s="83">
        <f t="shared" si="97"/>
        <v>7.1201276935355153</v>
      </c>
      <c r="R123" s="83">
        <f t="shared" si="98"/>
        <v>15.169672785315241</v>
      </c>
      <c r="S123" s="83">
        <f t="shared" si="99"/>
        <v>17.371641393987765</v>
      </c>
      <c r="T123" s="83">
        <f t="shared" si="55"/>
        <v>26.434807129555733</v>
      </c>
      <c r="U123" s="119" t="s">
        <v>22</v>
      </c>
      <c r="V123" s="118" t="s">
        <v>22</v>
      </c>
      <c r="W123" s="1"/>
      <c r="X123" s="90"/>
      <c r="Y123" s="216">
        <v>46055</v>
      </c>
      <c r="Z123" s="25">
        <v>1113</v>
      </c>
      <c r="AA123" s="90">
        <v>0.3</v>
      </c>
      <c r="AB123" s="90">
        <v>1.21</v>
      </c>
      <c r="AC123" s="90">
        <v>2.04</v>
      </c>
      <c r="AD123" s="90">
        <v>2.39</v>
      </c>
      <c r="AE123" s="90">
        <v>3.24</v>
      </c>
      <c r="AF123" s="90">
        <v>3.61</v>
      </c>
      <c r="AG123" s="90">
        <v>3.85</v>
      </c>
      <c r="AH123" s="90">
        <v>10.039999999999999</v>
      </c>
      <c r="AI123" s="90">
        <v>11.64</v>
      </c>
      <c r="AJ123" s="90">
        <v>18.239999999999998</v>
      </c>
      <c r="AK123" s="90" t="s">
        <v>22</v>
      </c>
      <c r="AL123" s="90" t="s">
        <v>22</v>
      </c>
      <c r="AM123" s="83">
        <f t="shared" si="100"/>
        <v>6.8000000000000007</v>
      </c>
      <c r="AN123" s="83">
        <f t="shared" si="101"/>
        <v>12.833333333333334</v>
      </c>
      <c r="AO123" s="83">
        <f t="shared" si="102"/>
        <v>33.466666666666669</v>
      </c>
      <c r="AP123" s="83">
        <f t="shared" si="103"/>
        <v>38.800000000000004</v>
      </c>
      <c r="AQ123" s="83">
        <f t="shared" si="60"/>
        <v>60.8</v>
      </c>
      <c r="AR123" s="119" t="s">
        <v>22</v>
      </c>
      <c r="AS123" s="118" t="s">
        <v>22</v>
      </c>
      <c r="AT123" s="1"/>
      <c r="AU123" s="90"/>
      <c r="AV123" s="163">
        <v>46055</v>
      </c>
      <c r="AW123" s="154">
        <v>577</v>
      </c>
      <c r="AX123" s="90">
        <v>1.05</v>
      </c>
      <c r="AY123" s="90">
        <v>2.11</v>
      </c>
      <c r="AZ123" s="90">
        <v>2.39</v>
      </c>
      <c r="BA123" s="90">
        <v>2.85</v>
      </c>
      <c r="BB123" s="90">
        <v>3.91</v>
      </c>
      <c r="BC123" s="90">
        <v>4.16</v>
      </c>
      <c r="BD123" s="90">
        <v>4.17</v>
      </c>
      <c r="BE123" s="90">
        <v>5.34</v>
      </c>
      <c r="BF123" s="90">
        <v>5.84</v>
      </c>
      <c r="BG123" s="90">
        <v>7.87</v>
      </c>
      <c r="BH123" s="90" t="s">
        <v>22</v>
      </c>
      <c r="BI123" s="90" t="s">
        <v>22</v>
      </c>
      <c r="BJ123" s="83">
        <f t="shared" si="104"/>
        <v>2.2761904761904761</v>
      </c>
      <c r="BK123" s="83">
        <f t="shared" si="105"/>
        <v>3.9714285714285711</v>
      </c>
      <c r="BL123" s="83">
        <f t="shared" si="106"/>
        <v>5.0857142857142854</v>
      </c>
      <c r="BM123" s="83">
        <f t="shared" si="107"/>
        <v>5.5619047619047617</v>
      </c>
      <c r="BN123" s="83">
        <f t="shared" si="67"/>
        <v>7.4952380952380953</v>
      </c>
      <c r="BO123" s="119" t="s">
        <v>22</v>
      </c>
      <c r="BP123" s="429" t="s">
        <v>22</v>
      </c>
    </row>
    <row r="124" spans="1:68" ht="14.25" customHeight="1">
      <c r="A124" s="613" t="s">
        <v>29</v>
      </c>
      <c r="B124" s="88">
        <v>46056</v>
      </c>
      <c r="C124" s="184">
        <f t="shared" si="85"/>
        <v>1673</v>
      </c>
      <c r="D124" s="89">
        <f t="shared" si="86"/>
        <v>0.28456066945606695</v>
      </c>
      <c r="E124" s="89">
        <f t="shared" si="87"/>
        <v>0.61359832635983258</v>
      </c>
      <c r="F124" s="89">
        <f t="shared" si="88"/>
        <v>0.89974895397489529</v>
      </c>
      <c r="G124" s="89">
        <f t="shared" si="89"/>
        <v>1.0315481171548118</v>
      </c>
      <c r="H124" s="89">
        <f t="shared" si="90"/>
        <v>1.2145188284518829</v>
      </c>
      <c r="I124" s="89">
        <f t="shared" si="91"/>
        <v>1.5089958158995818</v>
      </c>
      <c r="J124" s="89">
        <f t="shared" si="92"/>
        <v>1.5965271966527195</v>
      </c>
      <c r="K124" s="89">
        <f t="shared" si="93"/>
        <v>2.6999163179916317</v>
      </c>
      <c r="L124" s="89">
        <f t="shared" si="94"/>
        <v>3.1525523012552297</v>
      </c>
      <c r="M124" s="89">
        <f t="shared" si="95"/>
        <v>3.2163179916317994</v>
      </c>
      <c r="N124" s="90" t="s">
        <v>22</v>
      </c>
      <c r="O124" s="90" t="s">
        <v>22</v>
      </c>
      <c r="P124" s="83">
        <f t="shared" si="96"/>
        <v>3.1618879576532857</v>
      </c>
      <c r="Q124" s="83">
        <f t="shared" si="97"/>
        <v>5.6104984561093945</v>
      </c>
      <c r="R124" s="83">
        <f t="shared" si="98"/>
        <v>9.4880164681664461</v>
      </c>
      <c r="S124" s="83">
        <f t="shared" si="99"/>
        <v>11.078664902220259</v>
      </c>
      <c r="T124" s="83">
        <f t="shared" si="55"/>
        <v>11.3027495956477</v>
      </c>
      <c r="U124" s="119" t="s">
        <v>22</v>
      </c>
      <c r="V124" s="118" t="s">
        <v>22</v>
      </c>
      <c r="W124" s="1"/>
      <c r="X124" s="554" t="s">
        <v>29</v>
      </c>
      <c r="Y124" s="88">
        <v>46056</v>
      </c>
      <c r="Z124" s="71">
        <v>1176</v>
      </c>
      <c r="AA124" s="90">
        <v>0.24</v>
      </c>
      <c r="AB124" s="90">
        <v>0.37</v>
      </c>
      <c r="AC124" s="90">
        <v>0.56999999999999995</v>
      </c>
      <c r="AD124" s="90">
        <v>0.57999999999999996</v>
      </c>
      <c r="AE124" s="90">
        <v>0.76</v>
      </c>
      <c r="AF124" s="90">
        <v>0.9</v>
      </c>
      <c r="AG124" s="90">
        <v>0.94</v>
      </c>
      <c r="AH124" s="90">
        <v>1.17</v>
      </c>
      <c r="AI124" s="90">
        <v>1.18</v>
      </c>
      <c r="AJ124" s="90">
        <v>1.22</v>
      </c>
      <c r="AK124" s="90" t="s">
        <v>22</v>
      </c>
      <c r="AL124" s="90" t="s">
        <v>22</v>
      </c>
      <c r="AM124" s="83">
        <f t="shared" si="100"/>
        <v>2.375</v>
      </c>
      <c r="AN124" s="83">
        <f t="shared" si="101"/>
        <v>3.9166666666666665</v>
      </c>
      <c r="AO124" s="83">
        <f t="shared" si="102"/>
        <v>4.875</v>
      </c>
      <c r="AP124" s="83">
        <f t="shared" si="103"/>
        <v>4.916666666666667</v>
      </c>
      <c r="AQ124" s="83">
        <f t="shared" si="60"/>
        <v>5.083333333333333</v>
      </c>
      <c r="AR124" s="119" t="s">
        <v>22</v>
      </c>
      <c r="AS124" s="118" t="s">
        <v>22</v>
      </c>
      <c r="AT124" s="1"/>
      <c r="AU124" s="543" t="s">
        <v>29</v>
      </c>
      <c r="AV124" s="164">
        <v>46056</v>
      </c>
      <c r="AW124" s="211">
        <v>497</v>
      </c>
      <c r="AX124" s="90">
        <v>0.39</v>
      </c>
      <c r="AY124" s="90">
        <v>1.19</v>
      </c>
      <c r="AZ124" s="90">
        <v>1.68</v>
      </c>
      <c r="BA124" s="90">
        <v>2.1</v>
      </c>
      <c r="BB124" s="90">
        <v>2.29</v>
      </c>
      <c r="BC124" s="90">
        <v>2.95</v>
      </c>
      <c r="BD124" s="90">
        <v>3.15</v>
      </c>
      <c r="BE124" s="90">
        <v>6.32</v>
      </c>
      <c r="BF124" s="90">
        <v>7.82</v>
      </c>
      <c r="BG124" s="90">
        <v>7.94</v>
      </c>
      <c r="BH124" s="90" t="s">
        <v>22</v>
      </c>
      <c r="BI124" s="90" t="s">
        <v>22</v>
      </c>
      <c r="BJ124" s="83">
        <f t="shared" si="104"/>
        <v>4.3076923076923075</v>
      </c>
      <c r="BK124" s="83">
        <f t="shared" si="105"/>
        <v>8.0769230769230766</v>
      </c>
      <c r="BL124" s="83">
        <f t="shared" si="106"/>
        <v>16.205128205128204</v>
      </c>
      <c r="BM124" s="83">
        <f t="shared" si="107"/>
        <v>20.051282051282051</v>
      </c>
      <c r="BN124" s="83">
        <f t="shared" si="67"/>
        <v>20.358974358974358</v>
      </c>
      <c r="BO124" s="119" t="s">
        <v>22</v>
      </c>
      <c r="BP124" s="429" t="s">
        <v>22</v>
      </c>
    </row>
    <row r="125" spans="1:68" ht="14.25" customHeight="1">
      <c r="A125" s="502"/>
      <c r="B125" s="88">
        <v>46057</v>
      </c>
      <c r="C125" s="184">
        <f t="shared" si="85"/>
        <v>2069</v>
      </c>
      <c r="D125" s="89">
        <f t="shared" si="86"/>
        <v>0.68728854519091354</v>
      </c>
      <c r="E125" s="89">
        <f t="shared" si="87"/>
        <v>1.0910633156114065</v>
      </c>
      <c r="F125" s="89">
        <f t="shared" si="88"/>
        <v>1.3183421942967615</v>
      </c>
      <c r="G125" s="89">
        <f t="shared" si="89"/>
        <v>1.8349782503624938</v>
      </c>
      <c r="H125" s="89">
        <f t="shared" si="90"/>
        <v>2.0118656355727405</v>
      </c>
      <c r="I125" s="89">
        <f t="shared" si="91"/>
        <v>2.2444659255679071</v>
      </c>
      <c r="J125" s="89">
        <f t="shared" si="92"/>
        <v>2.4900579990333496</v>
      </c>
      <c r="K125" s="89">
        <f t="shared" si="93"/>
        <v>3.1798163363943934</v>
      </c>
      <c r="L125" s="89">
        <f t="shared" si="94"/>
        <v>4.6293330111164819</v>
      </c>
      <c r="M125" s="89">
        <f t="shared" si="95"/>
        <v>5.6329966167230543</v>
      </c>
      <c r="N125" s="90" t="s">
        <v>22</v>
      </c>
      <c r="O125" s="90" t="s">
        <v>22</v>
      </c>
      <c r="P125" s="83">
        <f t="shared" si="96"/>
        <v>1.9181786216596337</v>
      </c>
      <c r="Q125" s="83">
        <f t="shared" si="97"/>
        <v>3.6230168776371308</v>
      </c>
      <c r="R125" s="83">
        <f t="shared" si="98"/>
        <v>4.62661040787623</v>
      </c>
      <c r="S125" s="83">
        <f t="shared" si="99"/>
        <v>6.7356469760900142</v>
      </c>
      <c r="T125" s="83">
        <f t="shared" si="55"/>
        <v>8.1959704641350193</v>
      </c>
      <c r="U125" s="119" t="s">
        <v>22</v>
      </c>
      <c r="V125" s="118" t="s">
        <v>22</v>
      </c>
      <c r="W125" s="1"/>
      <c r="X125" s="502"/>
      <c r="Y125" s="88">
        <v>46057</v>
      </c>
      <c r="Z125" s="71">
        <v>1236</v>
      </c>
      <c r="AA125" s="90">
        <v>0.18</v>
      </c>
      <c r="AB125" s="90">
        <v>0.31</v>
      </c>
      <c r="AC125" s="90">
        <v>0.34</v>
      </c>
      <c r="AD125" s="90">
        <v>0.45</v>
      </c>
      <c r="AE125" s="90">
        <v>0.49</v>
      </c>
      <c r="AF125" s="90">
        <v>0.63</v>
      </c>
      <c r="AG125" s="90">
        <v>0.63</v>
      </c>
      <c r="AH125" s="90">
        <v>0.74</v>
      </c>
      <c r="AI125" s="90">
        <v>1.03</v>
      </c>
      <c r="AJ125" s="90">
        <v>1.1599999999999999</v>
      </c>
      <c r="AK125" s="90" t="s">
        <v>22</v>
      </c>
      <c r="AL125" s="90" t="s">
        <v>22</v>
      </c>
      <c r="AM125" s="83">
        <f t="shared" si="100"/>
        <v>1.8888888888888891</v>
      </c>
      <c r="AN125" s="83">
        <f t="shared" si="101"/>
        <v>3.5</v>
      </c>
      <c r="AO125" s="83">
        <f t="shared" si="102"/>
        <v>4.1111111111111116</v>
      </c>
      <c r="AP125" s="83">
        <f t="shared" si="103"/>
        <v>5.7222222222222223</v>
      </c>
      <c r="AQ125" s="83">
        <f t="shared" si="60"/>
        <v>6.4444444444444446</v>
      </c>
      <c r="AR125" s="119" t="s">
        <v>22</v>
      </c>
      <c r="AS125" s="118" t="s">
        <v>22</v>
      </c>
      <c r="AT125" s="1"/>
      <c r="AU125" s="502"/>
      <c r="AV125" s="164">
        <v>46057</v>
      </c>
      <c r="AW125" s="211">
        <v>833</v>
      </c>
      <c r="AX125" s="90">
        <v>1.44</v>
      </c>
      <c r="AY125" s="90">
        <v>2.25</v>
      </c>
      <c r="AZ125" s="90">
        <v>2.77</v>
      </c>
      <c r="BA125" s="90">
        <v>3.89</v>
      </c>
      <c r="BB125" s="90">
        <v>4.2699999999999996</v>
      </c>
      <c r="BC125" s="90">
        <v>4.6399999999999997</v>
      </c>
      <c r="BD125" s="90">
        <v>5.25</v>
      </c>
      <c r="BE125" s="90">
        <v>6.8</v>
      </c>
      <c r="BF125" s="90">
        <v>9.9700000000000006</v>
      </c>
      <c r="BG125" s="90">
        <v>12.27</v>
      </c>
      <c r="BH125" s="90" t="s">
        <v>22</v>
      </c>
      <c r="BI125" s="90" t="s">
        <v>22</v>
      </c>
      <c r="BJ125" s="83">
        <f t="shared" si="104"/>
        <v>1.9236111111111112</v>
      </c>
      <c r="BK125" s="83">
        <f t="shared" si="105"/>
        <v>3.6458333333333335</v>
      </c>
      <c r="BL125" s="83">
        <f t="shared" si="106"/>
        <v>4.7222222222222223</v>
      </c>
      <c r="BM125" s="83">
        <f t="shared" si="107"/>
        <v>6.9236111111111116</v>
      </c>
      <c r="BN125" s="83">
        <f t="shared" si="67"/>
        <v>8.5208333333333339</v>
      </c>
      <c r="BO125" s="119" t="s">
        <v>22</v>
      </c>
      <c r="BP125" s="429" t="s">
        <v>22</v>
      </c>
    </row>
    <row r="126" spans="1:68" ht="14.25" customHeight="1">
      <c r="A126" s="502"/>
      <c r="B126" s="88">
        <v>46058</v>
      </c>
      <c r="C126" s="184">
        <f t="shared" si="85"/>
        <v>1925</v>
      </c>
      <c r="D126" s="89">
        <f t="shared" si="86"/>
        <v>0.11645194805194806</v>
      </c>
      <c r="E126" s="89">
        <f t="shared" si="87"/>
        <v>0.1627896103896104</v>
      </c>
      <c r="F126" s="89">
        <f t="shared" si="88"/>
        <v>0.25203116883116883</v>
      </c>
      <c r="G126" s="89">
        <f t="shared" si="89"/>
        <v>0.25203116883116883</v>
      </c>
      <c r="H126" s="89">
        <f t="shared" si="90"/>
        <v>0.25203116883116883</v>
      </c>
      <c r="I126" s="89">
        <f t="shared" si="91"/>
        <v>0.25203116883116883</v>
      </c>
      <c r="J126" s="89">
        <f t="shared" si="92"/>
        <v>0.27383376623376621</v>
      </c>
      <c r="K126" s="89">
        <f t="shared" si="93"/>
        <v>0.29569350649350651</v>
      </c>
      <c r="L126" s="89">
        <f t="shared" si="94"/>
        <v>0.32022857142857147</v>
      </c>
      <c r="M126" s="89">
        <f t="shared" si="95"/>
        <v>0.322961038961039</v>
      </c>
      <c r="N126" s="90" t="s">
        <v>22</v>
      </c>
      <c r="O126" s="90" t="s">
        <v>22</v>
      </c>
      <c r="P126" s="83">
        <f t="shared" si="96"/>
        <v>2.1642503457197662</v>
      </c>
      <c r="Q126" s="83">
        <f t="shared" si="97"/>
        <v>2.3514743275192931</v>
      </c>
      <c r="R126" s="83">
        <f t="shared" si="98"/>
        <v>2.5391890083418835</v>
      </c>
      <c r="S126" s="83">
        <f t="shared" si="99"/>
        <v>2.7498773252442348</v>
      </c>
      <c r="T126" s="83">
        <f t="shared" si="55"/>
        <v>2.7733416603470582</v>
      </c>
      <c r="U126" s="119" t="s">
        <v>22</v>
      </c>
      <c r="V126" s="118" t="s">
        <v>22</v>
      </c>
      <c r="W126" s="1"/>
      <c r="X126" s="502"/>
      <c r="Y126" s="88">
        <v>46058</v>
      </c>
      <c r="Z126" s="71">
        <v>1399</v>
      </c>
      <c r="AA126" s="90">
        <v>7.0000000000000007E-2</v>
      </c>
      <c r="AB126" s="90">
        <v>0.13</v>
      </c>
      <c r="AC126" s="90">
        <v>0.14000000000000001</v>
      </c>
      <c r="AD126" s="90">
        <v>0.14000000000000001</v>
      </c>
      <c r="AE126" s="90">
        <v>0.14000000000000001</v>
      </c>
      <c r="AF126" s="90">
        <v>0.14000000000000001</v>
      </c>
      <c r="AG126" s="90">
        <v>0.17</v>
      </c>
      <c r="AH126" s="90">
        <v>0.17</v>
      </c>
      <c r="AI126" s="90">
        <v>0.2</v>
      </c>
      <c r="AJ126" s="90">
        <v>0.2</v>
      </c>
      <c r="AK126" s="90" t="s">
        <v>22</v>
      </c>
      <c r="AL126" s="90" t="s">
        <v>22</v>
      </c>
      <c r="AM126" s="83">
        <f t="shared" si="100"/>
        <v>2</v>
      </c>
      <c r="AN126" s="83">
        <f t="shared" si="101"/>
        <v>2.4285714285714284</v>
      </c>
      <c r="AO126" s="83">
        <f t="shared" si="102"/>
        <v>2.4285714285714284</v>
      </c>
      <c r="AP126" s="83">
        <f t="shared" si="103"/>
        <v>2.8571428571428572</v>
      </c>
      <c r="AQ126" s="83">
        <f t="shared" si="60"/>
        <v>2.8571428571428572</v>
      </c>
      <c r="AR126" s="119" t="s">
        <v>22</v>
      </c>
      <c r="AS126" s="118" t="s">
        <v>22</v>
      </c>
      <c r="AT126" s="1"/>
      <c r="AU126" s="502"/>
      <c r="AV126" s="164">
        <v>46058</v>
      </c>
      <c r="AW126" s="211">
        <v>526</v>
      </c>
      <c r="AX126" s="90">
        <v>0.24</v>
      </c>
      <c r="AY126" s="90">
        <v>0.25</v>
      </c>
      <c r="AZ126" s="90">
        <v>0.55000000000000004</v>
      </c>
      <c r="BA126" s="90">
        <v>0.55000000000000004</v>
      </c>
      <c r="BB126" s="90">
        <v>0.55000000000000004</v>
      </c>
      <c r="BC126" s="90">
        <v>0.55000000000000004</v>
      </c>
      <c r="BD126" s="90">
        <v>0.55000000000000004</v>
      </c>
      <c r="BE126" s="90">
        <v>0.63</v>
      </c>
      <c r="BF126" s="90">
        <v>0.64</v>
      </c>
      <c r="BG126" s="90">
        <v>0.65</v>
      </c>
      <c r="BH126" s="90" t="s">
        <v>22</v>
      </c>
      <c r="BI126" s="90" t="s">
        <v>22</v>
      </c>
      <c r="BJ126" s="83">
        <f t="shared" si="104"/>
        <v>2.291666666666667</v>
      </c>
      <c r="BK126" s="83">
        <f t="shared" si="105"/>
        <v>2.291666666666667</v>
      </c>
      <c r="BL126" s="83">
        <f t="shared" si="106"/>
        <v>2.625</v>
      </c>
      <c r="BM126" s="83">
        <f t="shared" si="107"/>
        <v>2.666666666666667</v>
      </c>
      <c r="BN126" s="83">
        <f t="shared" si="67"/>
        <v>2.7083333333333335</v>
      </c>
      <c r="BO126" s="119" t="s">
        <v>22</v>
      </c>
      <c r="BP126" s="429" t="s">
        <v>22</v>
      </c>
    </row>
    <row r="127" spans="1:68" ht="14.25" customHeight="1">
      <c r="A127" s="614" t="s">
        <v>30</v>
      </c>
      <c r="B127" s="132">
        <v>46059</v>
      </c>
      <c r="C127" s="166">
        <f t="shared" si="85"/>
        <v>1759</v>
      </c>
      <c r="D127" s="89">
        <f t="shared" si="86"/>
        <v>0.31256395679363275</v>
      </c>
      <c r="E127" s="89">
        <f t="shared" si="87"/>
        <v>0.32884593519044913</v>
      </c>
      <c r="F127" s="89">
        <f t="shared" si="88"/>
        <v>0.35326890278567374</v>
      </c>
      <c r="G127" s="89">
        <f t="shared" si="89"/>
        <v>0.36140989198408185</v>
      </c>
      <c r="H127" s="89">
        <f t="shared" si="90"/>
        <v>0.36140989198408185</v>
      </c>
      <c r="I127" s="89">
        <f t="shared" si="91"/>
        <v>0.36140989198408185</v>
      </c>
      <c r="J127" s="89">
        <f t="shared" si="92"/>
        <v>0.36140989198408185</v>
      </c>
      <c r="K127" s="89">
        <f t="shared" si="93"/>
        <v>0.36955088118249002</v>
      </c>
      <c r="L127" s="89">
        <f t="shared" si="94"/>
        <v>0.3776918703808983</v>
      </c>
      <c r="M127" s="89">
        <f t="shared" si="95"/>
        <v>0.40371802160318371</v>
      </c>
      <c r="N127" s="90" t="s">
        <v>22</v>
      </c>
      <c r="O127" s="90" t="s">
        <v>22</v>
      </c>
      <c r="P127" s="83">
        <f t="shared" si="96"/>
        <v>1.1302291742451802</v>
      </c>
      <c r="Q127" s="83">
        <f t="shared" si="97"/>
        <v>1.156275009094216</v>
      </c>
      <c r="R127" s="83">
        <f t="shared" si="98"/>
        <v>1.182320843943252</v>
      </c>
      <c r="S127" s="83">
        <f t="shared" si="99"/>
        <v>1.2083666787922882</v>
      </c>
      <c r="T127" s="83">
        <f t="shared" si="55"/>
        <v>1.2916333212077122</v>
      </c>
      <c r="U127" s="119" t="s">
        <v>22</v>
      </c>
      <c r="V127" s="118" t="s">
        <v>22</v>
      </c>
      <c r="W127" s="1"/>
      <c r="X127" s="555" t="s">
        <v>30</v>
      </c>
      <c r="Y127" s="132">
        <v>46059</v>
      </c>
      <c r="Z127" s="141">
        <v>1432</v>
      </c>
      <c r="AA127" s="90">
        <v>0.32</v>
      </c>
      <c r="AB127" s="90">
        <v>0.34</v>
      </c>
      <c r="AC127" s="90">
        <v>0.37</v>
      </c>
      <c r="AD127" s="90">
        <v>0.38</v>
      </c>
      <c r="AE127" s="90">
        <v>0.38</v>
      </c>
      <c r="AF127" s="90">
        <v>0.38</v>
      </c>
      <c r="AG127" s="90">
        <v>0.38</v>
      </c>
      <c r="AH127" s="90">
        <v>0.39</v>
      </c>
      <c r="AI127" s="90">
        <v>0.4</v>
      </c>
      <c r="AJ127" s="90">
        <v>0.4</v>
      </c>
      <c r="AK127" s="90" t="s">
        <v>22</v>
      </c>
      <c r="AL127" s="90" t="s">
        <v>22</v>
      </c>
      <c r="AM127" s="83">
        <f t="shared" si="100"/>
        <v>1.15625</v>
      </c>
      <c r="AN127" s="83">
        <f t="shared" si="101"/>
        <v>1.1875</v>
      </c>
      <c r="AO127" s="83">
        <f t="shared" si="102"/>
        <v>1.21875</v>
      </c>
      <c r="AP127" s="83">
        <f t="shared" si="103"/>
        <v>1.25</v>
      </c>
      <c r="AQ127" s="83">
        <f t="shared" si="60"/>
        <v>1.25</v>
      </c>
      <c r="AR127" s="119" t="s">
        <v>22</v>
      </c>
      <c r="AS127" s="118" t="s">
        <v>22</v>
      </c>
      <c r="AT127" s="1"/>
      <c r="AU127" s="544" t="s">
        <v>30</v>
      </c>
      <c r="AV127" s="168">
        <v>46059</v>
      </c>
      <c r="AW127" s="223">
        <v>327</v>
      </c>
      <c r="AX127" s="90">
        <v>0.28000000000000003</v>
      </c>
      <c r="AY127" s="90">
        <v>0.28000000000000003</v>
      </c>
      <c r="AZ127" s="90">
        <v>0.28000000000000003</v>
      </c>
      <c r="BA127" s="90">
        <v>0.28000000000000003</v>
      </c>
      <c r="BB127" s="90">
        <v>0.28000000000000003</v>
      </c>
      <c r="BC127" s="90">
        <v>0.28000000000000003</v>
      </c>
      <c r="BD127" s="90">
        <v>0.28000000000000003</v>
      </c>
      <c r="BE127" s="90">
        <v>0.28000000000000003</v>
      </c>
      <c r="BF127" s="90">
        <v>0.28000000000000003</v>
      </c>
      <c r="BG127" s="90">
        <v>0.42</v>
      </c>
      <c r="BH127" s="90" t="s">
        <v>22</v>
      </c>
      <c r="BI127" s="90" t="s">
        <v>22</v>
      </c>
      <c r="BJ127" s="83">
        <f t="shared" si="104"/>
        <v>1</v>
      </c>
      <c r="BK127" s="83">
        <f t="shared" si="105"/>
        <v>1</v>
      </c>
      <c r="BL127" s="83">
        <f t="shared" si="106"/>
        <v>1</v>
      </c>
      <c r="BM127" s="83">
        <f t="shared" si="107"/>
        <v>1</v>
      </c>
      <c r="BN127" s="83">
        <f t="shared" si="67"/>
        <v>1.4999999999999998</v>
      </c>
      <c r="BO127" s="119" t="s">
        <v>22</v>
      </c>
      <c r="BP127" s="429" t="s">
        <v>22</v>
      </c>
    </row>
    <row r="128" spans="1:68" ht="14.25" customHeight="1">
      <c r="A128" s="506"/>
      <c r="B128" s="132">
        <v>46060</v>
      </c>
      <c r="C128" s="166">
        <f t="shared" si="85"/>
        <v>2133</v>
      </c>
      <c r="D128" s="89">
        <f t="shared" si="86"/>
        <v>0.29457102672292546</v>
      </c>
      <c r="E128" s="89">
        <f t="shared" si="87"/>
        <v>0.75353023909985939</v>
      </c>
      <c r="F128" s="89">
        <f t="shared" si="88"/>
        <v>0.86708860759493667</v>
      </c>
      <c r="G128" s="89">
        <f t="shared" si="89"/>
        <v>1.101350210970464</v>
      </c>
      <c r="H128" s="89">
        <f t="shared" si="90"/>
        <v>1.2154289732770747</v>
      </c>
      <c r="I128" s="89">
        <f t="shared" si="91"/>
        <v>1.2834036568213782</v>
      </c>
      <c r="J128" s="89">
        <f t="shared" si="92"/>
        <v>1.2962869198312237</v>
      </c>
      <c r="K128" s="89">
        <f t="shared" si="93"/>
        <v>1.5525738396624473</v>
      </c>
      <c r="L128" s="89">
        <f t="shared" si="94"/>
        <v>1.6369901547116739</v>
      </c>
      <c r="M128" s="89">
        <f t="shared" si="95"/>
        <v>1.6724191279887484</v>
      </c>
      <c r="N128" s="90" t="s">
        <v>22</v>
      </c>
      <c r="O128" s="90" t="s">
        <v>22</v>
      </c>
      <c r="P128" s="83">
        <f t="shared" si="96"/>
        <v>2.9435637891520243</v>
      </c>
      <c r="Q128" s="83">
        <f t="shared" si="97"/>
        <v>4.4005920550038198</v>
      </c>
      <c r="R128" s="83">
        <f t="shared" si="98"/>
        <v>5.2706264323911389</v>
      </c>
      <c r="S128" s="83">
        <f t="shared" si="99"/>
        <v>5.557200152788389</v>
      </c>
      <c r="T128" s="83">
        <f t="shared" si="55"/>
        <v>5.6774732620320858</v>
      </c>
      <c r="U128" s="119" t="s">
        <v>22</v>
      </c>
      <c r="V128" s="118" t="s">
        <v>22</v>
      </c>
      <c r="W128" s="1"/>
      <c r="X128" s="506"/>
      <c r="Y128" s="132">
        <v>46060</v>
      </c>
      <c r="Z128" s="141">
        <v>1446</v>
      </c>
      <c r="AA128" s="90">
        <v>0.33</v>
      </c>
      <c r="AB128" s="90">
        <v>0.95</v>
      </c>
      <c r="AC128" s="90">
        <v>1.07</v>
      </c>
      <c r="AD128" s="90">
        <v>1.1399999999999999</v>
      </c>
      <c r="AE128" s="90">
        <v>1.18</v>
      </c>
      <c r="AF128" s="90">
        <v>1.19</v>
      </c>
      <c r="AG128" s="90">
        <v>1.19</v>
      </c>
      <c r="AH128" s="90">
        <v>1.34</v>
      </c>
      <c r="AI128" s="90">
        <v>1.36</v>
      </c>
      <c r="AJ128" s="90">
        <v>1.36</v>
      </c>
      <c r="AK128" s="90" t="s">
        <v>22</v>
      </c>
      <c r="AL128" s="90" t="s">
        <v>22</v>
      </c>
      <c r="AM128" s="83">
        <f t="shared" si="100"/>
        <v>3.2424242424242427</v>
      </c>
      <c r="AN128" s="83">
        <f t="shared" si="101"/>
        <v>3.6060606060606055</v>
      </c>
      <c r="AO128" s="83">
        <f t="shared" si="102"/>
        <v>4.0606060606060606</v>
      </c>
      <c r="AP128" s="83">
        <f t="shared" si="103"/>
        <v>4.1212121212121211</v>
      </c>
      <c r="AQ128" s="83">
        <f t="shared" si="60"/>
        <v>4.1212121212121211</v>
      </c>
      <c r="AR128" s="119" t="s">
        <v>22</v>
      </c>
      <c r="AS128" s="118" t="s">
        <v>22</v>
      </c>
      <c r="AT128" s="1"/>
      <c r="AU128" s="506"/>
      <c r="AV128" s="168">
        <v>46060</v>
      </c>
      <c r="AW128" s="223">
        <v>687</v>
      </c>
      <c r="AX128" s="90">
        <v>0.22</v>
      </c>
      <c r="AY128" s="90">
        <v>0.34</v>
      </c>
      <c r="AZ128" s="90">
        <v>0.44</v>
      </c>
      <c r="BA128" s="90">
        <v>1.02</v>
      </c>
      <c r="BB128" s="90">
        <v>1.29</v>
      </c>
      <c r="BC128" s="90">
        <v>1.48</v>
      </c>
      <c r="BD128" s="90">
        <v>1.52</v>
      </c>
      <c r="BE128" s="90">
        <v>2</v>
      </c>
      <c r="BF128" s="90">
        <v>2.2200000000000002</v>
      </c>
      <c r="BG128" s="90">
        <v>2.33</v>
      </c>
      <c r="BH128" s="90" t="s">
        <v>22</v>
      </c>
      <c r="BI128" s="90" t="s">
        <v>22</v>
      </c>
      <c r="BJ128" s="83">
        <f t="shared" si="104"/>
        <v>2</v>
      </c>
      <c r="BK128" s="83">
        <f t="shared" si="105"/>
        <v>6.9090909090909092</v>
      </c>
      <c r="BL128" s="83">
        <f t="shared" si="106"/>
        <v>9.0909090909090917</v>
      </c>
      <c r="BM128" s="83">
        <f t="shared" si="107"/>
        <v>10.090909090909092</v>
      </c>
      <c r="BN128" s="83">
        <f t="shared" si="67"/>
        <v>10.590909090909092</v>
      </c>
      <c r="BO128" s="119" t="s">
        <v>22</v>
      </c>
      <c r="BP128" s="429" t="s">
        <v>22</v>
      </c>
    </row>
    <row r="129" spans="1:68" ht="14.25" customHeight="1">
      <c r="A129" s="506"/>
      <c r="B129" s="132">
        <v>46061</v>
      </c>
      <c r="C129" s="166">
        <f t="shared" si="85"/>
        <v>2009</v>
      </c>
      <c r="D129" s="89">
        <f t="shared" si="86"/>
        <v>0.40115978098556493</v>
      </c>
      <c r="E129" s="89">
        <f t="shared" si="87"/>
        <v>0.9253260328521653</v>
      </c>
      <c r="F129" s="89">
        <f t="shared" si="88"/>
        <v>1.280562468889995</v>
      </c>
      <c r="G129" s="89">
        <f t="shared" si="89"/>
        <v>1.4360129417620706</v>
      </c>
      <c r="H129" s="89">
        <f t="shared" si="90"/>
        <v>1.7344698855151817</v>
      </c>
      <c r="I129" s="89">
        <f t="shared" si="91"/>
        <v>1.8553708312593329</v>
      </c>
      <c r="J129" s="89">
        <f t="shared" si="92"/>
        <v>1.9044698855151816</v>
      </c>
      <c r="K129" s="89">
        <f t="shared" si="93"/>
        <v>2.8219810851169735</v>
      </c>
      <c r="L129" s="89">
        <f t="shared" si="94"/>
        <v>3.9006072672971626</v>
      </c>
      <c r="M129" s="89">
        <f t="shared" si="95"/>
        <v>5.531473369835739</v>
      </c>
      <c r="N129" s="90" t="s">
        <v>22</v>
      </c>
      <c r="O129" s="90" t="s">
        <v>22</v>
      </c>
      <c r="P129" s="83">
        <f t="shared" si="96"/>
        <v>3.1921506830618047</v>
      </c>
      <c r="Q129" s="83">
        <f t="shared" si="97"/>
        <v>4.7474098246745999</v>
      </c>
      <c r="R129" s="83">
        <f t="shared" si="98"/>
        <v>7.0345563510478577</v>
      </c>
      <c r="S129" s="83">
        <f t="shared" si="99"/>
        <v>9.7233258471579411</v>
      </c>
      <c r="T129" s="83">
        <f t="shared" si="55"/>
        <v>13.788703733574877</v>
      </c>
      <c r="U129" s="119" t="s">
        <v>22</v>
      </c>
      <c r="V129" s="118" t="s">
        <v>22</v>
      </c>
      <c r="W129" s="1"/>
      <c r="X129" s="506"/>
      <c r="Y129" s="132">
        <v>46061</v>
      </c>
      <c r="Z129" s="141">
        <v>1233</v>
      </c>
      <c r="AA129" s="90">
        <v>0.49</v>
      </c>
      <c r="AB129" s="90">
        <v>1.3</v>
      </c>
      <c r="AC129" s="90">
        <v>1.69</v>
      </c>
      <c r="AD129" s="90">
        <v>1.83</v>
      </c>
      <c r="AE129" s="90">
        <v>2.31</v>
      </c>
      <c r="AF129" s="90">
        <v>2.4</v>
      </c>
      <c r="AG129" s="90">
        <v>2.48</v>
      </c>
      <c r="AH129" s="90">
        <v>3.44</v>
      </c>
      <c r="AI129" s="90">
        <v>4.4800000000000004</v>
      </c>
      <c r="AJ129" s="90">
        <v>6.81</v>
      </c>
      <c r="AK129" s="90" t="s">
        <v>22</v>
      </c>
      <c r="AL129" s="90" t="s">
        <v>22</v>
      </c>
      <c r="AM129" s="83">
        <f t="shared" si="100"/>
        <v>3.4489795918367347</v>
      </c>
      <c r="AN129" s="83">
        <f t="shared" si="101"/>
        <v>5.0612244897959187</v>
      </c>
      <c r="AO129" s="83">
        <f t="shared" si="102"/>
        <v>7.0204081632653059</v>
      </c>
      <c r="AP129" s="83">
        <f t="shared" si="103"/>
        <v>9.1428571428571441</v>
      </c>
      <c r="AQ129" s="83">
        <f t="shared" si="60"/>
        <v>13.897959183673469</v>
      </c>
      <c r="AR129" s="119" t="s">
        <v>22</v>
      </c>
      <c r="AS129" s="118" t="s">
        <v>22</v>
      </c>
      <c r="AT129" s="1"/>
      <c r="AU129" s="506"/>
      <c r="AV129" s="168">
        <v>46061</v>
      </c>
      <c r="AW129" s="223">
        <v>776</v>
      </c>
      <c r="AX129" s="90">
        <v>0.26</v>
      </c>
      <c r="AY129" s="90">
        <v>0.33</v>
      </c>
      <c r="AZ129" s="90">
        <v>0.63</v>
      </c>
      <c r="BA129" s="90">
        <v>0.81</v>
      </c>
      <c r="BB129" s="90">
        <v>0.82</v>
      </c>
      <c r="BC129" s="90">
        <v>0.99</v>
      </c>
      <c r="BD129" s="90">
        <v>0.99</v>
      </c>
      <c r="BE129" s="90">
        <v>1.84</v>
      </c>
      <c r="BF129" s="90">
        <v>2.98</v>
      </c>
      <c r="BG129" s="90">
        <v>3.5</v>
      </c>
      <c r="BH129" s="90" t="s">
        <v>22</v>
      </c>
      <c r="BI129" s="90" t="s">
        <v>22</v>
      </c>
      <c r="BJ129" s="83">
        <f t="shared" si="104"/>
        <v>2.4230769230769229</v>
      </c>
      <c r="BK129" s="83">
        <f t="shared" si="105"/>
        <v>3.8076923076923075</v>
      </c>
      <c r="BL129" s="83">
        <f t="shared" si="106"/>
        <v>7.0769230769230766</v>
      </c>
      <c r="BM129" s="83">
        <f t="shared" si="107"/>
        <v>11.461538461538462</v>
      </c>
      <c r="BN129" s="83">
        <f t="shared" si="67"/>
        <v>13.461538461538462</v>
      </c>
      <c r="BO129" s="119" t="s">
        <v>22</v>
      </c>
      <c r="BP129" s="429" t="s">
        <v>22</v>
      </c>
    </row>
    <row r="130" spans="1:68" ht="14.25" customHeight="1">
      <c r="A130" s="598" t="s">
        <v>25</v>
      </c>
      <c r="B130" s="88">
        <v>46062</v>
      </c>
      <c r="C130" s="184">
        <f t="shared" si="85"/>
        <v>2129</v>
      </c>
      <c r="D130" s="89">
        <f t="shared" si="86"/>
        <v>0.10934711131986849</v>
      </c>
      <c r="E130" s="89">
        <f t="shared" si="87"/>
        <v>0.33075622357914519</v>
      </c>
      <c r="F130" s="89">
        <f t="shared" si="88"/>
        <v>0.66824800375763271</v>
      </c>
      <c r="G130" s="89">
        <f t="shared" si="89"/>
        <v>0.83895255988727091</v>
      </c>
      <c r="H130" s="89">
        <f t="shared" si="90"/>
        <v>0.93066228276186003</v>
      </c>
      <c r="I130" s="89">
        <f t="shared" si="91"/>
        <v>0.93699389384687648</v>
      </c>
      <c r="J130" s="89">
        <f t="shared" si="92"/>
        <v>1.0470455612963832</v>
      </c>
      <c r="K130" s="89">
        <f t="shared" si="93"/>
        <v>1.3847346171911694</v>
      </c>
      <c r="L130" s="89">
        <f t="shared" si="94"/>
        <v>1.7285580084546734</v>
      </c>
      <c r="M130" s="89">
        <f t="shared" si="95"/>
        <v>1.7348896195396899</v>
      </c>
      <c r="N130" s="90" t="s">
        <v>22</v>
      </c>
      <c r="O130" s="90" t="s">
        <v>22</v>
      </c>
      <c r="P130" s="83">
        <f t="shared" si="96"/>
        <v>6.1112542955326461</v>
      </c>
      <c r="Q130" s="83">
        <f t="shared" si="97"/>
        <v>9.5754295532646037</v>
      </c>
      <c r="R130" s="83">
        <f t="shared" si="98"/>
        <v>12.66365979381443</v>
      </c>
      <c r="S130" s="83">
        <f t="shared" si="99"/>
        <v>15.807989690721648</v>
      </c>
      <c r="T130" s="83">
        <f t="shared" si="55"/>
        <v>15.865893470790375</v>
      </c>
      <c r="U130" s="119" t="s">
        <v>22</v>
      </c>
      <c r="V130" s="118" t="s">
        <v>22</v>
      </c>
      <c r="W130" s="1"/>
      <c r="X130" s="556" t="s">
        <v>25</v>
      </c>
      <c r="Y130" s="88">
        <v>46062</v>
      </c>
      <c r="Z130" s="71">
        <v>1348</v>
      </c>
      <c r="AA130" s="90">
        <v>0.08</v>
      </c>
      <c r="AB130" s="90">
        <v>0.14000000000000001</v>
      </c>
      <c r="AC130" s="90">
        <v>0.14000000000000001</v>
      </c>
      <c r="AD130" s="90">
        <v>0.23</v>
      </c>
      <c r="AE130" s="90">
        <v>0.23</v>
      </c>
      <c r="AF130" s="90">
        <v>0.24</v>
      </c>
      <c r="AG130" s="90">
        <v>0.24</v>
      </c>
      <c r="AH130" s="90">
        <v>0.53</v>
      </c>
      <c r="AI130" s="90">
        <v>0.54</v>
      </c>
      <c r="AJ130" s="90">
        <v>0.55000000000000004</v>
      </c>
      <c r="AK130" s="90" t="s">
        <v>22</v>
      </c>
      <c r="AL130" s="90" t="s">
        <v>22</v>
      </c>
      <c r="AM130" s="83">
        <f t="shared" si="100"/>
        <v>1.7500000000000002</v>
      </c>
      <c r="AN130" s="83">
        <f t="shared" si="101"/>
        <v>3</v>
      </c>
      <c r="AO130" s="83">
        <f t="shared" si="102"/>
        <v>6.625</v>
      </c>
      <c r="AP130" s="83">
        <f t="shared" si="103"/>
        <v>6.75</v>
      </c>
      <c r="AQ130" s="83">
        <f t="shared" si="60"/>
        <v>6.875</v>
      </c>
      <c r="AR130" s="119" t="s">
        <v>22</v>
      </c>
      <c r="AS130" s="118" t="s">
        <v>22</v>
      </c>
      <c r="AT130" s="1"/>
      <c r="AU130" s="545" t="s">
        <v>25</v>
      </c>
      <c r="AV130" s="164">
        <v>46062</v>
      </c>
      <c r="AW130" s="211">
        <v>781</v>
      </c>
      <c r="AX130" s="90">
        <v>0.16</v>
      </c>
      <c r="AY130" s="90">
        <v>0.66</v>
      </c>
      <c r="AZ130" s="90">
        <v>1.58</v>
      </c>
      <c r="BA130" s="90">
        <v>1.89</v>
      </c>
      <c r="BB130" s="90">
        <v>2.14</v>
      </c>
      <c r="BC130" s="90">
        <v>2.14</v>
      </c>
      <c r="BD130" s="90">
        <v>2.44</v>
      </c>
      <c r="BE130" s="90">
        <v>2.86</v>
      </c>
      <c r="BF130" s="90">
        <v>3.78</v>
      </c>
      <c r="BG130" s="90">
        <v>3.78</v>
      </c>
      <c r="BH130" s="90" t="s">
        <v>22</v>
      </c>
      <c r="BI130" s="90" t="s">
        <v>22</v>
      </c>
      <c r="BJ130" s="83">
        <f t="shared" si="104"/>
        <v>9.875</v>
      </c>
      <c r="BK130" s="83">
        <f t="shared" si="105"/>
        <v>15.25</v>
      </c>
      <c r="BL130" s="83">
        <f t="shared" si="106"/>
        <v>17.875</v>
      </c>
      <c r="BM130" s="83">
        <f t="shared" si="107"/>
        <v>23.625</v>
      </c>
      <c r="BN130" s="83">
        <f t="shared" si="67"/>
        <v>23.625</v>
      </c>
      <c r="BO130" s="119" t="s">
        <v>22</v>
      </c>
      <c r="BP130" s="429" t="s">
        <v>22</v>
      </c>
    </row>
    <row r="131" spans="1:68" ht="14.25" customHeight="1">
      <c r="A131" s="502"/>
      <c r="B131" s="88">
        <v>46063</v>
      </c>
      <c r="C131" s="184">
        <f t="shared" si="85"/>
        <v>2128</v>
      </c>
      <c r="D131" s="89">
        <f t="shared" si="86"/>
        <v>0.39493421052631578</v>
      </c>
      <c r="E131" s="89">
        <f t="shared" si="87"/>
        <v>1.2809774436090227</v>
      </c>
      <c r="F131" s="89">
        <f t="shared" si="88"/>
        <v>2.7429323308270672</v>
      </c>
      <c r="G131" s="89">
        <f t="shared" si="89"/>
        <v>3.3278665413533832</v>
      </c>
      <c r="H131" s="89">
        <f t="shared" si="90"/>
        <v>3.6694501879699248</v>
      </c>
      <c r="I131" s="89">
        <f t="shared" si="91"/>
        <v>4.1934351503759393</v>
      </c>
      <c r="J131" s="89">
        <f t="shared" si="92"/>
        <v>4.6945441729323312</v>
      </c>
      <c r="K131" s="89">
        <f t="shared" si="93"/>
        <v>5.8163392857142853</v>
      </c>
      <c r="L131" s="89">
        <f t="shared" si="94"/>
        <v>5.9496898496240602</v>
      </c>
      <c r="M131" s="89">
        <f t="shared" si="95"/>
        <v>5.9529088345864665</v>
      </c>
      <c r="N131" s="90" t="s">
        <v>22</v>
      </c>
      <c r="O131" s="90" t="s">
        <v>22</v>
      </c>
      <c r="P131" s="83">
        <f t="shared" si="96"/>
        <v>6.9452892601318377</v>
      </c>
      <c r="Q131" s="83">
        <f t="shared" si="97"/>
        <v>11.886901787201639</v>
      </c>
      <c r="R131" s="83">
        <f t="shared" si="98"/>
        <v>14.72736250922158</v>
      </c>
      <c r="S131" s="83">
        <f t="shared" si="99"/>
        <v>15.065015111491874</v>
      </c>
      <c r="T131" s="83">
        <f t="shared" si="55"/>
        <v>15.073165798053356</v>
      </c>
      <c r="U131" s="119" t="s">
        <v>22</v>
      </c>
      <c r="V131" s="118" t="s">
        <v>22</v>
      </c>
      <c r="W131" s="1"/>
      <c r="X131" s="502"/>
      <c r="Y131" s="88">
        <v>46063</v>
      </c>
      <c r="Z131" s="71">
        <v>1443</v>
      </c>
      <c r="AA131" s="90">
        <v>0.44</v>
      </c>
      <c r="AB131" s="90">
        <v>1.59</v>
      </c>
      <c r="AC131" s="90">
        <v>3.67</v>
      </c>
      <c r="AD131" s="90">
        <v>4.3</v>
      </c>
      <c r="AE131" s="90">
        <v>4.78</v>
      </c>
      <c r="AF131" s="90">
        <v>5.51</v>
      </c>
      <c r="AG131" s="90">
        <v>6.23</v>
      </c>
      <c r="AH131" s="90">
        <v>7.59</v>
      </c>
      <c r="AI131" s="90">
        <v>7.63</v>
      </c>
      <c r="AJ131" s="90">
        <v>7.63</v>
      </c>
      <c r="AK131" s="90" t="s">
        <v>22</v>
      </c>
      <c r="AL131" s="90" t="s">
        <v>22</v>
      </c>
      <c r="AM131" s="83">
        <f t="shared" si="100"/>
        <v>8.3409090909090899</v>
      </c>
      <c r="AN131" s="83">
        <f t="shared" si="101"/>
        <v>14.15909090909091</v>
      </c>
      <c r="AO131" s="83">
        <f t="shared" si="102"/>
        <v>17.25</v>
      </c>
      <c r="AP131" s="83">
        <f t="shared" si="103"/>
        <v>17.34090909090909</v>
      </c>
      <c r="AQ131" s="83">
        <f t="shared" si="60"/>
        <v>17.34090909090909</v>
      </c>
      <c r="AR131" s="119" t="s">
        <v>22</v>
      </c>
      <c r="AS131" s="118" t="s">
        <v>22</v>
      </c>
      <c r="AT131" s="1"/>
      <c r="AU131" s="502"/>
      <c r="AV131" s="164">
        <v>46063</v>
      </c>
      <c r="AW131" s="211">
        <v>685</v>
      </c>
      <c r="AX131" s="90">
        <v>0.3</v>
      </c>
      <c r="AY131" s="90">
        <v>0.63</v>
      </c>
      <c r="AZ131" s="90">
        <v>0.79</v>
      </c>
      <c r="BA131" s="90">
        <v>1.28</v>
      </c>
      <c r="BB131" s="90">
        <v>1.33</v>
      </c>
      <c r="BC131" s="90">
        <v>1.42</v>
      </c>
      <c r="BD131" s="90">
        <v>1.46</v>
      </c>
      <c r="BE131" s="90">
        <v>2.08</v>
      </c>
      <c r="BF131" s="90">
        <v>2.41</v>
      </c>
      <c r="BG131" s="90">
        <v>2.42</v>
      </c>
      <c r="BH131" s="90" t="s">
        <v>22</v>
      </c>
      <c r="BI131" s="90" t="s">
        <v>22</v>
      </c>
      <c r="BJ131" s="83">
        <f t="shared" si="104"/>
        <v>2.6333333333333337</v>
      </c>
      <c r="BK131" s="83">
        <f t="shared" si="105"/>
        <v>4.8666666666666671</v>
      </c>
      <c r="BL131" s="83">
        <f t="shared" si="106"/>
        <v>6.9333333333333336</v>
      </c>
      <c r="BM131" s="83">
        <f t="shared" si="107"/>
        <v>8.033333333333335</v>
      </c>
      <c r="BN131" s="83">
        <f t="shared" si="67"/>
        <v>8.0666666666666664</v>
      </c>
      <c r="BO131" s="119" t="s">
        <v>22</v>
      </c>
      <c r="BP131" s="429" t="s">
        <v>22</v>
      </c>
    </row>
    <row r="132" spans="1:68" ht="14.25" customHeight="1">
      <c r="A132" s="502"/>
      <c r="B132" s="88">
        <v>46064</v>
      </c>
      <c r="C132" s="184">
        <f t="shared" si="85"/>
        <v>1954</v>
      </c>
      <c r="D132" s="89">
        <f t="shared" ref="D132:D140" si="108">($Z132*AA132+$AW132*AX132)/$C132</f>
        <v>0.51848515864892519</v>
      </c>
      <c r="E132" s="89">
        <f t="shared" ref="E132:E140" si="109">($Z132*AB132+$AW132*AY132)/$C132</f>
        <v>1.0353428863868985</v>
      </c>
      <c r="F132" s="89">
        <f t="shared" ref="F132:F140" si="110">($Z132*AC132+$AW132*AZ132)/$C132</f>
        <v>1.2109621289662231</v>
      </c>
      <c r="G132" s="89">
        <f t="shared" ref="G132:G140" si="111">($Z132*AD132+$AW132*BA132)/$C132</f>
        <v>1.7247082906857727</v>
      </c>
      <c r="H132" s="89">
        <f t="shared" ref="H132:H140" si="112">($Z132*AE132+$AW132*BB132)/$C132</f>
        <v>2.1116786079836229</v>
      </c>
      <c r="I132" s="89">
        <f t="shared" ref="I132:I140" si="113">($Z132*AF132+$AW132*BC132)/$C132</f>
        <v>2.2157830092118731</v>
      </c>
      <c r="J132" s="89">
        <f t="shared" ref="J132:J140" si="114">($Z132*AG132+$AW132*BD132)/$C132</f>
        <v>2.4339918116683728</v>
      </c>
      <c r="K132" s="89">
        <f t="shared" ref="K132:K140" si="115">($Z132*AH132+$AW132*BE132)/$C132</f>
        <v>3.1115660184237464</v>
      </c>
      <c r="L132" s="89">
        <f t="shared" ref="L132:L140" si="116">($Z132*AI132+$AW132*BF132)/$C132</f>
        <v>3.632804503582395</v>
      </c>
      <c r="M132" s="90" t="s">
        <v>22</v>
      </c>
      <c r="N132" s="90" t="s">
        <v>22</v>
      </c>
      <c r="O132" s="90" t="s">
        <v>22</v>
      </c>
      <c r="P132" s="83">
        <f t="shared" si="96"/>
        <v>2.3355772267845865</v>
      </c>
      <c r="Q132" s="83">
        <f t="shared" si="97"/>
        <v>4.6944290903348085</v>
      </c>
      <c r="R132" s="83">
        <f t="shared" si="98"/>
        <v>6.0012634238787124</v>
      </c>
      <c r="S132" s="83">
        <f t="shared" si="99"/>
        <v>7.0065737523689204</v>
      </c>
      <c r="T132" s="119" t="s">
        <v>22</v>
      </c>
      <c r="U132" s="119" t="s">
        <v>22</v>
      </c>
      <c r="V132" s="118" t="s">
        <v>22</v>
      </c>
      <c r="W132" s="1"/>
      <c r="X132" s="502"/>
      <c r="Y132" s="88">
        <v>46064</v>
      </c>
      <c r="Z132" s="71">
        <v>1448</v>
      </c>
      <c r="AA132" s="90">
        <v>0.49</v>
      </c>
      <c r="AB132" s="90">
        <v>1.17</v>
      </c>
      <c r="AC132" s="90">
        <v>1.4</v>
      </c>
      <c r="AD132" s="90">
        <v>1.95</v>
      </c>
      <c r="AE132" s="90">
        <v>2.2799999999999998</v>
      </c>
      <c r="AF132" s="90">
        <v>2.41</v>
      </c>
      <c r="AG132" s="90">
        <v>2.68</v>
      </c>
      <c r="AH132" s="90">
        <v>3.5</v>
      </c>
      <c r="AI132" s="90">
        <v>4.13</v>
      </c>
      <c r="AJ132" s="90" t="s">
        <v>22</v>
      </c>
      <c r="AK132" s="90" t="s">
        <v>22</v>
      </c>
      <c r="AL132" s="90" t="s">
        <v>22</v>
      </c>
      <c r="AM132" s="83">
        <f t="shared" si="100"/>
        <v>2.8571428571428572</v>
      </c>
      <c r="AN132" s="83">
        <f t="shared" si="101"/>
        <v>5.4693877551020416</v>
      </c>
      <c r="AO132" s="83">
        <f t="shared" si="102"/>
        <v>7.1428571428571432</v>
      </c>
      <c r="AP132" s="83">
        <f t="shared" si="103"/>
        <v>8.4285714285714288</v>
      </c>
      <c r="AQ132" s="119" t="s">
        <v>22</v>
      </c>
      <c r="AR132" s="119" t="s">
        <v>22</v>
      </c>
      <c r="AS132" s="118" t="s">
        <v>22</v>
      </c>
      <c r="AT132" s="1"/>
      <c r="AU132" s="502"/>
      <c r="AV132" s="164">
        <v>46064</v>
      </c>
      <c r="AW132" s="211">
        <v>506</v>
      </c>
      <c r="AX132" s="90">
        <v>0.6</v>
      </c>
      <c r="AY132" s="90">
        <v>0.65</v>
      </c>
      <c r="AZ132" s="90">
        <v>0.67</v>
      </c>
      <c r="BA132" s="90">
        <v>1.08</v>
      </c>
      <c r="BB132" s="90">
        <v>1.63</v>
      </c>
      <c r="BC132" s="90">
        <v>1.66</v>
      </c>
      <c r="BD132" s="90">
        <v>1.73</v>
      </c>
      <c r="BE132" s="90">
        <v>2</v>
      </c>
      <c r="BF132" s="90">
        <v>2.21</v>
      </c>
      <c r="BG132" s="90" t="s">
        <v>22</v>
      </c>
      <c r="BH132" s="90" t="s">
        <v>22</v>
      </c>
      <c r="BI132" s="90" t="s">
        <v>22</v>
      </c>
      <c r="BJ132" s="83">
        <f t="shared" si="104"/>
        <v>1.1166666666666667</v>
      </c>
      <c r="BK132" s="83">
        <f t="shared" si="105"/>
        <v>2.8833333333333333</v>
      </c>
      <c r="BL132" s="83">
        <f t="shared" si="106"/>
        <v>3.3333333333333335</v>
      </c>
      <c r="BM132" s="83">
        <f t="shared" si="107"/>
        <v>3.6833333333333336</v>
      </c>
      <c r="BN132" s="119" t="s">
        <v>22</v>
      </c>
      <c r="BO132" s="119" t="s">
        <v>22</v>
      </c>
      <c r="BP132" s="429" t="s">
        <v>22</v>
      </c>
    </row>
    <row r="133" spans="1:68" ht="14.25" customHeight="1">
      <c r="A133" s="90"/>
      <c r="B133" s="216">
        <v>46065</v>
      </c>
      <c r="C133" s="178">
        <f t="shared" si="85"/>
        <v>1978</v>
      </c>
      <c r="D133" s="89">
        <f t="shared" si="108"/>
        <v>0.50341759352881699</v>
      </c>
      <c r="E133" s="89">
        <f t="shared" si="109"/>
        <v>0.97758341759352874</v>
      </c>
      <c r="F133" s="89">
        <f t="shared" si="110"/>
        <v>1.168998988877654</v>
      </c>
      <c r="G133" s="89">
        <f t="shared" si="111"/>
        <v>1.2220829120323558</v>
      </c>
      <c r="H133" s="89">
        <f t="shared" si="112"/>
        <v>1.3306673407482308</v>
      </c>
      <c r="I133" s="89">
        <f t="shared" si="113"/>
        <v>1.3551668351870578</v>
      </c>
      <c r="J133" s="89">
        <f t="shared" si="114"/>
        <v>1.3703336703741154</v>
      </c>
      <c r="K133" s="89">
        <f t="shared" si="115"/>
        <v>1.6461678463094034</v>
      </c>
      <c r="L133" s="89">
        <f t="shared" si="116"/>
        <v>1.7718301314459051</v>
      </c>
      <c r="M133" s="90" t="s">
        <v>22</v>
      </c>
      <c r="N133" s="90" t="s">
        <v>22</v>
      </c>
      <c r="O133" s="90" t="s">
        <v>22</v>
      </c>
      <c r="P133" s="83">
        <f t="shared" si="96"/>
        <v>2.3221258134490235</v>
      </c>
      <c r="Q133" s="83">
        <f t="shared" si="97"/>
        <v>2.7220615409335585</v>
      </c>
      <c r="R133" s="83">
        <f t="shared" si="98"/>
        <v>3.2699847352775766</v>
      </c>
      <c r="S133" s="83">
        <f t="shared" si="99"/>
        <v>3.5196031172170001</v>
      </c>
      <c r="T133" s="119" t="s">
        <v>22</v>
      </c>
      <c r="U133" s="119" t="s">
        <v>22</v>
      </c>
      <c r="V133" s="118" t="s">
        <v>22</v>
      </c>
      <c r="W133" s="1"/>
      <c r="X133" s="90"/>
      <c r="Y133" s="216">
        <v>46065</v>
      </c>
      <c r="Z133" s="25">
        <v>1500</v>
      </c>
      <c r="AA133" s="90">
        <v>0.53</v>
      </c>
      <c r="AB133" s="90">
        <v>0.98</v>
      </c>
      <c r="AC133" s="90">
        <v>1.1399999999999999</v>
      </c>
      <c r="AD133" s="90">
        <v>1.21</v>
      </c>
      <c r="AE133" s="90">
        <v>1.35</v>
      </c>
      <c r="AF133" s="90">
        <v>1.36</v>
      </c>
      <c r="AG133" s="90">
        <v>1.38</v>
      </c>
      <c r="AH133" s="90">
        <v>1.68</v>
      </c>
      <c r="AI133" s="90">
        <v>1.68</v>
      </c>
      <c r="AJ133" s="90" t="s">
        <v>22</v>
      </c>
      <c r="AK133" s="90" t="s">
        <v>22</v>
      </c>
      <c r="AL133" s="90" t="s">
        <v>22</v>
      </c>
      <c r="AM133" s="83">
        <f t="shared" si="100"/>
        <v>2.1509433962264146</v>
      </c>
      <c r="AN133" s="83">
        <f t="shared" si="101"/>
        <v>2.6037735849056602</v>
      </c>
      <c r="AO133" s="83">
        <f t="shared" si="102"/>
        <v>3.1698113207547167</v>
      </c>
      <c r="AP133" s="83">
        <f t="shared" si="103"/>
        <v>3.1698113207547167</v>
      </c>
      <c r="AQ133" s="119" t="s">
        <v>22</v>
      </c>
      <c r="AR133" s="119" t="s">
        <v>22</v>
      </c>
      <c r="AS133" s="118" t="s">
        <v>22</v>
      </c>
      <c r="AT133" s="1"/>
      <c r="AU133" s="90"/>
      <c r="AV133" s="163">
        <v>46065</v>
      </c>
      <c r="AW133" s="154">
        <v>478</v>
      </c>
      <c r="AX133" s="90">
        <v>0.42</v>
      </c>
      <c r="AY133" s="90">
        <v>0.97</v>
      </c>
      <c r="AZ133" s="90">
        <v>1.26</v>
      </c>
      <c r="BA133" s="90">
        <v>1.26</v>
      </c>
      <c r="BB133" s="90">
        <v>1.27</v>
      </c>
      <c r="BC133" s="90">
        <v>1.34</v>
      </c>
      <c r="BD133" s="90">
        <v>1.34</v>
      </c>
      <c r="BE133" s="90">
        <v>1.54</v>
      </c>
      <c r="BF133" s="90">
        <v>2.06</v>
      </c>
      <c r="BG133" s="90" t="s">
        <v>22</v>
      </c>
      <c r="BH133" s="90" t="s">
        <v>22</v>
      </c>
      <c r="BI133" s="90" t="s">
        <v>22</v>
      </c>
      <c r="BJ133" s="83">
        <f t="shared" si="104"/>
        <v>3</v>
      </c>
      <c r="BK133" s="83">
        <f t="shared" si="105"/>
        <v>3.1904761904761907</v>
      </c>
      <c r="BL133" s="83">
        <f t="shared" si="106"/>
        <v>3.666666666666667</v>
      </c>
      <c r="BM133" s="83">
        <f t="shared" si="107"/>
        <v>4.9047619047619051</v>
      </c>
      <c r="BN133" s="119" t="s">
        <v>22</v>
      </c>
      <c r="BO133" s="119" t="s">
        <v>22</v>
      </c>
      <c r="BP133" s="429" t="s">
        <v>22</v>
      </c>
    </row>
    <row r="134" spans="1:68" ht="14.25" customHeight="1">
      <c r="A134" s="90"/>
      <c r="B134" s="216">
        <v>46066</v>
      </c>
      <c r="C134" s="178">
        <f t="shared" si="85"/>
        <v>1727</v>
      </c>
      <c r="D134" s="89">
        <f t="shared" si="108"/>
        <v>0.12139548349739432</v>
      </c>
      <c r="E134" s="89">
        <f t="shared" si="109"/>
        <v>0.13139548349739433</v>
      </c>
      <c r="F134" s="89">
        <f t="shared" si="110"/>
        <v>0.22211349160393748</v>
      </c>
      <c r="G134" s="89">
        <f t="shared" si="111"/>
        <v>0.26012159814707586</v>
      </c>
      <c r="H134" s="89">
        <f t="shared" si="112"/>
        <v>0.2868152866242038</v>
      </c>
      <c r="I134" s="89">
        <f t="shared" si="113"/>
        <v>0.2868152866242038</v>
      </c>
      <c r="J134" s="89">
        <f t="shared" si="114"/>
        <v>0.2868152866242038</v>
      </c>
      <c r="K134" s="89">
        <f t="shared" si="115"/>
        <v>0.39219455703532141</v>
      </c>
      <c r="L134" s="89">
        <f t="shared" si="116"/>
        <v>0.44825130283729009</v>
      </c>
      <c r="M134" s="90" t="s">
        <v>22</v>
      </c>
      <c r="N134" s="90" t="s">
        <v>22</v>
      </c>
      <c r="O134" s="90" t="s">
        <v>22</v>
      </c>
      <c r="P134" s="83">
        <f t="shared" si="96"/>
        <v>1.8296684951108992</v>
      </c>
      <c r="Q134" s="83">
        <f t="shared" si="97"/>
        <v>2.362652039112807</v>
      </c>
      <c r="R134" s="83">
        <f t="shared" si="98"/>
        <v>3.2307178631051761</v>
      </c>
      <c r="S134" s="83">
        <f t="shared" si="99"/>
        <v>3.6924874791318865</v>
      </c>
      <c r="T134" s="119" t="s">
        <v>22</v>
      </c>
      <c r="U134" s="119" t="s">
        <v>22</v>
      </c>
      <c r="V134" s="118" t="s">
        <v>22</v>
      </c>
      <c r="W134" s="1"/>
      <c r="X134" s="90"/>
      <c r="Y134" s="216">
        <v>46066</v>
      </c>
      <c r="Z134" s="25">
        <v>1266</v>
      </c>
      <c r="AA134" s="90">
        <v>0.06</v>
      </c>
      <c r="AB134" s="90">
        <v>7.0000000000000007E-2</v>
      </c>
      <c r="AC134" s="90">
        <v>0.11</v>
      </c>
      <c r="AD134" s="90">
        <v>0.14000000000000001</v>
      </c>
      <c r="AE134" s="90">
        <v>0.14000000000000001</v>
      </c>
      <c r="AF134" s="90">
        <v>0.14000000000000001</v>
      </c>
      <c r="AG134" s="90">
        <v>0.14000000000000001</v>
      </c>
      <c r="AH134" s="90">
        <v>0.2</v>
      </c>
      <c r="AI134" s="90">
        <v>0.2</v>
      </c>
      <c r="AJ134" s="90" t="s">
        <v>22</v>
      </c>
      <c r="AK134" s="90" t="s">
        <v>22</v>
      </c>
      <c r="AL134" s="90" t="s">
        <v>22</v>
      </c>
      <c r="AM134" s="83">
        <f t="shared" si="100"/>
        <v>1.8333333333333335</v>
      </c>
      <c r="AN134" s="83">
        <f t="shared" si="101"/>
        <v>2.3333333333333335</v>
      </c>
      <c r="AO134" s="83">
        <f t="shared" si="102"/>
        <v>3.3333333333333335</v>
      </c>
      <c r="AP134" s="83">
        <f t="shared" si="103"/>
        <v>3.3333333333333335</v>
      </c>
      <c r="AQ134" s="119" t="s">
        <v>22</v>
      </c>
      <c r="AR134" s="119" t="s">
        <v>22</v>
      </c>
      <c r="AS134" s="118" t="s">
        <v>22</v>
      </c>
      <c r="AT134" s="1"/>
      <c r="AU134" s="90"/>
      <c r="AV134" s="163">
        <v>46066</v>
      </c>
      <c r="AW134" s="154">
        <v>461</v>
      </c>
      <c r="AX134" s="90">
        <v>0.28999999999999998</v>
      </c>
      <c r="AY134" s="90">
        <v>0.3</v>
      </c>
      <c r="AZ134" s="90">
        <v>0.53</v>
      </c>
      <c r="BA134" s="90">
        <v>0.59</v>
      </c>
      <c r="BB134" s="90">
        <v>0.69</v>
      </c>
      <c r="BC134" s="90">
        <v>0.69</v>
      </c>
      <c r="BD134" s="90">
        <v>0.69</v>
      </c>
      <c r="BE134" s="90">
        <v>0.92</v>
      </c>
      <c r="BF134" s="90">
        <v>1.1299999999999999</v>
      </c>
      <c r="BG134" s="90" t="s">
        <v>22</v>
      </c>
      <c r="BH134" s="90" t="s">
        <v>22</v>
      </c>
      <c r="BI134" s="90" t="s">
        <v>22</v>
      </c>
      <c r="BJ134" s="83">
        <f t="shared" si="104"/>
        <v>1.827586206896552</v>
      </c>
      <c r="BK134" s="83">
        <f t="shared" si="105"/>
        <v>2.3793103448275863</v>
      </c>
      <c r="BL134" s="83">
        <f t="shared" si="106"/>
        <v>3.1724137931034488</v>
      </c>
      <c r="BM134" s="83">
        <f t="shared" si="107"/>
        <v>3.896551724137931</v>
      </c>
      <c r="BN134" s="119" t="s">
        <v>22</v>
      </c>
      <c r="BO134" s="119" t="s">
        <v>22</v>
      </c>
      <c r="BP134" s="429" t="s">
        <v>22</v>
      </c>
    </row>
    <row r="135" spans="1:68" ht="14.25" customHeight="1">
      <c r="A135" s="599" t="s">
        <v>26</v>
      </c>
      <c r="B135" s="132">
        <v>46067</v>
      </c>
      <c r="C135" s="166">
        <f t="shared" si="85"/>
        <v>1568</v>
      </c>
      <c r="D135" s="89">
        <f t="shared" si="108"/>
        <v>0.14466836734693878</v>
      </c>
      <c r="E135" s="89">
        <f t="shared" si="109"/>
        <v>0.49520408163265306</v>
      </c>
      <c r="F135" s="89">
        <f t="shared" si="110"/>
        <v>0.55663903061224496</v>
      </c>
      <c r="G135" s="89">
        <f t="shared" si="111"/>
        <v>0.65747448979591838</v>
      </c>
      <c r="H135" s="89">
        <f t="shared" si="112"/>
        <v>0.68010841836734703</v>
      </c>
      <c r="I135" s="89">
        <f t="shared" si="113"/>
        <v>0.93231505102040813</v>
      </c>
      <c r="J135" s="89">
        <f t="shared" si="114"/>
        <v>1.0978188775510205</v>
      </c>
      <c r="K135" s="89">
        <f t="shared" si="115"/>
        <v>1.7092346938775509</v>
      </c>
      <c r="L135" s="89">
        <f t="shared" si="116"/>
        <v>2.1363456632653062</v>
      </c>
      <c r="M135" s="90" t="s">
        <v>22</v>
      </c>
      <c r="N135" s="90" t="s">
        <v>22</v>
      </c>
      <c r="O135" s="90" t="s">
        <v>22</v>
      </c>
      <c r="P135" s="83">
        <f t="shared" si="96"/>
        <v>3.847690001763358</v>
      </c>
      <c r="Q135" s="83">
        <f t="shared" si="97"/>
        <v>7.5885205431140896</v>
      </c>
      <c r="R135" s="83">
        <f t="shared" si="98"/>
        <v>11.814847469582084</v>
      </c>
      <c r="S135" s="83">
        <f t="shared" si="99"/>
        <v>14.767192734967379</v>
      </c>
      <c r="T135" s="119" t="s">
        <v>22</v>
      </c>
      <c r="U135" s="119" t="s">
        <v>22</v>
      </c>
      <c r="V135" s="118" t="s">
        <v>22</v>
      </c>
      <c r="W135" s="1"/>
      <c r="X135" s="557" t="s">
        <v>26</v>
      </c>
      <c r="Y135" s="132">
        <v>46067</v>
      </c>
      <c r="Z135" s="141">
        <v>1061</v>
      </c>
      <c r="AA135" s="90">
        <v>0.08</v>
      </c>
      <c r="AB135" s="90">
        <v>0.34</v>
      </c>
      <c r="AC135" s="90">
        <v>0.34</v>
      </c>
      <c r="AD135" s="90">
        <v>0.36</v>
      </c>
      <c r="AE135" s="90">
        <v>0.36</v>
      </c>
      <c r="AF135" s="90">
        <v>0.36</v>
      </c>
      <c r="AG135" s="90">
        <v>0.38</v>
      </c>
      <c r="AH135" s="90">
        <v>0.39</v>
      </c>
      <c r="AI135" s="90">
        <v>0.4</v>
      </c>
      <c r="AJ135" s="90" t="s">
        <v>22</v>
      </c>
      <c r="AK135" s="90" t="s">
        <v>22</v>
      </c>
      <c r="AL135" s="90" t="s">
        <v>22</v>
      </c>
      <c r="AM135" s="83">
        <f t="shared" si="100"/>
        <v>4.25</v>
      </c>
      <c r="AN135" s="83">
        <f t="shared" si="101"/>
        <v>4.75</v>
      </c>
      <c r="AO135" s="83">
        <f t="shared" si="102"/>
        <v>4.875</v>
      </c>
      <c r="AP135" s="83">
        <f t="shared" si="103"/>
        <v>5</v>
      </c>
      <c r="AQ135" s="119" t="s">
        <v>22</v>
      </c>
      <c r="AR135" s="119" t="s">
        <v>22</v>
      </c>
      <c r="AS135" s="118" t="s">
        <v>22</v>
      </c>
      <c r="AT135" s="1"/>
      <c r="AU135" s="529" t="s">
        <v>26</v>
      </c>
      <c r="AV135" s="168">
        <v>46067</v>
      </c>
      <c r="AW135" s="223">
        <v>507</v>
      </c>
      <c r="AX135" s="90">
        <v>0.28000000000000003</v>
      </c>
      <c r="AY135" s="90">
        <v>0.82</v>
      </c>
      <c r="AZ135" s="90">
        <v>1.01</v>
      </c>
      <c r="BA135" s="90">
        <v>1.28</v>
      </c>
      <c r="BB135" s="90">
        <v>1.35</v>
      </c>
      <c r="BC135" s="90">
        <v>2.13</v>
      </c>
      <c r="BD135" s="90">
        <v>2.6</v>
      </c>
      <c r="BE135" s="90">
        <v>4.47</v>
      </c>
      <c r="BF135" s="90">
        <v>5.77</v>
      </c>
      <c r="BG135" s="90" t="s">
        <v>22</v>
      </c>
      <c r="BH135" s="90" t="s">
        <v>22</v>
      </c>
      <c r="BI135" s="90" t="s">
        <v>22</v>
      </c>
      <c r="BJ135" s="83">
        <f t="shared" si="104"/>
        <v>3.6071428571428568</v>
      </c>
      <c r="BK135" s="83">
        <f t="shared" si="105"/>
        <v>9.2857142857142847</v>
      </c>
      <c r="BL135" s="83">
        <f t="shared" si="106"/>
        <v>15.964285714285712</v>
      </c>
      <c r="BM135" s="83">
        <f t="shared" si="107"/>
        <v>20.607142857142854</v>
      </c>
      <c r="BN135" s="119" t="s">
        <v>22</v>
      </c>
      <c r="BO135" s="119" t="s">
        <v>22</v>
      </c>
      <c r="BP135" s="429" t="s">
        <v>22</v>
      </c>
    </row>
    <row r="136" spans="1:68" ht="14.25" customHeight="1">
      <c r="A136" s="504"/>
      <c r="B136" s="132">
        <v>46068</v>
      </c>
      <c r="C136" s="166">
        <f t="shared" ref="C136:C157" si="117">Z136+AW136</f>
        <v>2163</v>
      </c>
      <c r="D136" s="89">
        <f t="shared" si="108"/>
        <v>0.14925566343042074</v>
      </c>
      <c r="E136" s="89">
        <f t="shared" si="109"/>
        <v>0.34822006472491912</v>
      </c>
      <c r="F136" s="89">
        <f t="shared" si="110"/>
        <v>0.40359223300970876</v>
      </c>
      <c r="G136" s="89">
        <f t="shared" si="111"/>
        <v>0.53142394822006467</v>
      </c>
      <c r="H136" s="89">
        <f t="shared" si="112"/>
        <v>0.72485436893203892</v>
      </c>
      <c r="I136" s="89">
        <f t="shared" si="113"/>
        <v>0.79119741100323626</v>
      </c>
      <c r="J136" s="89">
        <f t="shared" si="114"/>
        <v>0.90165048543689319</v>
      </c>
      <c r="K136" s="89">
        <f t="shared" si="115"/>
        <v>1.368673139158576</v>
      </c>
      <c r="L136" s="89">
        <f t="shared" si="116"/>
        <v>1.6223948220064723</v>
      </c>
      <c r="M136" s="90" t="s">
        <v>22</v>
      </c>
      <c r="N136" s="90" t="s">
        <v>22</v>
      </c>
      <c r="O136" s="90" t="s">
        <v>22</v>
      </c>
      <c r="P136" s="83">
        <f t="shared" si="96"/>
        <v>2.704032957502168</v>
      </c>
      <c r="Q136" s="83">
        <f t="shared" si="97"/>
        <v>6.0409800520381598</v>
      </c>
      <c r="R136" s="83">
        <f t="shared" si="98"/>
        <v>9.1699913269731113</v>
      </c>
      <c r="S136" s="83">
        <f t="shared" si="99"/>
        <v>10.869904596704247</v>
      </c>
      <c r="T136" s="119" t="s">
        <v>22</v>
      </c>
      <c r="U136" s="119" t="s">
        <v>22</v>
      </c>
      <c r="V136" s="118" t="s">
        <v>22</v>
      </c>
      <c r="W136" s="1"/>
      <c r="X136" s="504"/>
      <c r="Y136" s="132">
        <v>46068</v>
      </c>
      <c r="Z136" s="141">
        <v>1372</v>
      </c>
      <c r="AA136" s="90">
        <v>0.12</v>
      </c>
      <c r="AB136" s="90">
        <v>0.18</v>
      </c>
      <c r="AC136" s="90">
        <v>0.25</v>
      </c>
      <c r="AD136" s="90">
        <v>0.44</v>
      </c>
      <c r="AE136" s="90">
        <v>0.67</v>
      </c>
      <c r="AF136" s="90">
        <v>0.74</v>
      </c>
      <c r="AG136" s="90">
        <v>0.77</v>
      </c>
      <c r="AH136" s="90">
        <v>1.1200000000000001</v>
      </c>
      <c r="AI136" s="90">
        <v>1.52</v>
      </c>
      <c r="AJ136" s="90" t="s">
        <v>22</v>
      </c>
      <c r="AK136" s="90" t="s">
        <v>22</v>
      </c>
      <c r="AL136" s="90" t="s">
        <v>22</v>
      </c>
      <c r="AM136" s="83">
        <f t="shared" si="100"/>
        <v>2.0833333333333335</v>
      </c>
      <c r="AN136" s="83">
        <f t="shared" si="101"/>
        <v>6.416666666666667</v>
      </c>
      <c r="AO136" s="83">
        <f t="shared" si="102"/>
        <v>9.3333333333333339</v>
      </c>
      <c r="AP136" s="83">
        <f t="shared" si="103"/>
        <v>12.666666666666668</v>
      </c>
      <c r="AQ136" s="119" t="s">
        <v>22</v>
      </c>
      <c r="AR136" s="119" t="s">
        <v>22</v>
      </c>
      <c r="AS136" s="118" t="s">
        <v>22</v>
      </c>
      <c r="AT136" s="1"/>
      <c r="AU136" s="504"/>
      <c r="AV136" s="168">
        <v>46068</v>
      </c>
      <c r="AW136" s="223">
        <v>791</v>
      </c>
      <c r="AX136" s="90">
        <v>0.2</v>
      </c>
      <c r="AY136" s="90">
        <v>0.64</v>
      </c>
      <c r="AZ136" s="90">
        <v>0.67</v>
      </c>
      <c r="BA136" s="90">
        <v>0.69</v>
      </c>
      <c r="BB136" s="90">
        <v>0.82</v>
      </c>
      <c r="BC136" s="90">
        <v>0.88</v>
      </c>
      <c r="BD136" s="90">
        <v>1.1299999999999999</v>
      </c>
      <c r="BE136" s="90">
        <v>1.8</v>
      </c>
      <c r="BF136" s="90">
        <v>1.8</v>
      </c>
      <c r="BG136" s="90" t="s">
        <v>22</v>
      </c>
      <c r="BH136" s="90" t="s">
        <v>22</v>
      </c>
      <c r="BI136" s="90" t="s">
        <v>22</v>
      </c>
      <c r="BJ136" s="83">
        <f t="shared" si="104"/>
        <v>3.35</v>
      </c>
      <c r="BK136" s="83">
        <f t="shared" si="105"/>
        <v>5.6499999999999995</v>
      </c>
      <c r="BL136" s="83">
        <f t="shared" si="106"/>
        <v>9</v>
      </c>
      <c r="BM136" s="83">
        <f t="shared" si="107"/>
        <v>9</v>
      </c>
      <c r="BN136" s="119" t="s">
        <v>22</v>
      </c>
      <c r="BO136" s="119" t="s">
        <v>22</v>
      </c>
      <c r="BP136" s="429" t="s">
        <v>22</v>
      </c>
    </row>
    <row r="137" spans="1:68" ht="14.25" customHeight="1">
      <c r="A137" s="504"/>
      <c r="B137" s="132">
        <v>46069</v>
      </c>
      <c r="C137" s="166">
        <f t="shared" si="117"/>
        <v>2225</v>
      </c>
      <c r="D137" s="89">
        <f t="shared" si="108"/>
        <v>1.2328764044943821</v>
      </c>
      <c r="E137" s="89">
        <f t="shared" si="109"/>
        <v>2.381991011235955</v>
      </c>
      <c r="F137" s="89">
        <f t="shared" si="110"/>
        <v>2.7027101123595507</v>
      </c>
      <c r="G137" s="89">
        <f t="shared" si="111"/>
        <v>3.2517662921348314</v>
      </c>
      <c r="H137" s="89">
        <f t="shared" si="112"/>
        <v>3.2580044943820226</v>
      </c>
      <c r="I137" s="89">
        <f t="shared" si="113"/>
        <v>3.3952449438202246</v>
      </c>
      <c r="J137" s="89">
        <f t="shared" si="114"/>
        <v>3.4591011235955058</v>
      </c>
      <c r="K137" s="89">
        <f t="shared" si="115"/>
        <v>6.9874471910112366</v>
      </c>
      <c r="L137" s="89">
        <f t="shared" si="116"/>
        <v>7.3717393258426958</v>
      </c>
      <c r="M137" s="90" t="s">
        <v>22</v>
      </c>
      <c r="N137" s="90" t="s">
        <v>22</v>
      </c>
      <c r="O137" s="90" t="s">
        <v>22</v>
      </c>
      <c r="P137" s="83">
        <f t="shared" si="96"/>
        <v>2.1921987496126718</v>
      </c>
      <c r="Q137" s="83">
        <f t="shared" si="97"/>
        <v>2.8057160563585661</v>
      </c>
      <c r="R137" s="83">
        <f t="shared" si="98"/>
        <v>5.6675974700617902</v>
      </c>
      <c r="S137" s="83">
        <f t="shared" si="99"/>
        <v>5.9793011683648354</v>
      </c>
      <c r="T137" s="119" t="s">
        <v>22</v>
      </c>
      <c r="U137" s="119" t="s">
        <v>22</v>
      </c>
      <c r="V137" s="118" t="s">
        <v>22</v>
      </c>
      <c r="W137" s="1"/>
      <c r="X137" s="504"/>
      <c r="Y137" s="132">
        <v>46069</v>
      </c>
      <c r="Z137" s="141">
        <v>1388</v>
      </c>
      <c r="AA137" s="90">
        <v>1.91</v>
      </c>
      <c r="AB137" s="90">
        <v>3.74</v>
      </c>
      <c r="AC137" s="90">
        <v>4.2300000000000004</v>
      </c>
      <c r="AD137" s="90">
        <v>5.08</v>
      </c>
      <c r="AE137" s="90">
        <v>5.09</v>
      </c>
      <c r="AF137" s="90">
        <v>5.31</v>
      </c>
      <c r="AG137" s="90">
        <v>5.34</v>
      </c>
      <c r="AH137" s="90">
        <v>10.99</v>
      </c>
      <c r="AI137" s="90">
        <v>11.6</v>
      </c>
      <c r="AJ137" s="90" t="s">
        <v>22</v>
      </c>
      <c r="AK137" s="90" t="s">
        <v>22</v>
      </c>
      <c r="AL137" s="90" t="s">
        <v>22</v>
      </c>
      <c r="AM137" s="83">
        <f t="shared" si="100"/>
        <v>2.2146596858638747</v>
      </c>
      <c r="AN137" s="83">
        <f t="shared" si="101"/>
        <v>2.7958115183246073</v>
      </c>
      <c r="AO137" s="83">
        <f t="shared" si="102"/>
        <v>5.7539267015706814</v>
      </c>
      <c r="AP137" s="83">
        <f t="shared" si="103"/>
        <v>6.0732984293193715</v>
      </c>
      <c r="AQ137" s="119" t="s">
        <v>22</v>
      </c>
      <c r="AR137" s="119" t="s">
        <v>22</v>
      </c>
      <c r="AS137" s="118" t="s">
        <v>22</v>
      </c>
      <c r="AT137" s="1"/>
      <c r="AU137" s="504"/>
      <c r="AV137" s="168">
        <v>46069</v>
      </c>
      <c r="AW137" s="223">
        <v>837</v>
      </c>
      <c r="AX137" s="90">
        <v>0.11</v>
      </c>
      <c r="AY137" s="90">
        <v>0.13</v>
      </c>
      <c r="AZ137" s="90">
        <v>0.17</v>
      </c>
      <c r="BA137" s="90">
        <v>0.22</v>
      </c>
      <c r="BB137" s="90">
        <v>0.22</v>
      </c>
      <c r="BC137" s="90">
        <v>0.22</v>
      </c>
      <c r="BD137" s="90">
        <v>0.34</v>
      </c>
      <c r="BE137" s="90">
        <v>0.35</v>
      </c>
      <c r="BF137" s="90">
        <v>0.36</v>
      </c>
      <c r="BG137" s="90" t="s">
        <v>22</v>
      </c>
      <c r="BH137" s="90" t="s">
        <v>22</v>
      </c>
      <c r="BI137" s="90" t="s">
        <v>22</v>
      </c>
      <c r="BJ137" s="83">
        <f t="shared" si="104"/>
        <v>1.5454545454545456</v>
      </c>
      <c r="BK137" s="83">
        <f t="shared" si="105"/>
        <v>3.0909090909090913</v>
      </c>
      <c r="BL137" s="83">
        <f t="shared" si="106"/>
        <v>3.1818181818181817</v>
      </c>
      <c r="BM137" s="83">
        <f t="shared" si="107"/>
        <v>3.2727272727272725</v>
      </c>
      <c r="BN137" s="119" t="s">
        <v>22</v>
      </c>
      <c r="BO137" s="119" t="s">
        <v>22</v>
      </c>
      <c r="BP137" s="429" t="s">
        <v>22</v>
      </c>
    </row>
    <row r="138" spans="1:68" ht="14.25" customHeight="1">
      <c r="A138" s="90"/>
      <c r="B138" s="216">
        <v>46070</v>
      </c>
      <c r="C138" s="178">
        <f t="shared" si="117"/>
        <v>2518</v>
      </c>
      <c r="D138" s="89">
        <f t="shared" si="108"/>
        <v>0.1457426528991263</v>
      </c>
      <c r="E138" s="89">
        <f t="shared" si="109"/>
        <v>0.70482922954725968</v>
      </c>
      <c r="F138" s="89">
        <f t="shared" si="110"/>
        <v>0.92724384432088947</v>
      </c>
      <c r="G138" s="89">
        <f t="shared" si="111"/>
        <v>1.3126211278792694</v>
      </c>
      <c r="H138" s="89">
        <f t="shared" si="112"/>
        <v>1.5487370929308975</v>
      </c>
      <c r="I138" s="89">
        <f t="shared" si="113"/>
        <v>1.6496664019062748</v>
      </c>
      <c r="J138" s="89">
        <f t="shared" si="114"/>
        <v>1.7267037331215251</v>
      </c>
      <c r="K138" s="89">
        <f t="shared" si="115"/>
        <v>2.3768943606036537</v>
      </c>
      <c r="L138" s="89">
        <f t="shared" si="116"/>
        <v>3.4478236695790314</v>
      </c>
      <c r="M138" s="90" t="s">
        <v>22</v>
      </c>
      <c r="N138" s="90" t="s">
        <v>22</v>
      </c>
      <c r="O138" s="90" t="s">
        <v>22</v>
      </c>
      <c r="P138" s="83">
        <f t="shared" si="96"/>
        <v>6.362199574908713</v>
      </c>
      <c r="Q138" s="83">
        <f t="shared" si="97"/>
        <v>11.847621123766963</v>
      </c>
      <c r="R138" s="83">
        <f t="shared" si="98"/>
        <v>16.30884516867404</v>
      </c>
      <c r="S138" s="83">
        <f t="shared" si="99"/>
        <v>23.656929532944577</v>
      </c>
      <c r="T138" s="119" t="s">
        <v>22</v>
      </c>
      <c r="U138" s="119" t="s">
        <v>22</v>
      </c>
      <c r="V138" s="118" t="s">
        <v>22</v>
      </c>
      <c r="W138" s="1"/>
      <c r="X138" s="90"/>
      <c r="Y138" s="216">
        <v>46070</v>
      </c>
      <c r="Z138" s="25">
        <v>1632</v>
      </c>
      <c r="AA138" s="90">
        <v>0.1</v>
      </c>
      <c r="AB138" s="90">
        <v>0.36</v>
      </c>
      <c r="AC138" s="90">
        <v>0.41</v>
      </c>
      <c r="AD138" s="90">
        <v>0.63</v>
      </c>
      <c r="AE138" s="90">
        <v>0.75</v>
      </c>
      <c r="AF138" s="90">
        <v>0.77</v>
      </c>
      <c r="AG138" s="90">
        <v>0.84</v>
      </c>
      <c r="AH138" s="90">
        <v>1.36</v>
      </c>
      <c r="AI138" s="90">
        <v>2.35</v>
      </c>
      <c r="AJ138" s="90" t="s">
        <v>22</v>
      </c>
      <c r="AK138" s="90" t="s">
        <v>22</v>
      </c>
      <c r="AL138" s="90" t="s">
        <v>22</v>
      </c>
      <c r="AM138" s="83">
        <f t="shared" si="100"/>
        <v>4.0999999999999996</v>
      </c>
      <c r="AN138" s="83">
        <f t="shared" si="101"/>
        <v>8.3999999999999986</v>
      </c>
      <c r="AO138" s="83">
        <f t="shared" si="102"/>
        <v>13.6</v>
      </c>
      <c r="AP138" s="83">
        <f t="shared" si="103"/>
        <v>23.5</v>
      </c>
      <c r="AQ138" s="119" t="s">
        <v>22</v>
      </c>
      <c r="AR138" s="119" t="s">
        <v>22</v>
      </c>
      <c r="AS138" s="118" t="s">
        <v>22</v>
      </c>
      <c r="AT138" s="1"/>
      <c r="AU138" s="90"/>
      <c r="AV138" s="163">
        <v>46070</v>
      </c>
      <c r="AW138" s="154">
        <v>886</v>
      </c>
      <c r="AX138" s="90">
        <v>0.23</v>
      </c>
      <c r="AY138" s="90">
        <v>1.34</v>
      </c>
      <c r="AZ138" s="90">
        <v>1.88</v>
      </c>
      <c r="BA138" s="90">
        <v>2.57</v>
      </c>
      <c r="BB138" s="90">
        <v>3.02</v>
      </c>
      <c r="BC138" s="90">
        <v>3.27</v>
      </c>
      <c r="BD138" s="90">
        <v>3.36</v>
      </c>
      <c r="BE138" s="90">
        <v>4.25</v>
      </c>
      <c r="BF138" s="90">
        <v>5.47</v>
      </c>
      <c r="BG138" s="90" t="s">
        <v>22</v>
      </c>
      <c r="BH138" s="90" t="s">
        <v>22</v>
      </c>
      <c r="BI138" s="90" t="s">
        <v>22</v>
      </c>
      <c r="BJ138" s="83">
        <f t="shared" si="104"/>
        <v>8.1739130434782599</v>
      </c>
      <c r="BK138" s="83">
        <f t="shared" si="105"/>
        <v>14.608695652173912</v>
      </c>
      <c r="BL138" s="83">
        <f t="shared" si="106"/>
        <v>18.478260869565215</v>
      </c>
      <c r="BM138" s="83">
        <f t="shared" si="107"/>
        <v>23.782608695652172</v>
      </c>
      <c r="BN138" s="119" t="s">
        <v>22</v>
      </c>
      <c r="BO138" s="119" t="s">
        <v>22</v>
      </c>
      <c r="BP138" s="429" t="s">
        <v>22</v>
      </c>
    </row>
    <row r="139" spans="1:68" ht="14.25" customHeight="1">
      <c r="A139" s="600" t="s">
        <v>31</v>
      </c>
      <c r="B139" s="132">
        <v>46071</v>
      </c>
      <c r="C139" s="166">
        <f t="shared" si="117"/>
        <v>2185</v>
      </c>
      <c r="D139" s="89">
        <f t="shared" si="108"/>
        <v>0.64898398169336391</v>
      </c>
      <c r="E139" s="89">
        <f t="shared" si="109"/>
        <v>1.1491899313501142</v>
      </c>
      <c r="F139" s="89">
        <f t="shared" si="110"/>
        <v>1.4784668192219679</v>
      </c>
      <c r="G139" s="89">
        <f t="shared" si="111"/>
        <v>1.9866590389016019</v>
      </c>
      <c r="H139" s="89">
        <f t="shared" si="112"/>
        <v>2.031478260869565</v>
      </c>
      <c r="I139" s="89">
        <f t="shared" si="113"/>
        <v>2.2079496567505719</v>
      </c>
      <c r="J139" s="89">
        <f t="shared" si="114"/>
        <v>2.918654462242563</v>
      </c>
      <c r="K139" s="89">
        <f t="shared" si="115"/>
        <v>4.3594965675057207</v>
      </c>
      <c r="L139" s="89">
        <f t="shared" si="116"/>
        <v>5.236965675057208</v>
      </c>
      <c r="M139" s="90" t="s">
        <v>22</v>
      </c>
      <c r="N139" s="90" t="s">
        <v>22</v>
      </c>
      <c r="O139" s="90" t="s">
        <v>22</v>
      </c>
      <c r="P139" s="83">
        <f t="shared" si="96"/>
        <v>2.278125286489002</v>
      </c>
      <c r="Q139" s="83">
        <f t="shared" si="97"/>
        <v>4.4972673356699078</v>
      </c>
      <c r="R139" s="83">
        <f t="shared" si="98"/>
        <v>6.7174178261390791</v>
      </c>
      <c r="S139" s="83">
        <f t="shared" si="99"/>
        <v>8.0694837203726291</v>
      </c>
      <c r="T139" s="119" t="s">
        <v>22</v>
      </c>
      <c r="U139" s="119" t="s">
        <v>22</v>
      </c>
      <c r="V139" s="118" t="s">
        <v>22</v>
      </c>
      <c r="W139" s="1"/>
      <c r="X139" s="558" t="s">
        <v>31</v>
      </c>
      <c r="Y139" s="132">
        <v>46071</v>
      </c>
      <c r="Z139" s="141">
        <v>1399</v>
      </c>
      <c r="AA139" s="90">
        <v>0.89</v>
      </c>
      <c r="AB139" s="90">
        <v>1.66</v>
      </c>
      <c r="AC139" s="90">
        <v>2.09</v>
      </c>
      <c r="AD139" s="90">
        <v>2.85</v>
      </c>
      <c r="AE139" s="90">
        <v>2.92</v>
      </c>
      <c r="AF139" s="90">
        <v>3.19</v>
      </c>
      <c r="AG139" s="90">
        <v>4.3</v>
      </c>
      <c r="AH139" s="90">
        <v>6.32</v>
      </c>
      <c r="AI139" s="90">
        <v>7.55</v>
      </c>
      <c r="AJ139" s="90" t="s">
        <v>22</v>
      </c>
      <c r="AK139" s="90" t="s">
        <v>22</v>
      </c>
      <c r="AL139" s="90" t="s">
        <v>22</v>
      </c>
      <c r="AM139" s="83">
        <f t="shared" si="100"/>
        <v>2.3483146067415728</v>
      </c>
      <c r="AN139" s="83">
        <f t="shared" si="101"/>
        <v>4.8314606741573032</v>
      </c>
      <c r="AO139" s="83">
        <f t="shared" si="102"/>
        <v>7.1011235955056184</v>
      </c>
      <c r="AP139" s="83">
        <f t="shared" si="103"/>
        <v>8.4831460674157295</v>
      </c>
      <c r="AQ139" s="119" t="s">
        <v>22</v>
      </c>
      <c r="AR139" s="119" t="s">
        <v>22</v>
      </c>
      <c r="AS139" s="118" t="s">
        <v>22</v>
      </c>
      <c r="AT139" s="1"/>
      <c r="AU139" s="530" t="s">
        <v>31</v>
      </c>
      <c r="AV139" s="168">
        <v>46071</v>
      </c>
      <c r="AW139" s="223">
        <v>786</v>
      </c>
      <c r="AX139" s="90">
        <v>0.22</v>
      </c>
      <c r="AY139" s="90">
        <v>0.24</v>
      </c>
      <c r="AZ139" s="90">
        <v>0.39</v>
      </c>
      <c r="BA139" s="90">
        <v>0.45</v>
      </c>
      <c r="BB139" s="90">
        <v>0.45</v>
      </c>
      <c r="BC139" s="90">
        <v>0.46</v>
      </c>
      <c r="BD139" s="90">
        <v>0.46</v>
      </c>
      <c r="BE139" s="90">
        <v>0.87</v>
      </c>
      <c r="BF139" s="90">
        <v>1.1200000000000001</v>
      </c>
      <c r="BG139" s="90" t="s">
        <v>22</v>
      </c>
      <c r="BH139" s="90" t="s">
        <v>22</v>
      </c>
      <c r="BI139" s="90" t="s">
        <v>22</v>
      </c>
      <c r="BJ139" s="83">
        <f t="shared" si="104"/>
        <v>1.7727272727272727</v>
      </c>
      <c r="BK139" s="83">
        <f t="shared" si="105"/>
        <v>2.0909090909090908</v>
      </c>
      <c r="BL139" s="83">
        <f t="shared" si="106"/>
        <v>3.9545454545454546</v>
      </c>
      <c r="BM139" s="83">
        <f t="shared" si="107"/>
        <v>5.0909090909090917</v>
      </c>
      <c r="BN139" s="119" t="s">
        <v>22</v>
      </c>
      <c r="BO139" s="119" t="s">
        <v>22</v>
      </c>
      <c r="BP139" s="429" t="s">
        <v>22</v>
      </c>
    </row>
    <row r="140" spans="1:68" ht="14.25" customHeight="1">
      <c r="A140" s="506"/>
      <c r="B140" s="132">
        <v>46072</v>
      </c>
      <c r="C140" s="166">
        <f t="shared" si="117"/>
        <v>2162</v>
      </c>
      <c r="D140" s="89">
        <f t="shared" si="108"/>
        <v>0.20246068455134136</v>
      </c>
      <c r="E140" s="89">
        <f t="shared" si="109"/>
        <v>0.58815448658649405</v>
      </c>
      <c r="F140" s="89">
        <f t="shared" si="110"/>
        <v>0.93015726179463465</v>
      </c>
      <c r="G140" s="89">
        <f t="shared" si="111"/>
        <v>1.061540240518039</v>
      </c>
      <c r="H140" s="89">
        <f t="shared" si="112"/>
        <v>1.3261563367252545</v>
      </c>
      <c r="I140" s="89">
        <f t="shared" si="113"/>
        <v>1.4104625346901019</v>
      </c>
      <c r="J140" s="89">
        <f t="shared" si="114"/>
        <v>1.6156891766882515</v>
      </c>
      <c r="K140" s="89">
        <f t="shared" si="115"/>
        <v>2.6112118408880667</v>
      </c>
      <c r="L140" s="89">
        <f t="shared" si="116"/>
        <v>3.1750508788159113</v>
      </c>
      <c r="M140" s="90" t="s">
        <v>22</v>
      </c>
      <c r="N140" s="90" t="s">
        <v>22</v>
      </c>
      <c r="O140" s="90" t="s">
        <v>22</v>
      </c>
      <c r="P140" s="83">
        <f t="shared" si="96"/>
        <v>4.5942611715251758</v>
      </c>
      <c r="Q140" s="83">
        <f t="shared" si="97"/>
        <v>7.9802613542904126</v>
      </c>
      <c r="R140" s="83">
        <f t="shared" si="98"/>
        <v>12.897377318833957</v>
      </c>
      <c r="S140" s="83">
        <f t="shared" si="99"/>
        <v>15.682308324956592</v>
      </c>
      <c r="T140" s="119" t="s">
        <v>22</v>
      </c>
      <c r="U140" s="119" t="s">
        <v>22</v>
      </c>
      <c r="V140" s="118" t="s">
        <v>22</v>
      </c>
      <c r="W140" s="1"/>
      <c r="X140" s="506"/>
      <c r="Y140" s="132">
        <v>46072</v>
      </c>
      <c r="Z140" s="141">
        <v>1397</v>
      </c>
      <c r="AA140" s="90">
        <v>0.16</v>
      </c>
      <c r="AB140" s="90">
        <v>0.62</v>
      </c>
      <c r="AC140" s="90">
        <v>1.1000000000000001</v>
      </c>
      <c r="AD140" s="90">
        <v>1.1499999999999999</v>
      </c>
      <c r="AE140" s="90">
        <v>1.45</v>
      </c>
      <c r="AF140" s="90">
        <v>1.46</v>
      </c>
      <c r="AG140" s="90">
        <v>1.46</v>
      </c>
      <c r="AH140" s="90">
        <v>1.67</v>
      </c>
      <c r="AI140" s="90">
        <v>1.88</v>
      </c>
      <c r="AJ140" s="90" t="s">
        <v>22</v>
      </c>
      <c r="AK140" s="90" t="s">
        <v>22</v>
      </c>
      <c r="AL140" s="90" t="s">
        <v>22</v>
      </c>
      <c r="AM140" s="83">
        <f t="shared" si="100"/>
        <v>6.875</v>
      </c>
      <c r="AN140" s="83">
        <f t="shared" si="101"/>
        <v>9.125</v>
      </c>
      <c r="AO140" s="83">
        <f t="shared" si="102"/>
        <v>10.4375</v>
      </c>
      <c r="AP140" s="83">
        <f t="shared" si="103"/>
        <v>11.749999999999998</v>
      </c>
      <c r="AQ140" s="119" t="s">
        <v>22</v>
      </c>
      <c r="AR140" s="119" t="s">
        <v>22</v>
      </c>
      <c r="AS140" s="118" t="s">
        <v>22</v>
      </c>
      <c r="AT140" s="1"/>
      <c r="AU140" s="506"/>
      <c r="AV140" s="168">
        <v>46072</v>
      </c>
      <c r="AW140" s="223">
        <v>765</v>
      </c>
      <c r="AX140" s="90">
        <v>0.28000000000000003</v>
      </c>
      <c r="AY140" s="90">
        <v>0.53</v>
      </c>
      <c r="AZ140" s="90">
        <v>0.62</v>
      </c>
      <c r="BA140" s="90">
        <v>0.9</v>
      </c>
      <c r="BB140" s="90">
        <v>1.1000000000000001</v>
      </c>
      <c r="BC140" s="90">
        <v>1.32</v>
      </c>
      <c r="BD140" s="90">
        <v>1.9</v>
      </c>
      <c r="BE140" s="90">
        <v>4.33</v>
      </c>
      <c r="BF140" s="90">
        <v>5.54</v>
      </c>
      <c r="BG140" s="90" t="s">
        <v>22</v>
      </c>
      <c r="BH140" s="90" t="s">
        <v>22</v>
      </c>
      <c r="BI140" s="90" t="s">
        <v>22</v>
      </c>
      <c r="BJ140" s="83">
        <f t="shared" si="104"/>
        <v>2.214285714285714</v>
      </c>
      <c r="BK140" s="83">
        <f t="shared" si="105"/>
        <v>6.7857142857142847</v>
      </c>
      <c r="BL140" s="83">
        <f t="shared" si="106"/>
        <v>15.464285714285714</v>
      </c>
      <c r="BM140" s="83">
        <f t="shared" si="107"/>
        <v>19.785714285714285</v>
      </c>
      <c r="BN140" s="119" t="s">
        <v>22</v>
      </c>
      <c r="BO140" s="119" t="s">
        <v>22</v>
      </c>
      <c r="BP140" s="429" t="s">
        <v>22</v>
      </c>
    </row>
    <row r="141" spans="1:68" ht="14.25" customHeight="1">
      <c r="A141" s="506"/>
      <c r="B141" s="132">
        <v>46073</v>
      </c>
      <c r="C141" s="166">
        <f t="shared" si="117"/>
        <v>2240</v>
      </c>
      <c r="D141" s="89">
        <f t="shared" ref="D141:K147" si="118">($Z141*AA141+$AW141*AX141)/$C141</f>
        <v>0.53342857142857147</v>
      </c>
      <c r="E141" s="89">
        <f t="shared" si="118"/>
        <v>1.6325357142857144</v>
      </c>
      <c r="F141" s="89">
        <f t="shared" si="118"/>
        <v>1.71075</v>
      </c>
      <c r="G141" s="89">
        <f t="shared" si="118"/>
        <v>2.1727500000000002</v>
      </c>
      <c r="H141" s="89">
        <f t="shared" si="118"/>
        <v>2.7934999999999999</v>
      </c>
      <c r="I141" s="89">
        <f t="shared" si="118"/>
        <v>2.8748928571428571</v>
      </c>
      <c r="J141" s="89">
        <f t="shared" si="118"/>
        <v>2.8748928571428571</v>
      </c>
      <c r="K141" s="89">
        <f t="shared" si="118"/>
        <v>4.3196428571428571</v>
      </c>
      <c r="L141" s="90" t="s">
        <v>22</v>
      </c>
      <c r="M141" s="90" t="s">
        <v>22</v>
      </c>
      <c r="N141" s="90" t="s">
        <v>22</v>
      </c>
      <c r="O141" s="90" t="s">
        <v>22</v>
      </c>
      <c r="P141" s="83">
        <f t="shared" si="96"/>
        <v>3.207083556507766</v>
      </c>
      <c r="Q141" s="83">
        <f t="shared" si="97"/>
        <v>5.3894617032672736</v>
      </c>
      <c r="R141" s="83">
        <f t="shared" si="98"/>
        <v>8.0978843063738619</v>
      </c>
      <c r="S141" s="119" t="s">
        <v>22</v>
      </c>
      <c r="T141" s="119" t="s">
        <v>22</v>
      </c>
      <c r="U141" s="119" t="s">
        <v>22</v>
      </c>
      <c r="V141" s="118" t="s">
        <v>22</v>
      </c>
      <c r="W141" s="1"/>
      <c r="X141" s="506"/>
      <c r="Y141" s="132">
        <v>46073</v>
      </c>
      <c r="Z141" s="141">
        <v>1528</v>
      </c>
      <c r="AA141" s="90">
        <v>0.33</v>
      </c>
      <c r="AB141" s="90">
        <v>1.89</v>
      </c>
      <c r="AC141" s="90">
        <v>2</v>
      </c>
      <c r="AD141" s="90">
        <v>2.64</v>
      </c>
      <c r="AE141" s="90">
        <v>3.55</v>
      </c>
      <c r="AF141" s="90">
        <v>3.66</v>
      </c>
      <c r="AG141" s="90">
        <v>3.66</v>
      </c>
      <c r="AH141" s="90">
        <v>5.75</v>
      </c>
      <c r="AI141" s="90" t="s">
        <v>22</v>
      </c>
      <c r="AJ141" s="90" t="s">
        <v>22</v>
      </c>
      <c r="AK141" s="90" t="s">
        <v>22</v>
      </c>
      <c r="AL141" s="90" t="s">
        <v>22</v>
      </c>
      <c r="AM141" s="83">
        <f t="shared" si="100"/>
        <v>6.0606060606060606</v>
      </c>
      <c r="AN141" s="83">
        <f t="shared" si="101"/>
        <v>11.09090909090909</v>
      </c>
      <c r="AO141" s="83">
        <f t="shared" si="102"/>
        <v>17.424242424242422</v>
      </c>
      <c r="AP141" s="83" t="s">
        <v>22</v>
      </c>
      <c r="AQ141" s="119" t="s">
        <v>22</v>
      </c>
      <c r="AR141" s="119" t="s">
        <v>22</v>
      </c>
      <c r="AS141" s="118" t="s">
        <v>22</v>
      </c>
      <c r="AT141" s="1"/>
      <c r="AU141" s="506"/>
      <c r="AV141" s="168">
        <v>46073</v>
      </c>
      <c r="AW141" s="223">
        <v>712</v>
      </c>
      <c r="AX141" s="90">
        <v>0.97</v>
      </c>
      <c r="AY141" s="90">
        <v>1.08</v>
      </c>
      <c r="AZ141" s="90">
        <v>1.0900000000000001</v>
      </c>
      <c r="BA141" s="90">
        <v>1.17</v>
      </c>
      <c r="BB141" s="90">
        <v>1.17</v>
      </c>
      <c r="BC141" s="90">
        <v>1.19</v>
      </c>
      <c r="BD141" s="90">
        <v>1.19</v>
      </c>
      <c r="BE141" s="90">
        <v>1.25</v>
      </c>
      <c r="BF141" s="90" t="s">
        <v>22</v>
      </c>
      <c r="BG141" s="90" t="s">
        <v>22</v>
      </c>
      <c r="BH141" s="90" t="s">
        <v>22</v>
      </c>
      <c r="BI141" s="90" t="s">
        <v>22</v>
      </c>
      <c r="BJ141" s="83">
        <f t="shared" si="104"/>
        <v>1.1237113402061856</v>
      </c>
      <c r="BK141" s="83">
        <f t="shared" si="105"/>
        <v>1.2268041237113403</v>
      </c>
      <c r="BL141" s="83">
        <f t="shared" si="106"/>
        <v>1.2886597938144331</v>
      </c>
      <c r="BM141" s="119" t="s">
        <v>22</v>
      </c>
      <c r="BN141" s="119" t="s">
        <v>22</v>
      </c>
      <c r="BO141" s="119" t="s">
        <v>22</v>
      </c>
      <c r="BP141" s="429" t="s">
        <v>22</v>
      </c>
    </row>
    <row r="142" spans="1:68" ht="14.25" customHeight="1">
      <c r="A142" s="506"/>
      <c r="B142" s="132">
        <v>46074</v>
      </c>
      <c r="C142" s="166">
        <f t="shared" si="117"/>
        <v>1999</v>
      </c>
      <c r="D142" s="89">
        <f t="shared" si="118"/>
        <v>0.33705352676338168</v>
      </c>
      <c r="E142" s="89">
        <f t="shared" si="118"/>
        <v>1.0491845922961482</v>
      </c>
      <c r="F142" s="89">
        <f t="shared" si="118"/>
        <v>1.4062381190595297</v>
      </c>
      <c r="G142" s="89">
        <f t="shared" si="118"/>
        <v>1.6415757878939468</v>
      </c>
      <c r="H142" s="89">
        <f t="shared" si="118"/>
        <v>1.7471735867933966</v>
      </c>
      <c r="I142" s="89">
        <f t="shared" si="118"/>
        <v>1.9378839419709852</v>
      </c>
      <c r="J142" s="89">
        <f t="shared" si="118"/>
        <v>2.3680740370185092</v>
      </c>
      <c r="K142" s="89">
        <f t="shared" si="118"/>
        <v>4.3859579789894942</v>
      </c>
      <c r="L142" s="90" t="s">
        <v>22</v>
      </c>
      <c r="M142" s="90" t="s">
        <v>22</v>
      </c>
      <c r="N142" s="90" t="s">
        <v>22</v>
      </c>
      <c r="O142" s="90" t="s">
        <v>22</v>
      </c>
      <c r="P142" s="83">
        <f t="shared" si="96"/>
        <v>4.1721507339299757</v>
      </c>
      <c r="Q142" s="83">
        <f t="shared" si="97"/>
        <v>7.0258099945085117</v>
      </c>
      <c r="R142" s="83">
        <f t="shared" si="98"/>
        <v>13.012645264704572</v>
      </c>
      <c r="S142" s="119" t="s">
        <v>22</v>
      </c>
      <c r="T142" s="119" t="s">
        <v>22</v>
      </c>
      <c r="U142" s="119" t="s">
        <v>22</v>
      </c>
      <c r="V142" s="118" t="s">
        <v>22</v>
      </c>
      <c r="W142" s="1"/>
      <c r="X142" s="506"/>
      <c r="Y142" s="132">
        <v>46074</v>
      </c>
      <c r="Z142" s="141">
        <v>1365</v>
      </c>
      <c r="AA142" s="90">
        <v>0.41</v>
      </c>
      <c r="AB142" s="90">
        <v>1.36</v>
      </c>
      <c r="AC142" s="90">
        <v>1.79</v>
      </c>
      <c r="AD142" s="90">
        <v>2.13</v>
      </c>
      <c r="AE142" s="90">
        <v>2.2799999999999998</v>
      </c>
      <c r="AF142" s="90">
        <v>2.5499999999999998</v>
      </c>
      <c r="AG142" s="90">
        <v>3.18</v>
      </c>
      <c r="AH142" s="90">
        <v>5.81</v>
      </c>
      <c r="AI142" s="90" t="s">
        <v>22</v>
      </c>
      <c r="AJ142" s="90" t="s">
        <v>22</v>
      </c>
      <c r="AK142" s="90" t="s">
        <v>22</v>
      </c>
      <c r="AL142" s="90" t="s">
        <v>22</v>
      </c>
      <c r="AM142" s="83">
        <f t="shared" si="100"/>
        <v>4.3658536585365857</v>
      </c>
      <c r="AN142" s="83">
        <f t="shared" si="101"/>
        <v>7.7560975609756104</v>
      </c>
      <c r="AO142" s="83">
        <f t="shared" si="102"/>
        <v>14.170731707317072</v>
      </c>
      <c r="AP142" s="119" t="s">
        <v>22</v>
      </c>
      <c r="AQ142" s="119" t="s">
        <v>22</v>
      </c>
      <c r="AR142" s="119" t="s">
        <v>22</v>
      </c>
      <c r="AS142" s="118" t="s">
        <v>22</v>
      </c>
      <c r="AT142" s="1"/>
      <c r="AU142" s="506"/>
      <c r="AV142" s="168">
        <v>46074</v>
      </c>
      <c r="AW142" s="223">
        <v>634</v>
      </c>
      <c r="AX142" s="90">
        <v>0.18</v>
      </c>
      <c r="AY142" s="90">
        <v>0.38</v>
      </c>
      <c r="AZ142" s="90">
        <v>0.57999999999999996</v>
      </c>
      <c r="BA142" s="90">
        <v>0.59</v>
      </c>
      <c r="BB142" s="90">
        <v>0.6</v>
      </c>
      <c r="BC142" s="90">
        <v>0.62</v>
      </c>
      <c r="BD142" s="90">
        <v>0.62</v>
      </c>
      <c r="BE142" s="90">
        <v>1.32</v>
      </c>
      <c r="BF142" s="90" t="s">
        <v>22</v>
      </c>
      <c r="BG142" s="90" t="s">
        <v>22</v>
      </c>
      <c r="BH142" s="90" t="s">
        <v>22</v>
      </c>
      <c r="BI142" s="90" t="s">
        <v>22</v>
      </c>
      <c r="BJ142" s="83">
        <f t="shared" si="104"/>
        <v>3.2222222222222223</v>
      </c>
      <c r="BK142" s="83">
        <f t="shared" si="105"/>
        <v>3.4444444444444446</v>
      </c>
      <c r="BL142" s="83">
        <f t="shared" si="106"/>
        <v>7.3333333333333339</v>
      </c>
      <c r="BM142" s="119" t="s">
        <v>22</v>
      </c>
      <c r="BN142" s="119" t="s">
        <v>22</v>
      </c>
      <c r="BO142" s="119" t="s">
        <v>22</v>
      </c>
      <c r="BP142" s="429" t="s">
        <v>22</v>
      </c>
    </row>
    <row r="143" spans="1:68" ht="14.25" customHeight="1">
      <c r="A143" s="506"/>
      <c r="B143" s="132">
        <v>46075</v>
      </c>
      <c r="C143" s="166">
        <f t="shared" si="117"/>
        <v>1946</v>
      </c>
      <c r="D143" s="89">
        <f t="shared" si="118"/>
        <v>0.20225077081192191</v>
      </c>
      <c r="E143" s="89">
        <f t="shared" si="118"/>
        <v>0.45800616649537512</v>
      </c>
      <c r="F143" s="89">
        <f t="shared" si="118"/>
        <v>0.62520041109969171</v>
      </c>
      <c r="G143" s="89">
        <f t="shared" si="118"/>
        <v>0.81770811921891062</v>
      </c>
      <c r="H143" s="89">
        <f t="shared" si="118"/>
        <v>0.94752312435765684</v>
      </c>
      <c r="I143" s="89">
        <f t="shared" si="118"/>
        <v>0.94752312435765684</v>
      </c>
      <c r="J143" s="89">
        <f t="shared" si="118"/>
        <v>0.94752312435765684</v>
      </c>
      <c r="K143" s="89">
        <f t="shared" si="118"/>
        <v>1.329218910585817</v>
      </c>
      <c r="L143" s="90" t="s">
        <v>22</v>
      </c>
      <c r="M143" s="90" t="s">
        <v>22</v>
      </c>
      <c r="N143" s="90" t="s">
        <v>22</v>
      </c>
      <c r="O143" s="90" t="s">
        <v>22</v>
      </c>
      <c r="P143" s="83">
        <f t="shared" si="96"/>
        <v>3.0912139844504294</v>
      </c>
      <c r="Q143" s="83">
        <f t="shared" si="97"/>
        <v>4.6848925250266777</v>
      </c>
      <c r="R143" s="83">
        <f t="shared" si="98"/>
        <v>6.5721327303216617</v>
      </c>
      <c r="S143" s="119" t="s">
        <v>22</v>
      </c>
      <c r="T143" s="119" t="s">
        <v>22</v>
      </c>
      <c r="U143" s="119" t="s">
        <v>22</v>
      </c>
      <c r="V143" s="118" t="s">
        <v>22</v>
      </c>
      <c r="W143" s="1"/>
      <c r="X143" s="506"/>
      <c r="Y143" s="132">
        <v>46075</v>
      </c>
      <c r="Z143" s="141">
        <v>1350</v>
      </c>
      <c r="AA143" s="90">
        <v>0.19</v>
      </c>
      <c r="AB143" s="90">
        <v>0.36</v>
      </c>
      <c r="AC143" s="90">
        <v>0.42</v>
      </c>
      <c r="AD143" s="90">
        <v>0.49</v>
      </c>
      <c r="AE143" s="90">
        <v>0.57999999999999996</v>
      </c>
      <c r="AF143" s="90">
        <v>0.57999999999999996</v>
      </c>
      <c r="AG143" s="90">
        <v>0.57999999999999996</v>
      </c>
      <c r="AH143" s="90">
        <v>0.83</v>
      </c>
      <c r="AI143" s="90" t="s">
        <v>22</v>
      </c>
      <c r="AJ143" s="90" t="s">
        <v>22</v>
      </c>
      <c r="AK143" s="90" t="s">
        <v>22</v>
      </c>
      <c r="AL143" s="90" t="s">
        <v>22</v>
      </c>
      <c r="AM143" s="83">
        <f t="shared" si="100"/>
        <v>2.2105263157894735</v>
      </c>
      <c r="AN143" s="83">
        <f t="shared" si="101"/>
        <v>3.0526315789473681</v>
      </c>
      <c r="AO143" s="83">
        <f t="shared" si="102"/>
        <v>4.3684210526315788</v>
      </c>
      <c r="AP143" s="119" t="s">
        <v>22</v>
      </c>
      <c r="AQ143" s="119" t="s">
        <v>22</v>
      </c>
      <c r="AR143" s="119" t="s">
        <v>22</v>
      </c>
      <c r="AS143" s="118" t="s">
        <v>22</v>
      </c>
      <c r="AT143" s="1"/>
      <c r="AU143" s="506"/>
      <c r="AV143" s="168">
        <v>46075</v>
      </c>
      <c r="AW143" s="223">
        <v>596</v>
      </c>
      <c r="AX143" s="90">
        <v>0.23</v>
      </c>
      <c r="AY143" s="90">
        <v>0.68</v>
      </c>
      <c r="AZ143" s="90">
        <v>1.0900000000000001</v>
      </c>
      <c r="BA143" s="90">
        <v>1.56</v>
      </c>
      <c r="BB143" s="90">
        <v>1.78</v>
      </c>
      <c r="BC143" s="90">
        <v>1.78</v>
      </c>
      <c r="BD143" s="90">
        <v>1.78</v>
      </c>
      <c r="BE143" s="90">
        <v>2.46</v>
      </c>
      <c r="BF143" s="90" t="s">
        <v>22</v>
      </c>
      <c r="BG143" s="90" t="s">
        <v>22</v>
      </c>
      <c r="BH143" s="90" t="s">
        <v>22</v>
      </c>
      <c r="BI143" s="90" t="s">
        <v>22</v>
      </c>
      <c r="BJ143" s="83">
        <f t="shared" si="104"/>
        <v>4.7391304347826084</v>
      </c>
      <c r="BK143" s="83">
        <f t="shared" si="105"/>
        <v>7.7391304347826084</v>
      </c>
      <c r="BL143" s="83">
        <f t="shared" si="106"/>
        <v>10.695652173913043</v>
      </c>
      <c r="BM143" s="119" t="s">
        <v>22</v>
      </c>
      <c r="BN143" s="119" t="s">
        <v>22</v>
      </c>
      <c r="BO143" s="119" t="s">
        <v>22</v>
      </c>
      <c r="BP143" s="429" t="s">
        <v>22</v>
      </c>
    </row>
    <row r="144" spans="1:68" ht="14.25" customHeight="1">
      <c r="A144" s="569" t="s">
        <v>32</v>
      </c>
      <c r="B144" s="132">
        <v>46076</v>
      </c>
      <c r="C144" s="166">
        <f t="shared" si="117"/>
        <v>1924</v>
      </c>
      <c r="D144" s="89">
        <f t="shared" si="118"/>
        <v>0.22999999999999998</v>
      </c>
      <c r="E144" s="89">
        <f t="shared" si="118"/>
        <v>1.2632120582120583</v>
      </c>
      <c r="F144" s="89">
        <f t="shared" si="118"/>
        <v>1.9427754677754678</v>
      </c>
      <c r="G144" s="89">
        <f t="shared" si="118"/>
        <v>2.2755405405405407</v>
      </c>
      <c r="H144" s="89">
        <f t="shared" si="118"/>
        <v>2.5000727650727654</v>
      </c>
      <c r="I144" s="89">
        <f t="shared" si="118"/>
        <v>2.8398544698544699</v>
      </c>
      <c r="J144" s="89">
        <f t="shared" si="118"/>
        <v>3.0588045738045735</v>
      </c>
      <c r="K144" s="89">
        <f t="shared" si="118"/>
        <v>9.0807276507276509</v>
      </c>
      <c r="L144" s="90" t="s">
        <v>22</v>
      </c>
      <c r="M144" s="90" t="s">
        <v>22</v>
      </c>
      <c r="N144" s="90" t="s">
        <v>22</v>
      </c>
      <c r="O144" s="90" t="s">
        <v>22</v>
      </c>
      <c r="P144" s="83">
        <f t="shared" si="96"/>
        <v>8.446849859893339</v>
      </c>
      <c r="Q144" s="83">
        <f t="shared" si="97"/>
        <v>13.299150320889451</v>
      </c>
      <c r="R144" s="83">
        <f t="shared" si="98"/>
        <v>39.481424568381094</v>
      </c>
      <c r="S144" s="119" t="s">
        <v>22</v>
      </c>
      <c r="T144" s="119" t="s">
        <v>22</v>
      </c>
      <c r="U144" s="119" t="s">
        <v>22</v>
      </c>
      <c r="V144" s="118" t="s">
        <v>22</v>
      </c>
      <c r="W144" s="1"/>
      <c r="X144" s="559" t="s">
        <v>32</v>
      </c>
      <c r="Y144" s="132">
        <v>46076</v>
      </c>
      <c r="Z144" s="141">
        <v>1350</v>
      </c>
      <c r="AA144" s="90">
        <v>0.23</v>
      </c>
      <c r="AB144" s="90">
        <v>1.66</v>
      </c>
      <c r="AC144" s="90">
        <v>2.62</v>
      </c>
      <c r="AD144" s="90">
        <v>3.09</v>
      </c>
      <c r="AE144" s="90">
        <v>3.41</v>
      </c>
      <c r="AF144" s="90">
        <v>3.89</v>
      </c>
      <c r="AG144" s="90">
        <v>4.0999999999999996</v>
      </c>
      <c r="AH144" s="90">
        <v>12.44</v>
      </c>
      <c r="AI144" s="90" t="s">
        <v>22</v>
      </c>
      <c r="AJ144" s="90" t="s">
        <v>22</v>
      </c>
      <c r="AK144" s="90" t="s">
        <v>22</v>
      </c>
      <c r="AL144" s="90" t="s">
        <v>22</v>
      </c>
      <c r="AM144" s="83">
        <f t="shared" si="100"/>
        <v>11.391304347826088</v>
      </c>
      <c r="AN144" s="83">
        <f t="shared" si="101"/>
        <v>17.826086956521738</v>
      </c>
      <c r="AO144" s="83">
        <f t="shared" si="102"/>
        <v>54.086956521739125</v>
      </c>
      <c r="AP144" s="119" t="s">
        <v>22</v>
      </c>
      <c r="AQ144" s="119" t="s">
        <v>22</v>
      </c>
      <c r="AR144" s="119" t="s">
        <v>22</v>
      </c>
      <c r="AS144" s="118" t="s">
        <v>22</v>
      </c>
      <c r="AT144" s="1"/>
      <c r="AU144" s="531" t="s">
        <v>32</v>
      </c>
      <c r="AV144" s="168">
        <v>46076</v>
      </c>
      <c r="AW144" s="223">
        <v>574</v>
      </c>
      <c r="AX144" s="90">
        <v>0.23</v>
      </c>
      <c r="AY144" s="90">
        <v>0.33</v>
      </c>
      <c r="AZ144" s="90">
        <v>0.35</v>
      </c>
      <c r="BA144" s="90">
        <v>0.36</v>
      </c>
      <c r="BB144" s="90">
        <v>0.36</v>
      </c>
      <c r="BC144" s="90">
        <v>0.37</v>
      </c>
      <c r="BD144" s="90">
        <v>0.61</v>
      </c>
      <c r="BE144" s="90">
        <v>1.18</v>
      </c>
      <c r="BF144" s="90" t="s">
        <v>22</v>
      </c>
      <c r="BG144" s="90" t="s">
        <v>22</v>
      </c>
      <c r="BH144" s="90" t="s">
        <v>22</v>
      </c>
      <c r="BI144" s="90" t="s">
        <v>22</v>
      </c>
      <c r="BJ144" s="83">
        <f t="shared" si="104"/>
        <v>1.5217391304347825</v>
      </c>
      <c r="BK144" s="83">
        <f t="shared" si="105"/>
        <v>2.652173913043478</v>
      </c>
      <c r="BL144" s="83">
        <f t="shared" si="106"/>
        <v>5.1304347826086953</v>
      </c>
      <c r="BM144" s="119" t="s">
        <v>22</v>
      </c>
      <c r="BN144" s="119" t="s">
        <v>22</v>
      </c>
      <c r="BO144" s="119" t="s">
        <v>22</v>
      </c>
      <c r="BP144" s="429" t="s">
        <v>22</v>
      </c>
    </row>
    <row r="145" spans="1:68" ht="14.25" customHeight="1">
      <c r="A145" s="502"/>
      <c r="B145" s="132">
        <v>46077</v>
      </c>
      <c r="C145" s="166">
        <f t="shared" si="117"/>
        <v>1342</v>
      </c>
      <c r="D145" s="89">
        <f t="shared" si="118"/>
        <v>0.24368107302533532</v>
      </c>
      <c r="E145" s="89">
        <f t="shared" si="118"/>
        <v>0.60493293591654251</v>
      </c>
      <c r="F145" s="89">
        <f t="shared" si="118"/>
        <v>0.82007451564828615</v>
      </c>
      <c r="G145" s="89">
        <f t="shared" si="118"/>
        <v>1.2477198211624441</v>
      </c>
      <c r="H145" s="89">
        <f t="shared" si="118"/>
        <v>1.4767511177347243</v>
      </c>
      <c r="I145" s="89">
        <f t="shared" si="118"/>
        <v>1.5795976154992546</v>
      </c>
      <c r="J145" s="89">
        <f t="shared" si="118"/>
        <v>1.628554396423249</v>
      </c>
      <c r="K145" s="89">
        <f t="shared" si="118"/>
        <v>3.348360655737705</v>
      </c>
      <c r="L145" s="90" t="s">
        <v>22</v>
      </c>
      <c r="M145" s="90" t="s">
        <v>22</v>
      </c>
      <c r="N145" s="90" t="s">
        <v>22</v>
      </c>
      <c r="O145" s="90" t="s">
        <v>22</v>
      </c>
      <c r="P145" s="83">
        <f t="shared" si="96"/>
        <v>3.3653599168246591</v>
      </c>
      <c r="Q145" s="83">
        <f t="shared" si="97"/>
        <v>6.6831386459543767</v>
      </c>
      <c r="R145" s="83">
        <f t="shared" si="98"/>
        <v>13.740749801235399</v>
      </c>
      <c r="S145" s="119" t="s">
        <v>22</v>
      </c>
      <c r="T145" s="119" t="s">
        <v>22</v>
      </c>
      <c r="U145" s="119" t="s">
        <v>22</v>
      </c>
      <c r="V145" s="118" t="s">
        <v>22</v>
      </c>
      <c r="W145" s="1"/>
      <c r="X145" s="502"/>
      <c r="Y145" s="132">
        <v>46077</v>
      </c>
      <c r="Z145" s="141">
        <v>904</v>
      </c>
      <c r="AA145" s="90">
        <v>0.26</v>
      </c>
      <c r="AB145" s="90">
        <v>0.68</v>
      </c>
      <c r="AC145" s="90">
        <v>0.98</v>
      </c>
      <c r="AD145" s="90">
        <v>1.61</v>
      </c>
      <c r="AE145" s="90">
        <v>1.95</v>
      </c>
      <c r="AF145" s="90">
        <v>2.0299999999999998</v>
      </c>
      <c r="AG145" s="90">
        <v>2.0299999999999998</v>
      </c>
      <c r="AH145" s="90">
        <v>4.21</v>
      </c>
      <c r="AI145" s="90" t="s">
        <v>22</v>
      </c>
      <c r="AJ145" s="90" t="s">
        <v>22</v>
      </c>
      <c r="AK145" s="90" t="s">
        <v>22</v>
      </c>
      <c r="AL145" s="90" t="s">
        <v>22</v>
      </c>
      <c r="AM145" s="83">
        <f t="shared" si="100"/>
        <v>3.7692307692307692</v>
      </c>
      <c r="AN145" s="83">
        <f t="shared" si="101"/>
        <v>7.8076923076923066</v>
      </c>
      <c r="AO145" s="83">
        <f t="shared" si="102"/>
        <v>16.19230769230769</v>
      </c>
      <c r="AP145" s="119" t="s">
        <v>22</v>
      </c>
      <c r="AQ145" s="119" t="s">
        <v>22</v>
      </c>
      <c r="AR145" s="119" t="s">
        <v>22</v>
      </c>
      <c r="AS145" s="118" t="s">
        <v>22</v>
      </c>
      <c r="AT145" s="1"/>
      <c r="AU145" s="502"/>
      <c r="AV145" s="168">
        <v>46077</v>
      </c>
      <c r="AW145" s="223">
        <v>438</v>
      </c>
      <c r="AX145" s="90">
        <v>0.21</v>
      </c>
      <c r="AY145" s="90">
        <v>0.45</v>
      </c>
      <c r="AZ145" s="90">
        <v>0.49</v>
      </c>
      <c r="BA145" s="90">
        <v>0.5</v>
      </c>
      <c r="BB145" s="90">
        <v>0.5</v>
      </c>
      <c r="BC145" s="90">
        <v>0.65</v>
      </c>
      <c r="BD145" s="90">
        <v>0.8</v>
      </c>
      <c r="BE145" s="90">
        <v>1.57</v>
      </c>
      <c r="BF145" s="90" t="s">
        <v>22</v>
      </c>
      <c r="BG145" s="90" t="s">
        <v>22</v>
      </c>
      <c r="BH145" s="90" t="s">
        <v>22</v>
      </c>
      <c r="BI145" s="90" t="s">
        <v>22</v>
      </c>
      <c r="BJ145" s="83">
        <f t="shared" si="104"/>
        <v>2.3333333333333335</v>
      </c>
      <c r="BK145" s="83">
        <f t="shared" si="105"/>
        <v>3.8095238095238098</v>
      </c>
      <c r="BL145" s="83">
        <f t="shared" si="106"/>
        <v>7.4761904761904772</v>
      </c>
      <c r="BM145" s="119" t="s">
        <v>22</v>
      </c>
      <c r="BN145" s="119" t="s">
        <v>22</v>
      </c>
      <c r="BO145" s="119" t="s">
        <v>22</v>
      </c>
      <c r="BP145" s="429" t="s">
        <v>22</v>
      </c>
    </row>
    <row r="146" spans="1:68" ht="12.75" customHeight="1">
      <c r="A146" s="502"/>
      <c r="B146" s="132">
        <v>46078</v>
      </c>
      <c r="C146" s="166">
        <f t="shared" si="117"/>
        <v>1265</v>
      </c>
      <c r="D146" s="89">
        <f t="shared" si="118"/>
        <v>1.4359683794466402</v>
      </c>
      <c r="E146" s="89">
        <f t="shared" si="118"/>
        <v>2.582885375494071</v>
      </c>
      <c r="F146" s="89">
        <f t="shared" si="118"/>
        <v>3.1362845849802374</v>
      </c>
      <c r="G146" s="89">
        <f t="shared" si="118"/>
        <v>3.5655731225296443</v>
      </c>
      <c r="H146" s="89">
        <f t="shared" si="118"/>
        <v>3.9441501976284581</v>
      </c>
      <c r="I146" s="89">
        <f t="shared" si="118"/>
        <v>5.1867588932806328</v>
      </c>
      <c r="J146" s="89">
        <f t="shared" si="118"/>
        <v>5.5724901185770745</v>
      </c>
      <c r="K146" s="89">
        <f t="shared" si="118"/>
        <v>8.6502371541501972</v>
      </c>
      <c r="L146" s="90" t="s">
        <v>22</v>
      </c>
      <c r="M146" s="90" t="s">
        <v>22</v>
      </c>
      <c r="N146" s="90" t="s">
        <v>22</v>
      </c>
      <c r="O146" s="90" t="s">
        <v>22</v>
      </c>
      <c r="P146" s="83">
        <f t="shared" si="96"/>
        <v>2.1840902835122491</v>
      </c>
      <c r="Q146" s="83">
        <f t="shared" si="97"/>
        <v>3.8806496008808145</v>
      </c>
      <c r="R146" s="83">
        <f t="shared" si="98"/>
        <v>6.0239746765758326</v>
      </c>
      <c r="S146" s="119" t="s">
        <v>22</v>
      </c>
      <c r="T146" s="119" t="s">
        <v>22</v>
      </c>
      <c r="U146" s="119" t="s">
        <v>22</v>
      </c>
      <c r="V146" s="118" t="s">
        <v>22</v>
      </c>
      <c r="W146" s="1"/>
      <c r="X146" s="502"/>
      <c r="Y146" s="132">
        <v>46078</v>
      </c>
      <c r="Z146" s="141">
        <v>860</v>
      </c>
      <c r="AA146" s="90">
        <v>1.5</v>
      </c>
      <c r="AB146" s="90">
        <v>1.6</v>
      </c>
      <c r="AC146" s="90">
        <v>1.75</v>
      </c>
      <c r="AD146" s="90">
        <v>2</v>
      </c>
      <c r="AE146" s="90">
        <v>2.02</v>
      </c>
      <c r="AF146" s="90">
        <v>3.65</v>
      </c>
      <c r="AG146" s="90">
        <v>3.77</v>
      </c>
      <c r="AH146" s="90">
        <v>6.55</v>
      </c>
      <c r="AI146" s="90" t="s">
        <v>22</v>
      </c>
      <c r="AJ146" s="90" t="s">
        <v>22</v>
      </c>
      <c r="AK146" s="90" t="s">
        <v>22</v>
      </c>
      <c r="AL146" s="90" t="s">
        <v>22</v>
      </c>
      <c r="AM146" s="83">
        <f t="shared" si="100"/>
        <v>1.1666666666666667</v>
      </c>
      <c r="AN146" s="83">
        <f t="shared" si="101"/>
        <v>2.5133333333333332</v>
      </c>
      <c r="AO146" s="83">
        <f t="shared" si="102"/>
        <v>4.3666666666666663</v>
      </c>
      <c r="AP146" s="119" t="s">
        <v>22</v>
      </c>
      <c r="AQ146" s="119" t="s">
        <v>22</v>
      </c>
      <c r="AR146" s="119" t="s">
        <v>22</v>
      </c>
      <c r="AS146" s="118" t="s">
        <v>22</v>
      </c>
      <c r="AT146" s="1"/>
      <c r="AU146" s="502"/>
      <c r="AV146" s="168">
        <v>46078</v>
      </c>
      <c r="AW146" s="223">
        <v>405</v>
      </c>
      <c r="AX146" s="90">
        <v>1.3</v>
      </c>
      <c r="AY146" s="90">
        <v>4.67</v>
      </c>
      <c r="AZ146" s="90">
        <v>6.08</v>
      </c>
      <c r="BA146" s="90">
        <v>6.89</v>
      </c>
      <c r="BB146" s="90">
        <v>8.0299999999999994</v>
      </c>
      <c r="BC146" s="90">
        <v>8.4499999999999993</v>
      </c>
      <c r="BD146" s="90">
        <v>9.4</v>
      </c>
      <c r="BE146" s="90">
        <v>13.11</v>
      </c>
      <c r="BF146" s="90" t="s">
        <v>22</v>
      </c>
      <c r="BG146" s="90" t="s">
        <v>22</v>
      </c>
      <c r="BH146" s="90" t="s">
        <v>22</v>
      </c>
      <c r="BI146" s="90" t="s">
        <v>22</v>
      </c>
      <c r="BJ146" s="83">
        <f t="shared" si="104"/>
        <v>4.6769230769230772</v>
      </c>
      <c r="BK146" s="83">
        <f t="shared" si="105"/>
        <v>7.2307692307692308</v>
      </c>
      <c r="BL146" s="83">
        <f t="shared" si="106"/>
        <v>10.084615384615384</v>
      </c>
      <c r="BM146" s="119" t="s">
        <v>22</v>
      </c>
      <c r="BN146" s="119" t="s">
        <v>22</v>
      </c>
      <c r="BO146" s="119" t="s">
        <v>22</v>
      </c>
      <c r="BP146" s="429" t="s">
        <v>22</v>
      </c>
    </row>
    <row r="147" spans="1:68" ht="12.75" customHeight="1">
      <c r="A147" s="580" t="s">
        <v>24</v>
      </c>
      <c r="B147" s="452">
        <v>46079</v>
      </c>
      <c r="C147" s="441">
        <f t="shared" si="117"/>
        <v>1792</v>
      </c>
      <c r="D147" s="422">
        <f t="shared" si="118"/>
        <v>0.34535156249999999</v>
      </c>
      <c r="E147" s="422">
        <f t="shared" si="118"/>
        <v>0.68996093750000009</v>
      </c>
      <c r="F147" s="422">
        <f t="shared" si="118"/>
        <v>0.83605468749999989</v>
      </c>
      <c r="G147" s="422">
        <f t="shared" si="118"/>
        <v>0.91460937500000006</v>
      </c>
      <c r="H147" s="422">
        <f t="shared" si="118"/>
        <v>1.002734375</v>
      </c>
      <c r="I147" s="422">
        <f t="shared" si="118"/>
        <v>1.0802734375</v>
      </c>
      <c r="J147" s="422">
        <f t="shared" si="118"/>
        <v>1.1067968750000001</v>
      </c>
      <c r="K147" s="422">
        <f t="shared" si="118"/>
        <v>1.3040625000000001</v>
      </c>
      <c r="L147" s="423" t="s">
        <v>22</v>
      </c>
      <c r="M147" s="423" t="s">
        <v>22</v>
      </c>
      <c r="N147" s="423" t="s">
        <v>22</v>
      </c>
      <c r="O147" s="423" t="s">
        <v>22</v>
      </c>
      <c r="P147" s="433">
        <f t="shared" si="96"/>
        <v>2.4208799909512497</v>
      </c>
      <c r="Q147" s="433">
        <f t="shared" si="97"/>
        <v>3.2048410813256423</v>
      </c>
      <c r="R147" s="433">
        <f t="shared" si="98"/>
        <v>3.776043434000679</v>
      </c>
      <c r="S147" s="424" t="s">
        <v>22</v>
      </c>
      <c r="T147" s="424" t="s">
        <v>22</v>
      </c>
      <c r="U147" s="424" t="s">
        <v>22</v>
      </c>
      <c r="V147" s="428" t="s">
        <v>22</v>
      </c>
      <c r="W147" s="1"/>
      <c r="X147" s="560" t="s">
        <v>24</v>
      </c>
      <c r="Y147" s="452">
        <v>46079</v>
      </c>
      <c r="Z147" s="338">
        <v>987</v>
      </c>
      <c r="AA147" s="423">
        <v>0.26</v>
      </c>
      <c r="AB147" s="423">
        <v>0.38</v>
      </c>
      <c r="AC147" s="423">
        <v>0.57999999999999996</v>
      </c>
      <c r="AD147" s="423">
        <v>0.69</v>
      </c>
      <c r="AE147" s="423">
        <v>0.85</v>
      </c>
      <c r="AF147" s="423">
        <v>0.95</v>
      </c>
      <c r="AG147" s="423">
        <v>0.99</v>
      </c>
      <c r="AH147" s="423">
        <v>1.34</v>
      </c>
      <c r="AI147" s="423" t="s">
        <v>22</v>
      </c>
      <c r="AJ147" s="423" t="s">
        <v>22</v>
      </c>
      <c r="AK147" s="423" t="s">
        <v>22</v>
      </c>
      <c r="AL147" s="423" t="s">
        <v>22</v>
      </c>
      <c r="AM147" s="433">
        <f t="shared" si="100"/>
        <v>2.2307692307692304</v>
      </c>
      <c r="AN147" s="433">
        <f t="shared" si="101"/>
        <v>3.8076923076923075</v>
      </c>
      <c r="AO147" s="433">
        <f t="shared" si="102"/>
        <v>5.1538461538461542</v>
      </c>
      <c r="AP147" s="424" t="s">
        <v>22</v>
      </c>
      <c r="AQ147" s="424" t="s">
        <v>22</v>
      </c>
      <c r="AR147" s="424" t="s">
        <v>22</v>
      </c>
      <c r="AS147" s="428" t="s">
        <v>22</v>
      </c>
      <c r="AT147" s="1"/>
      <c r="AU147" s="532" t="s">
        <v>24</v>
      </c>
      <c r="AV147" s="452">
        <v>46079</v>
      </c>
      <c r="AW147" s="226">
        <v>805</v>
      </c>
      <c r="AX147" s="423">
        <v>0.45</v>
      </c>
      <c r="AY147" s="423">
        <v>1.07</v>
      </c>
      <c r="AZ147" s="423">
        <v>1.1499999999999999</v>
      </c>
      <c r="BA147" s="423">
        <v>1.19</v>
      </c>
      <c r="BB147" s="423">
        <v>1.19</v>
      </c>
      <c r="BC147" s="423">
        <v>1.24</v>
      </c>
      <c r="BD147" s="423">
        <v>1.25</v>
      </c>
      <c r="BE147" s="423">
        <v>1.26</v>
      </c>
      <c r="BF147" s="423" t="s">
        <v>22</v>
      </c>
      <c r="BG147" s="423" t="s">
        <v>22</v>
      </c>
      <c r="BH147" s="423" t="s">
        <v>22</v>
      </c>
      <c r="BI147" s="423" t="s">
        <v>22</v>
      </c>
      <c r="BJ147" s="433">
        <f t="shared" si="104"/>
        <v>2.5555555555555554</v>
      </c>
      <c r="BK147" s="433">
        <f t="shared" si="105"/>
        <v>2.7777777777777777</v>
      </c>
      <c r="BL147" s="433">
        <f t="shared" si="106"/>
        <v>2.8</v>
      </c>
      <c r="BM147" s="424" t="s">
        <v>22</v>
      </c>
      <c r="BN147" s="424" t="s">
        <v>22</v>
      </c>
      <c r="BO147" s="424" t="s">
        <v>22</v>
      </c>
      <c r="BP147" s="428" t="s">
        <v>22</v>
      </c>
    </row>
    <row r="148" spans="1:68" ht="12.75" customHeight="1">
      <c r="A148" s="509"/>
      <c r="B148" s="271">
        <v>46080</v>
      </c>
      <c r="C148" s="240">
        <f t="shared" si="117"/>
        <v>1615</v>
      </c>
      <c r="D148" s="89">
        <f t="shared" ref="D148:J154" si="119">($Z148*AA148+$AW148*AX148)/$C148</f>
        <v>0.39734984520123839</v>
      </c>
      <c r="E148" s="89">
        <f t="shared" si="119"/>
        <v>0.54602476780185749</v>
      </c>
      <c r="F148" s="89">
        <f t="shared" si="119"/>
        <v>1.057938080495356</v>
      </c>
      <c r="G148" s="89">
        <f t="shared" si="119"/>
        <v>1.067938080495356</v>
      </c>
      <c r="H148" s="89">
        <f t="shared" si="119"/>
        <v>1.1848359133126936</v>
      </c>
      <c r="I148" s="89">
        <f t="shared" si="119"/>
        <v>1.3040681114551085</v>
      </c>
      <c r="J148" s="89">
        <f t="shared" si="119"/>
        <v>1.3787368421052633</v>
      </c>
      <c r="K148" s="90" t="s">
        <v>22</v>
      </c>
      <c r="L148" s="90" t="s">
        <v>22</v>
      </c>
      <c r="M148" s="90" t="s">
        <v>22</v>
      </c>
      <c r="N148" s="90" t="s">
        <v>22</v>
      </c>
      <c r="O148" s="90" t="s">
        <v>22</v>
      </c>
      <c r="P148" s="83">
        <f t="shared" si="96"/>
        <v>2.6624851960356541</v>
      </c>
      <c r="Q148" s="83">
        <f t="shared" si="97"/>
        <v>3.4698310789752544</v>
      </c>
      <c r="R148" s="119" t="s">
        <v>22</v>
      </c>
      <c r="S148" s="119" t="s">
        <v>22</v>
      </c>
      <c r="T148" s="119" t="s">
        <v>22</v>
      </c>
      <c r="U148" s="119" t="s">
        <v>22</v>
      </c>
      <c r="V148" s="429" t="s">
        <v>22</v>
      </c>
      <c r="W148" s="1"/>
      <c r="X148" s="509"/>
      <c r="Y148" s="271">
        <v>46080</v>
      </c>
      <c r="Z148" s="198">
        <v>951</v>
      </c>
      <c r="AA148" s="90">
        <v>0.2</v>
      </c>
      <c r="AB148" s="90">
        <v>0.25</v>
      </c>
      <c r="AC148" s="90">
        <v>0.47</v>
      </c>
      <c r="AD148" s="90">
        <v>0.48</v>
      </c>
      <c r="AE148" s="90">
        <v>0.49</v>
      </c>
      <c r="AF148" s="90">
        <v>0.49</v>
      </c>
      <c r="AG148" s="90">
        <v>0.54</v>
      </c>
      <c r="AH148" s="90" t="s">
        <v>22</v>
      </c>
      <c r="AI148" s="90" t="s">
        <v>22</v>
      </c>
      <c r="AJ148" s="90" t="s">
        <v>22</v>
      </c>
      <c r="AK148" s="90" t="s">
        <v>22</v>
      </c>
      <c r="AL148" s="90" t="s">
        <v>22</v>
      </c>
      <c r="AM148" s="83">
        <f t="shared" si="100"/>
        <v>2.3499999999999996</v>
      </c>
      <c r="AN148" s="83">
        <f t="shared" si="101"/>
        <v>2.7</v>
      </c>
      <c r="AO148" s="119" t="s">
        <v>22</v>
      </c>
      <c r="AP148" s="119" t="s">
        <v>22</v>
      </c>
      <c r="AQ148" s="119" t="s">
        <v>22</v>
      </c>
      <c r="AR148" s="119" t="s">
        <v>22</v>
      </c>
      <c r="AS148" s="429" t="s">
        <v>22</v>
      </c>
      <c r="AT148" s="1"/>
      <c r="AU148" s="509"/>
      <c r="AV148" s="271">
        <v>46080</v>
      </c>
      <c r="AW148" s="211">
        <v>664</v>
      </c>
      <c r="AX148" s="90">
        <v>0.68</v>
      </c>
      <c r="AY148" s="90">
        <v>0.97</v>
      </c>
      <c r="AZ148" s="90">
        <v>1.9</v>
      </c>
      <c r="BA148" s="90">
        <v>1.91</v>
      </c>
      <c r="BB148" s="90">
        <v>2.1800000000000002</v>
      </c>
      <c r="BC148" s="90">
        <v>2.4700000000000002</v>
      </c>
      <c r="BD148" s="90">
        <v>2.58</v>
      </c>
      <c r="BE148" s="90" t="s">
        <v>22</v>
      </c>
      <c r="BF148" s="90" t="s">
        <v>22</v>
      </c>
      <c r="BG148" s="90" t="s">
        <v>22</v>
      </c>
      <c r="BH148" s="90" t="s">
        <v>22</v>
      </c>
      <c r="BI148" s="90" t="s">
        <v>22</v>
      </c>
      <c r="BJ148" s="83">
        <f t="shared" si="104"/>
        <v>2.7941176470588234</v>
      </c>
      <c r="BK148" s="83">
        <f t="shared" si="105"/>
        <v>3.7941176470588234</v>
      </c>
      <c r="BL148" s="119" t="s">
        <v>22</v>
      </c>
      <c r="BM148" s="119" t="s">
        <v>22</v>
      </c>
      <c r="BN148" s="119" t="s">
        <v>22</v>
      </c>
      <c r="BO148" s="119" t="s">
        <v>22</v>
      </c>
      <c r="BP148" s="429" t="s">
        <v>22</v>
      </c>
    </row>
    <row r="149" spans="1:68" ht="12.75" customHeight="1">
      <c r="A149" s="90"/>
      <c r="B149" s="254">
        <v>46081</v>
      </c>
      <c r="C149" s="315">
        <f t="shared" si="117"/>
        <v>1703</v>
      </c>
      <c r="D149" s="89">
        <f t="shared" si="119"/>
        <v>0.33563711098062238</v>
      </c>
      <c r="E149" s="89">
        <f t="shared" si="119"/>
        <v>0.60884908984145614</v>
      </c>
      <c r="F149" s="89">
        <f t="shared" si="119"/>
        <v>0.67004110393423377</v>
      </c>
      <c r="G149" s="89">
        <f t="shared" si="119"/>
        <v>0.92870816206694062</v>
      </c>
      <c r="H149" s="89">
        <f t="shared" si="119"/>
        <v>1.0761832061068701</v>
      </c>
      <c r="I149" s="89">
        <f t="shared" si="119"/>
        <v>1.1978802113916618</v>
      </c>
      <c r="J149" s="89">
        <f t="shared" si="119"/>
        <v>1.2251732237228421</v>
      </c>
      <c r="K149" s="90" t="s">
        <v>22</v>
      </c>
      <c r="L149" s="90" t="s">
        <v>22</v>
      </c>
      <c r="M149" s="90" t="s">
        <v>22</v>
      </c>
      <c r="N149" s="90" t="s">
        <v>22</v>
      </c>
      <c r="O149" s="90" t="s">
        <v>22</v>
      </c>
      <c r="P149" s="83">
        <f t="shared" si="96"/>
        <v>1.9963260378942953</v>
      </c>
      <c r="Q149" s="83">
        <f t="shared" si="97"/>
        <v>3.6502912927098103</v>
      </c>
      <c r="R149" s="119" t="s">
        <v>22</v>
      </c>
      <c r="S149" s="119" t="s">
        <v>22</v>
      </c>
      <c r="T149" s="119" t="s">
        <v>22</v>
      </c>
      <c r="U149" s="119" t="s">
        <v>22</v>
      </c>
      <c r="V149" s="429" t="s">
        <v>22</v>
      </c>
      <c r="W149" s="1"/>
      <c r="X149" s="90"/>
      <c r="Y149" s="254">
        <v>46081</v>
      </c>
      <c r="Z149" s="200">
        <v>1039</v>
      </c>
      <c r="AA149" s="90">
        <v>0.09</v>
      </c>
      <c r="AB149" s="90">
        <v>0.41</v>
      </c>
      <c r="AC149" s="90">
        <v>0.44</v>
      </c>
      <c r="AD149" s="90">
        <v>0.56999999999999995</v>
      </c>
      <c r="AE149" s="90">
        <v>0.62</v>
      </c>
      <c r="AF149" s="90">
        <v>0.73</v>
      </c>
      <c r="AG149" s="90">
        <v>0.73</v>
      </c>
      <c r="AH149" s="90" t="s">
        <v>22</v>
      </c>
      <c r="AI149" s="90" t="s">
        <v>22</v>
      </c>
      <c r="AJ149" s="90" t="s">
        <v>22</v>
      </c>
      <c r="AK149" s="90" t="s">
        <v>22</v>
      </c>
      <c r="AL149" s="90" t="s">
        <v>22</v>
      </c>
      <c r="AM149" s="83">
        <f t="shared" si="100"/>
        <v>4.8888888888888893</v>
      </c>
      <c r="AN149" s="83">
        <f t="shared" si="101"/>
        <v>8.1111111111111107</v>
      </c>
      <c r="AO149" s="119" t="s">
        <v>22</v>
      </c>
      <c r="AP149" s="119" t="s">
        <v>22</v>
      </c>
      <c r="AQ149" s="119" t="s">
        <v>22</v>
      </c>
      <c r="AR149" s="119" t="s">
        <v>22</v>
      </c>
      <c r="AS149" s="429" t="s">
        <v>22</v>
      </c>
      <c r="AT149" s="1"/>
      <c r="AU149" s="90"/>
      <c r="AV149" s="254">
        <v>46081</v>
      </c>
      <c r="AW149" s="154">
        <v>664</v>
      </c>
      <c r="AX149" s="90">
        <v>0.72</v>
      </c>
      <c r="AY149" s="90">
        <v>0.92</v>
      </c>
      <c r="AZ149" s="90">
        <v>1.03</v>
      </c>
      <c r="BA149" s="90">
        <v>1.49</v>
      </c>
      <c r="BB149" s="90">
        <v>1.79</v>
      </c>
      <c r="BC149" s="90">
        <v>1.93</v>
      </c>
      <c r="BD149" s="90">
        <v>2</v>
      </c>
      <c r="BE149" s="90" t="s">
        <v>22</v>
      </c>
      <c r="BF149" s="90" t="s">
        <v>22</v>
      </c>
      <c r="BG149" s="90" t="s">
        <v>22</v>
      </c>
      <c r="BH149" s="90" t="s">
        <v>22</v>
      </c>
      <c r="BI149" s="90" t="s">
        <v>22</v>
      </c>
      <c r="BJ149" s="83">
        <f t="shared" si="104"/>
        <v>1.4305555555555556</v>
      </c>
      <c r="BK149" s="83">
        <f t="shared" si="105"/>
        <v>2.7777777777777777</v>
      </c>
      <c r="BL149" s="119" t="s">
        <v>22</v>
      </c>
      <c r="BM149" s="119" t="s">
        <v>22</v>
      </c>
      <c r="BN149" s="119" t="s">
        <v>22</v>
      </c>
      <c r="BO149" s="119" t="s">
        <v>22</v>
      </c>
      <c r="BP149" s="429" t="s">
        <v>22</v>
      </c>
    </row>
    <row r="150" spans="1:68" ht="12.75" customHeight="1">
      <c r="A150" s="90"/>
      <c r="B150" s="254">
        <v>46082</v>
      </c>
      <c r="C150" s="315">
        <f t="shared" si="117"/>
        <v>2012</v>
      </c>
      <c r="D150" s="89">
        <f t="shared" si="119"/>
        <v>1.8246222664015903</v>
      </c>
      <c r="E150" s="89">
        <f t="shared" si="119"/>
        <v>2.5921322067594428</v>
      </c>
      <c r="F150" s="89">
        <f t="shared" si="119"/>
        <v>3.0788966202783299</v>
      </c>
      <c r="G150" s="89">
        <f t="shared" si="119"/>
        <v>3.5462077534791248</v>
      </c>
      <c r="H150" s="89">
        <f t="shared" si="119"/>
        <v>3.6065059642147119</v>
      </c>
      <c r="I150" s="89">
        <f t="shared" si="119"/>
        <v>3.7170526838966205</v>
      </c>
      <c r="J150" s="89">
        <f t="shared" si="119"/>
        <v>4.2245626242544727</v>
      </c>
      <c r="K150" s="90" t="s">
        <v>22</v>
      </c>
      <c r="L150" s="90" t="s">
        <v>22</v>
      </c>
      <c r="M150" s="90" t="s">
        <v>22</v>
      </c>
      <c r="N150" s="90" t="s">
        <v>22</v>
      </c>
      <c r="O150" s="90" t="s">
        <v>22</v>
      </c>
      <c r="P150" s="83">
        <f t="shared" si="96"/>
        <v>1.6874158980589136</v>
      </c>
      <c r="Q150" s="83">
        <f t="shared" si="97"/>
        <v>2.3153080514499584</v>
      </c>
      <c r="R150" s="119" t="s">
        <v>22</v>
      </c>
      <c r="S150" s="119" t="s">
        <v>22</v>
      </c>
      <c r="T150" s="119" t="s">
        <v>22</v>
      </c>
      <c r="U150" s="119" t="s">
        <v>22</v>
      </c>
      <c r="V150" s="429" t="s">
        <v>22</v>
      </c>
      <c r="W150" s="1"/>
      <c r="X150" s="90"/>
      <c r="Y150" s="254">
        <v>46082</v>
      </c>
      <c r="Z150" s="200">
        <v>1011</v>
      </c>
      <c r="AA150" s="90">
        <v>2.75</v>
      </c>
      <c r="AB150" s="90">
        <v>4.0199999999999996</v>
      </c>
      <c r="AC150" s="90">
        <v>4.8600000000000003</v>
      </c>
      <c r="AD150" s="90">
        <v>5.79</v>
      </c>
      <c r="AE150" s="90">
        <v>5.91</v>
      </c>
      <c r="AF150" s="90">
        <v>6.13</v>
      </c>
      <c r="AG150" s="90">
        <v>7.14</v>
      </c>
      <c r="AH150" s="90" t="s">
        <v>22</v>
      </c>
      <c r="AI150" s="90" t="s">
        <v>22</v>
      </c>
      <c r="AJ150" s="90" t="s">
        <v>22</v>
      </c>
      <c r="AK150" s="90" t="s">
        <v>22</v>
      </c>
      <c r="AL150" s="90" t="s">
        <v>22</v>
      </c>
      <c r="AM150" s="83">
        <f t="shared" si="100"/>
        <v>1.7672727272727273</v>
      </c>
      <c r="AN150" s="83">
        <f t="shared" si="101"/>
        <v>2.5963636363636362</v>
      </c>
      <c r="AO150" s="119" t="s">
        <v>22</v>
      </c>
      <c r="AP150" s="119" t="s">
        <v>22</v>
      </c>
      <c r="AQ150" s="119" t="s">
        <v>22</v>
      </c>
      <c r="AR150" s="119" t="s">
        <v>22</v>
      </c>
      <c r="AS150" s="429" t="s">
        <v>22</v>
      </c>
      <c r="AT150" s="1"/>
      <c r="AU150" s="90"/>
      <c r="AV150" s="254">
        <v>46082</v>
      </c>
      <c r="AW150" s="154">
        <v>1001</v>
      </c>
      <c r="AX150" s="90">
        <v>0.89</v>
      </c>
      <c r="AY150" s="90">
        <v>1.1499999999999999</v>
      </c>
      <c r="AZ150" s="90">
        <v>1.28</v>
      </c>
      <c r="BA150" s="90">
        <v>1.28</v>
      </c>
      <c r="BB150" s="90">
        <v>1.28</v>
      </c>
      <c r="BC150" s="90">
        <v>1.28</v>
      </c>
      <c r="BD150" s="90">
        <v>1.28</v>
      </c>
      <c r="BE150" s="90" t="s">
        <v>22</v>
      </c>
      <c r="BF150" s="90" t="s">
        <v>22</v>
      </c>
      <c r="BG150" s="90" t="s">
        <v>22</v>
      </c>
      <c r="BH150" s="90" t="s">
        <v>22</v>
      </c>
      <c r="BI150" s="90" t="s">
        <v>22</v>
      </c>
      <c r="BJ150" s="83">
        <f t="shared" si="104"/>
        <v>1.4382022471910112</v>
      </c>
      <c r="BK150" s="83">
        <f t="shared" si="105"/>
        <v>1.4382022471910112</v>
      </c>
      <c r="BL150" s="119" t="s">
        <v>22</v>
      </c>
      <c r="BM150" s="119" t="s">
        <v>22</v>
      </c>
      <c r="BN150" s="119" t="s">
        <v>22</v>
      </c>
      <c r="BO150" s="119" t="s">
        <v>22</v>
      </c>
      <c r="BP150" s="429" t="s">
        <v>22</v>
      </c>
    </row>
    <row r="151" spans="1:68" ht="12.75" customHeight="1">
      <c r="A151" s="90"/>
      <c r="B151" s="254">
        <v>46083</v>
      </c>
      <c r="C151" s="315">
        <f t="shared" si="117"/>
        <v>2109</v>
      </c>
      <c r="D151" s="89">
        <f t="shared" si="119"/>
        <v>0.37477477477477483</v>
      </c>
      <c r="E151" s="89">
        <f t="shared" si="119"/>
        <v>0.64517780938833558</v>
      </c>
      <c r="F151" s="89">
        <f t="shared" si="119"/>
        <v>0.88467994310099574</v>
      </c>
      <c r="G151" s="89">
        <f t="shared" si="119"/>
        <v>0.97453769559032721</v>
      </c>
      <c r="H151" s="89">
        <f t="shared" si="119"/>
        <v>1.0745376955903272</v>
      </c>
      <c r="I151" s="89">
        <f t="shared" si="119"/>
        <v>1.1693124703651019</v>
      </c>
      <c r="J151" s="89">
        <f t="shared" si="119"/>
        <v>1.244371740161214</v>
      </c>
      <c r="K151" s="90" t="s">
        <v>22</v>
      </c>
      <c r="L151" s="90" t="s">
        <v>22</v>
      </c>
      <c r="M151" s="90" t="s">
        <v>22</v>
      </c>
      <c r="N151" s="90" t="s">
        <v>22</v>
      </c>
      <c r="O151" s="90" t="s">
        <v>22</v>
      </c>
      <c r="P151" s="83">
        <f t="shared" ref="P151:P158" si="120">F151/D151</f>
        <v>2.3605642712550603</v>
      </c>
      <c r="Q151" s="83">
        <f t="shared" si="97"/>
        <v>3.3203188259109311</v>
      </c>
      <c r="R151" s="119" t="s">
        <v>22</v>
      </c>
      <c r="S151" s="119" t="s">
        <v>22</v>
      </c>
      <c r="T151" s="119" t="s">
        <v>22</v>
      </c>
      <c r="U151" s="119" t="s">
        <v>22</v>
      </c>
      <c r="V151" s="429" t="s">
        <v>22</v>
      </c>
      <c r="W151" s="1"/>
      <c r="X151" s="90"/>
      <c r="Y151" s="254">
        <v>46083</v>
      </c>
      <c r="Z151" s="200">
        <v>1052</v>
      </c>
      <c r="AA151" s="90">
        <v>0.47</v>
      </c>
      <c r="AB151" s="90">
        <v>0.56999999999999995</v>
      </c>
      <c r="AC151" s="90">
        <v>1.02</v>
      </c>
      <c r="AD151" s="90">
        <v>1.17</v>
      </c>
      <c r="AE151" s="90">
        <v>1.27</v>
      </c>
      <c r="AF151" s="90">
        <v>1.46</v>
      </c>
      <c r="AG151" s="90">
        <v>1.51</v>
      </c>
      <c r="AH151" s="90" t="s">
        <v>22</v>
      </c>
      <c r="AI151" s="90" t="s">
        <v>22</v>
      </c>
      <c r="AJ151" s="90" t="s">
        <v>22</v>
      </c>
      <c r="AK151" s="90" t="s">
        <v>22</v>
      </c>
      <c r="AL151" s="90" t="s">
        <v>22</v>
      </c>
      <c r="AM151" s="83">
        <f t="shared" ref="AM151:AM158" si="121">AC151/AA151</f>
        <v>2.1702127659574471</v>
      </c>
      <c r="AN151" s="83">
        <f t="shared" si="101"/>
        <v>3.2127659574468086</v>
      </c>
      <c r="AO151" s="119" t="s">
        <v>22</v>
      </c>
      <c r="AP151" s="119" t="s">
        <v>22</v>
      </c>
      <c r="AQ151" s="119" t="s">
        <v>22</v>
      </c>
      <c r="AR151" s="119" t="s">
        <v>22</v>
      </c>
      <c r="AS151" s="429" t="s">
        <v>22</v>
      </c>
      <c r="AT151" s="1"/>
      <c r="AU151" s="90"/>
      <c r="AV151" s="254">
        <v>46083</v>
      </c>
      <c r="AW151" s="154">
        <v>1057</v>
      </c>
      <c r="AX151" s="90">
        <v>0.28000000000000003</v>
      </c>
      <c r="AY151" s="90">
        <v>0.72</v>
      </c>
      <c r="AZ151" s="90">
        <v>0.75</v>
      </c>
      <c r="BA151" s="90">
        <v>0.78</v>
      </c>
      <c r="BB151" s="90">
        <v>0.88</v>
      </c>
      <c r="BC151" s="90">
        <v>0.88</v>
      </c>
      <c r="BD151" s="90">
        <v>0.98</v>
      </c>
      <c r="BE151" s="90" t="s">
        <v>22</v>
      </c>
      <c r="BF151" s="90" t="s">
        <v>22</v>
      </c>
      <c r="BG151" s="90" t="s">
        <v>22</v>
      </c>
      <c r="BH151" s="90" t="s">
        <v>22</v>
      </c>
      <c r="BI151" s="90" t="s">
        <v>22</v>
      </c>
      <c r="BJ151" s="83">
        <f t="shared" ref="BJ151:BJ158" si="122">AZ151/AX151</f>
        <v>2.6785714285714284</v>
      </c>
      <c r="BK151" s="83">
        <f t="shared" si="105"/>
        <v>3.4999999999999996</v>
      </c>
      <c r="BL151" s="119" t="s">
        <v>22</v>
      </c>
      <c r="BM151" s="119" t="s">
        <v>22</v>
      </c>
      <c r="BN151" s="119" t="s">
        <v>22</v>
      </c>
      <c r="BO151" s="119" t="s">
        <v>22</v>
      </c>
      <c r="BP151" s="429" t="s">
        <v>22</v>
      </c>
    </row>
    <row r="152" spans="1:68" ht="12.75" customHeight="1">
      <c r="A152" s="581" t="s">
        <v>33</v>
      </c>
      <c r="B152" s="312">
        <v>46084</v>
      </c>
      <c r="C152" s="315">
        <f t="shared" si="117"/>
        <v>2061</v>
      </c>
      <c r="D152" s="89">
        <f t="shared" si="119"/>
        <v>0.41572052401746723</v>
      </c>
      <c r="E152" s="89">
        <f t="shared" si="119"/>
        <v>0.69624454148471615</v>
      </c>
      <c r="F152" s="89">
        <f t="shared" si="119"/>
        <v>0.88209606986899558</v>
      </c>
      <c r="G152" s="89">
        <f t="shared" si="119"/>
        <v>1.0458515283842795</v>
      </c>
      <c r="H152" s="89">
        <f t="shared" si="119"/>
        <v>1.6823580786026202</v>
      </c>
      <c r="I152" s="89">
        <f t="shared" si="119"/>
        <v>1.9522270742358079</v>
      </c>
      <c r="J152" s="89">
        <f t="shared" si="119"/>
        <v>2.1657205240174675</v>
      </c>
      <c r="K152" s="90" t="s">
        <v>22</v>
      </c>
      <c r="L152" s="90" t="s">
        <v>22</v>
      </c>
      <c r="M152" s="90" t="s">
        <v>22</v>
      </c>
      <c r="N152" s="90" t="s">
        <v>22</v>
      </c>
      <c r="O152" s="90" t="s">
        <v>22</v>
      </c>
      <c r="P152" s="83">
        <f t="shared" si="120"/>
        <v>2.1218487394957983</v>
      </c>
      <c r="Q152" s="83">
        <f t="shared" si="97"/>
        <v>5.209558823529413</v>
      </c>
      <c r="R152" s="119" t="s">
        <v>22</v>
      </c>
      <c r="S152" s="119" t="s">
        <v>22</v>
      </c>
      <c r="T152" s="119" t="s">
        <v>22</v>
      </c>
      <c r="U152" s="119" t="s">
        <v>22</v>
      </c>
      <c r="V152" s="429" t="s">
        <v>22</v>
      </c>
      <c r="W152" s="1"/>
      <c r="X152" s="561" t="s">
        <v>33</v>
      </c>
      <c r="Y152" s="312">
        <v>46084</v>
      </c>
      <c r="Z152" s="339">
        <v>1017</v>
      </c>
      <c r="AA152" s="90">
        <v>0.36</v>
      </c>
      <c r="AB152" s="90">
        <v>0.6</v>
      </c>
      <c r="AC152" s="90">
        <v>0.72</v>
      </c>
      <c r="AD152" s="90">
        <v>0.98</v>
      </c>
      <c r="AE152" s="90">
        <v>1.5</v>
      </c>
      <c r="AF152" s="90">
        <v>1.78</v>
      </c>
      <c r="AG152" s="90">
        <v>2.11</v>
      </c>
      <c r="AH152" s="90" t="s">
        <v>22</v>
      </c>
      <c r="AI152" s="90" t="s">
        <v>22</v>
      </c>
      <c r="AJ152" s="90" t="s">
        <v>22</v>
      </c>
      <c r="AK152" s="90" t="s">
        <v>22</v>
      </c>
      <c r="AL152" s="90" t="s">
        <v>22</v>
      </c>
      <c r="AM152" s="83">
        <f t="shared" si="121"/>
        <v>2</v>
      </c>
      <c r="AN152" s="83">
        <f t="shared" si="101"/>
        <v>5.8611111111111107</v>
      </c>
      <c r="AO152" s="119" t="s">
        <v>22</v>
      </c>
      <c r="AP152" s="119" t="s">
        <v>22</v>
      </c>
      <c r="AQ152" s="119" t="s">
        <v>22</v>
      </c>
      <c r="AR152" s="119" t="s">
        <v>22</v>
      </c>
      <c r="AS152" s="429" t="s">
        <v>22</v>
      </c>
      <c r="AT152" s="1"/>
      <c r="AU152" s="533" t="s">
        <v>33</v>
      </c>
      <c r="AV152" s="312">
        <v>46084</v>
      </c>
      <c r="AW152" s="223">
        <v>1044</v>
      </c>
      <c r="AX152" s="90">
        <v>0.47</v>
      </c>
      <c r="AY152" s="90">
        <v>0.79</v>
      </c>
      <c r="AZ152" s="90">
        <v>1.04</v>
      </c>
      <c r="BA152" s="90">
        <v>1.1100000000000001</v>
      </c>
      <c r="BB152" s="90">
        <v>1.86</v>
      </c>
      <c r="BC152" s="90">
        <v>2.12</v>
      </c>
      <c r="BD152" s="90">
        <v>2.2200000000000002</v>
      </c>
      <c r="BE152" s="90" t="s">
        <v>22</v>
      </c>
      <c r="BF152" s="90" t="s">
        <v>22</v>
      </c>
      <c r="BG152" s="90" t="s">
        <v>22</v>
      </c>
      <c r="BH152" s="90" t="s">
        <v>22</v>
      </c>
      <c r="BI152" s="90" t="s">
        <v>22</v>
      </c>
      <c r="BJ152" s="83">
        <f t="shared" si="122"/>
        <v>2.2127659574468086</v>
      </c>
      <c r="BK152" s="83">
        <f t="shared" si="105"/>
        <v>4.7234042553191493</v>
      </c>
      <c r="BL152" s="119" t="s">
        <v>22</v>
      </c>
      <c r="BM152" s="119" t="s">
        <v>22</v>
      </c>
      <c r="BN152" s="119" t="s">
        <v>22</v>
      </c>
      <c r="BO152" s="119" t="s">
        <v>22</v>
      </c>
      <c r="BP152" s="429" t="s">
        <v>22</v>
      </c>
    </row>
    <row r="153" spans="1:68" ht="12.75" customHeight="1">
      <c r="A153" s="506"/>
      <c r="B153" s="312">
        <v>46085</v>
      </c>
      <c r="C153" s="315">
        <f t="shared" si="117"/>
        <v>1642</v>
      </c>
      <c r="D153" s="89">
        <f t="shared" si="119"/>
        <v>0.32576126674786843</v>
      </c>
      <c r="E153" s="89">
        <f t="shared" si="119"/>
        <v>0.53152253349573686</v>
      </c>
      <c r="F153" s="89">
        <f t="shared" si="119"/>
        <v>0.72376370280146163</v>
      </c>
      <c r="G153" s="89">
        <f t="shared" si="119"/>
        <v>0.9440316686967114</v>
      </c>
      <c r="H153" s="89">
        <f t="shared" si="119"/>
        <v>1.1072594397076736</v>
      </c>
      <c r="I153" s="89">
        <f t="shared" si="119"/>
        <v>1.116272838002436</v>
      </c>
      <c r="J153" s="89">
        <f t="shared" si="119"/>
        <v>1.1352862362971985</v>
      </c>
      <c r="K153" s="90" t="s">
        <v>22</v>
      </c>
      <c r="L153" s="90" t="s">
        <v>22</v>
      </c>
      <c r="M153" s="90" t="s">
        <v>22</v>
      </c>
      <c r="N153" s="90" t="s">
        <v>22</v>
      </c>
      <c r="O153" s="90" t="s">
        <v>22</v>
      </c>
      <c r="P153" s="83">
        <f t="shared" si="120"/>
        <v>2.2217610768367919</v>
      </c>
      <c r="Q153" s="83">
        <f t="shared" si="97"/>
        <v>3.485025238362311</v>
      </c>
      <c r="R153" s="119" t="s">
        <v>22</v>
      </c>
      <c r="S153" s="119" t="s">
        <v>22</v>
      </c>
      <c r="T153" s="119" t="s">
        <v>22</v>
      </c>
      <c r="U153" s="119" t="s">
        <v>22</v>
      </c>
      <c r="V153" s="429" t="s">
        <v>22</v>
      </c>
      <c r="W153" s="1"/>
      <c r="X153" s="506"/>
      <c r="Y153" s="312">
        <v>46085</v>
      </c>
      <c r="Z153" s="339">
        <v>902</v>
      </c>
      <c r="AA153" s="90">
        <v>0.15</v>
      </c>
      <c r="AB153" s="90">
        <v>0.18</v>
      </c>
      <c r="AC153" s="90">
        <v>0.21</v>
      </c>
      <c r="AD153" s="90">
        <v>0.25</v>
      </c>
      <c r="AE153" s="90">
        <v>0.26</v>
      </c>
      <c r="AF153" s="90">
        <v>0.26</v>
      </c>
      <c r="AG153" s="90">
        <v>0.27</v>
      </c>
      <c r="AH153" s="90" t="s">
        <v>22</v>
      </c>
      <c r="AI153" s="90" t="s">
        <v>22</v>
      </c>
      <c r="AJ153" s="90" t="s">
        <v>22</v>
      </c>
      <c r="AK153" s="90" t="s">
        <v>22</v>
      </c>
      <c r="AL153" s="90" t="s">
        <v>22</v>
      </c>
      <c r="AM153" s="83">
        <f t="shared" si="121"/>
        <v>1.4</v>
      </c>
      <c r="AN153" s="83">
        <f t="shared" si="101"/>
        <v>1.8000000000000003</v>
      </c>
      <c r="AO153" s="119" t="s">
        <v>22</v>
      </c>
      <c r="AP153" s="119" t="s">
        <v>22</v>
      </c>
      <c r="AQ153" s="119" t="s">
        <v>22</v>
      </c>
      <c r="AR153" s="119" t="s">
        <v>22</v>
      </c>
      <c r="AS153" s="429" t="s">
        <v>22</v>
      </c>
      <c r="AT153" s="1"/>
      <c r="AU153" s="506"/>
      <c r="AV153" s="312">
        <v>46085</v>
      </c>
      <c r="AW153" s="223">
        <v>740</v>
      </c>
      <c r="AX153" s="90">
        <v>0.54</v>
      </c>
      <c r="AY153" s="90">
        <v>0.96</v>
      </c>
      <c r="AZ153" s="90">
        <v>1.35</v>
      </c>
      <c r="BA153" s="90">
        <v>1.79</v>
      </c>
      <c r="BB153" s="90">
        <v>2.14</v>
      </c>
      <c r="BC153" s="90">
        <v>2.16</v>
      </c>
      <c r="BD153" s="90">
        <v>2.19</v>
      </c>
      <c r="BE153" s="90" t="s">
        <v>22</v>
      </c>
      <c r="BF153" s="90" t="s">
        <v>22</v>
      </c>
      <c r="BG153" s="90" t="s">
        <v>22</v>
      </c>
      <c r="BH153" s="90" t="s">
        <v>22</v>
      </c>
      <c r="BI153" s="90" t="s">
        <v>22</v>
      </c>
      <c r="BJ153" s="83">
        <f t="shared" si="122"/>
        <v>2.5</v>
      </c>
      <c r="BK153" s="83">
        <f t="shared" si="105"/>
        <v>4.0555555555555554</v>
      </c>
      <c r="BL153" s="119" t="s">
        <v>22</v>
      </c>
      <c r="BM153" s="119" t="s">
        <v>22</v>
      </c>
      <c r="BN153" s="119" t="s">
        <v>22</v>
      </c>
      <c r="BO153" s="119" t="s">
        <v>22</v>
      </c>
      <c r="BP153" s="429" t="s">
        <v>22</v>
      </c>
    </row>
    <row r="154" spans="1:68" ht="12.75" customHeight="1">
      <c r="A154" s="506"/>
      <c r="B154" s="312">
        <v>46086</v>
      </c>
      <c r="C154" s="315">
        <f t="shared" si="117"/>
        <v>1481</v>
      </c>
      <c r="D154" s="89">
        <f t="shared" si="119"/>
        <v>0.42444294395678595</v>
      </c>
      <c r="E154" s="89">
        <f t="shared" si="119"/>
        <v>0.82850776502363266</v>
      </c>
      <c r="F154" s="89">
        <f t="shared" si="119"/>
        <v>0.9781093855503038</v>
      </c>
      <c r="G154" s="89">
        <f t="shared" si="119"/>
        <v>2.107035786630655</v>
      </c>
      <c r="H154" s="89">
        <f t="shared" si="119"/>
        <v>2.2434503713706957</v>
      </c>
      <c r="I154" s="89">
        <f t="shared" si="119"/>
        <v>2.4570762997974342</v>
      </c>
      <c r="J154" s="89">
        <f t="shared" si="119"/>
        <v>2.8398649561107363</v>
      </c>
      <c r="K154" s="90" t="s">
        <v>22</v>
      </c>
      <c r="L154" s="90" t="s">
        <v>22</v>
      </c>
      <c r="M154" s="90" t="s">
        <v>22</v>
      </c>
      <c r="N154" s="90" t="s">
        <v>22</v>
      </c>
      <c r="O154" s="90" t="s">
        <v>22</v>
      </c>
      <c r="P154" s="83">
        <f t="shared" si="120"/>
        <v>2.3044543429844095</v>
      </c>
      <c r="Q154" s="83">
        <f t="shared" si="97"/>
        <v>6.6908049634107547</v>
      </c>
      <c r="R154" s="119" t="s">
        <v>22</v>
      </c>
      <c r="S154" s="119" t="s">
        <v>22</v>
      </c>
      <c r="T154" s="119" t="s">
        <v>22</v>
      </c>
      <c r="U154" s="119" t="s">
        <v>22</v>
      </c>
      <c r="V154" s="429" t="s">
        <v>22</v>
      </c>
      <c r="W154" s="1"/>
      <c r="X154" s="506"/>
      <c r="Y154" s="312">
        <v>46086</v>
      </c>
      <c r="Z154" s="339">
        <v>770</v>
      </c>
      <c r="AA154" s="90">
        <v>0.17</v>
      </c>
      <c r="AB154" s="90">
        <v>0.19</v>
      </c>
      <c r="AC154" s="90">
        <v>0.33</v>
      </c>
      <c r="AD154" s="90">
        <v>0.71</v>
      </c>
      <c r="AE154" s="90">
        <v>0.76</v>
      </c>
      <c r="AF154" s="90">
        <v>0.82</v>
      </c>
      <c r="AG154" s="90">
        <v>1.27</v>
      </c>
      <c r="AH154" s="90" t="s">
        <v>22</v>
      </c>
      <c r="AI154" s="90" t="s">
        <v>22</v>
      </c>
      <c r="AJ154" s="90" t="s">
        <v>22</v>
      </c>
      <c r="AK154" s="90" t="s">
        <v>22</v>
      </c>
      <c r="AL154" s="90" t="s">
        <v>22</v>
      </c>
      <c r="AM154" s="83">
        <f t="shared" si="121"/>
        <v>1.9411764705882353</v>
      </c>
      <c r="AN154" s="83">
        <f t="shared" si="101"/>
        <v>7.4705882352941169</v>
      </c>
      <c r="AO154" s="119" t="s">
        <v>22</v>
      </c>
      <c r="AP154" s="119" t="s">
        <v>22</v>
      </c>
      <c r="AQ154" s="119" t="s">
        <v>22</v>
      </c>
      <c r="AR154" s="119" t="s">
        <v>22</v>
      </c>
      <c r="AS154" s="429" t="s">
        <v>22</v>
      </c>
      <c r="AT154" s="1"/>
      <c r="AU154" s="506"/>
      <c r="AV154" s="312">
        <v>46086</v>
      </c>
      <c r="AW154" s="223">
        <v>711</v>
      </c>
      <c r="AX154" s="90">
        <v>0.7</v>
      </c>
      <c r="AY154" s="90">
        <v>1.52</v>
      </c>
      <c r="AZ154" s="90">
        <v>1.68</v>
      </c>
      <c r="BA154" s="90">
        <v>3.62</v>
      </c>
      <c r="BB154" s="90">
        <v>3.85</v>
      </c>
      <c r="BC154" s="90">
        <v>4.2300000000000004</v>
      </c>
      <c r="BD154" s="90">
        <v>4.54</v>
      </c>
      <c r="BE154" s="90" t="s">
        <v>22</v>
      </c>
      <c r="BF154" s="90" t="s">
        <v>22</v>
      </c>
      <c r="BG154" s="90" t="s">
        <v>22</v>
      </c>
      <c r="BH154" s="90" t="s">
        <v>22</v>
      </c>
      <c r="BI154" s="90" t="s">
        <v>22</v>
      </c>
      <c r="BJ154" s="83">
        <f t="shared" si="122"/>
        <v>2.4</v>
      </c>
      <c r="BK154" s="83">
        <f t="shared" si="105"/>
        <v>6.4857142857142858</v>
      </c>
      <c r="BL154" s="119" t="s">
        <v>22</v>
      </c>
      <c r="BM154" s="119" t="s">
        <v>22</v>
      </c>
      <c r="BN154" s="119" t="s">
        <v>22</v>
      </c>
      <c r="BO154" s="119" t="s">
        <v>22</v>
      </c>
      <c r="BP154" s="429" t="s">
        <v>22</v>
      </c>
    </row>
    <row r="155" spans="1:68" ht="12.75" customHeight="1">
      <c r="A155" s="582" t="s">
        <v>34</v>
      </c>
      <c r="B155" s="271">
        <v>46087</v>
      </c>
      <c r="C155" s="315">
        <f t="shared" si="117"/>
        <v>1321</v>
      </c>
      <c r="D155" s="89">
        <f t="shared" ref="D155:I155" si="123">($Z155*AA155+$AW155*AX155)/$C155</f>
        <v>1.2124753974261924</v>
      </c>
      <c r="E155" s="89">
        <f t="shared" si="123"/>
        <v>1.7597350492051473</v>
      </c>
      <c r="F155" s="89">
        <f t="shared" si="123"/>
        <v>2.7583421650264945</v>
      </c>
      <c r="G155" s="89">
        <f t="shared" si="123"/>
        <v>3.557388342165027</v>
      </c>
      <c r="H155" s="89">
        <f t="shared" si="123"/>
        <v>3.8546858440575322</v>
      </c>
      <c r="I155" s="89">
        <f t="shared" si="123"/>
        <v>3.9893565480696438</v>
      </c>
      <c r="J155" s="90" t="s">
        <v>22</v>
      </c>
      <c r="K155" s="90" t="s">
        <v>22</v>
      </c>
      <c r="L155" s="90" t="s">
        <v>22</v>
      </c>
      <c r="M155" s="90" t="s">
        <v>22</v>
      </c>
      <c r="N155" s="90" t="s">
        <v>22</v>
      </c>
      <c r="O155" s="90" t="s">
        <v>22</v>
      </c>
      <c r="P155" s="83">
        <f t="shared" si="120"/>
        <v>2.2749675340892059</v>
      </c>
      <c r="Q155" s="119" t="s">
        <v>22</v>
      </c>
      <c r="R155" s="119" t="s">
        <v>22</v>
      </c>
      <c r="S155" s="119" t="s">
        <v>22</v>
      </c>
      <c r="T155" s="119" t="s">
        <v>22</v>
      </c>
      <c r="U155" s="119" t="s">
        <v>22</v>
      </c>
      <c r="V155" s="429" t="s">
        <v>22</v>
      </c>
      <c r="W155" s="1"/>
      <c r="X155" s="562" t="s">
        <v>34</v>
      </c>
      <c r="Y155" s="271">
        <v>46087</v>
      </c>
      <c r="Z155" s="198">
        <v>728</v>
      </c>
      <c r="AA155" s="90">
        <v>0.18</v>
      </c>
      <c r="AB155" s="90">
        <v>0.22</v>
      </c>
      <c r="AC155" s="90">
        <v>0.24</v>
      </c>
      <c r="AD155" s="90">
        <v>0.24</v>
      </c>
      <c r="AE155" s="90">
        <v>0.25</v>
      </c>
      <c r="AF155" s="90">
        <v>0.25</v>
      </c>
      <c r="AG155" s="90" t="s">
        <v>22</v>
      </c>
      <c r="AH155" s="90" t="s">
        <v>22</v>
      </c>
      <c r="AI155" s="90" t="s">
        <v>22</v>
      </c>
      <c r="AJ155" s="90" t="s">
        <v>22</v>
      </c>
      <c r="AK155" s="90" t="s">
        <v>22</v>
      </c>
      <c r="AL155" s="90" t="s">
        <v>22</v>
      </c>
      <c r="AM155" s="83">
        <f t="shared" si="121"/>
        <v>1.3333333333333333</v>
      </c>
      <c r="AN155" s="83" t="s">
        <v>22</v>
      </c>
      <c r="AO155" s="119" t="s">
        <v>22</v>
      </c>
      <c r="AP155" s="119" t="s">
        <v>22</v>
      </c>
      <c r="AQ155" s="119" t="s">
        <v>22</v>
      </c>
      <c r="AR155" s="119" t="s">
        <v>22</v>
      </c>
      <c r="AS155" s="429" t="s">
        <v>22</v>
      </c>
      <c r="AT155" s="1"/>
      <c r="AU155" s="534" t="s">
        <v>34</v>
      </c>
      <c r="AV155" s="271">
        <v>46087</v>
      </c>
      <c r="AW155" s="211">
        <v>593</v>
      </c>
      <c r="AX155" s="90">
        <v>2.48</v>
      </c>
      <c r="AY155" s="90">
        <v>3.65</v>
      </c>
      <c r="AZ155" s="90">
        <v>5.85</v>
      </c>
      <c r="BA155" s="90">
        <v>7.63</v>
      </c>
      <c r="BB155" s="90">
        <v>8.2799999999999994</v>
      </c>
      <c r="BC155" s="90">
        <v>8.58</v>
      </c>
      <c r="BD155" s="90" t="s">
        <v>22</v>
      </c>
      <c r="BE155" s="90" t="s">
        <v>22</v>
      </c>
      <c r="BF155" s="90" t="s">
        <v>22</v>
      </c>
      <c r="BG155" s="90" t="s">
        <v>22</v>
      </c>
      <c r="BH155" s="90" t="s">
        <v>22</v>
      </c>
      <c r="BI155" s="90" t="s">
        <v>22</v>
      </c>
      <c r="BJ155" s="83">
        <f t="shared" si="122"/>
        <v>2.3588709677419355</v>
      </c>
      <c r="BK155" s="83" t="s">
        <v>22</v>
      </c>
      <c r="BL155" s="119" t="s">
        <v>22</v>
      </c>
      <c r="BM155" s="119" t="s">
        <v>22</v>
      </c>
      <c r="BN155" s="119" t="s">
        <v>22</v>
      </c>
      <c r="BO155" s="119" t="s">
        <v>22</v>
      </c>
      <c r="BP155" s="429" t="s">
        <v>22</v>
      </c>
    </row>
    <row r="156" spans="1:68" ht="12.75" customHeight="1">
      <c r="A156" s="509"/>
      <c r="B156" s="271">
        <v>46088</v>
      </c>
      <c r="C156" s="315">
        <f t="shared" si="117"/>
        <v>2023</v>
      </c>
      <c r="D156" s="89">
        <f>($Z156*AA156+$AW156*AX156)/$C156</f>
        <v>0.2778546712802768</v>
      </c>
      <c r="E156" s="89">
        <f>($Z156*AB156+$AW156*AY156)/$C156</f>
        <v>0.60764705882352943</v>
      </c>
      <c r="F156" s="89">
        <f>($Z156*AC156+$AW156*AZ156)/$C156</f>
        <v>0.75640138408304503</v>
      </c>
      <c r="G156" s="89">
        <f>($Z156*AD156+$AW156*BA156)/$C156</f>
        <v>0.93176470588235294</v>
      </c>
      <c r="H156" s="89">
        <f>($Z156*AE156+$AW156*BB156)/$C156</f>
        <v>0.95854671280276815</v>
      </c>
      <c r="I156" s="90" t="s">
        <v>22</v>
      </c>
      <c r="J156" s="90" t="s">
        <v>22</v>
      </c>
      <c r="K156" s="90" t="s">
        <v>22</v>
      </c>
      <c r="L156" s="90" t="s">
        <v>22</v>
      </c>
      <c r="M156" s="90" t="s">
        <v>22</v>
      </c>
      <c r="N156" s="90" t="s">
        <v>22</v>
      </c>
      <c r="O156" s="90" t="s">
        <v>22</v>
      </c>
      <c r="P156" s="83">
        <f t="shared" si="120"/>
        <v>2.7222914072229143</v>
      </c>
      <c r="Q156" s="119" t="s">
        <v>22</v>
      </c>
      <c r="R156" s="119" t="s">
        <v>22</v>
      </c>
      <c r="S156" s="119" t="s">
        <v>22</v>
      </c>
      <c r="T156" s="119" t="s">
        <v>22</v>
      </c>
      <c r="U156" s="119" t="s">
        <v>22</v>
      </c>
      <c r="V156" s="429" t="s">
        <v>22</v>
      </c>
      <c r="W156" s="1"/>
      <c r="X156" s="509"/>
      <c r="Y156" s="271">
        <v>46088</v>
      </c>
      <c r="Z156" s="198">
        <v>1120</v>
      </c>
      <c r="AA156" s="90">
        <v>0.26</v>
      </c>
      <c r="AB156" s="90">
        <v>0.38</v>
      </c>
      <c r="AC156" s="90">
        <v>0.56000000000000005</v>
      </c>
      <c r="AD156" s="90">
        <v>0.78</v>
      </c>
      <c r="AE156" s="90">
        <v>0.78</v>
      </c>
      <c r="AF156" s="90" t="s">
        <v>22</v>
      </c>
      <c r="AG156" s="90" t="s">
        <v>22</v>
      </c>
      <c r="AH156" s="90" t="s">
        <v>22</v>
      </c>
      <c r="AI156" s="90" t="s">
        <v>22</v>
      </c>
      <c r="AJ156" s="90" t="s">
        <v>22</v>
      </c>
      <c r="AK156" s="90" t="s">
        <v>22</v>
      </c>
      <c r="AL156" s="90" t="s">
        <v>22</v>
      </c>
      <c r="AM156" s="83">
        <f t="shared" si="121"/>
        <v>2.1538461538461542</v>
      </c>
      <c r="AN156" s="311" t="s">
        <v>22</v>
      </c>
      <c r="AO156" s="119" t="s">
        <v>22</v>
      </c>
      <c r="AP156" s="119" t="s">
        <v>22</v>
      </c>
      <c r="AQ156" s="119" t="s">
        <v>22</v>
      </c>
      <c r="AR156" s="119" t="s">
        <v>22</v>
      </c>
      <c r="AS156" s="429" t="s">
        <v>22</v>
      </c>
      <c r="AT156" s="1"/>
      <c r="AU156" s="509"/>
      <c r="AV156" s="271">
        <v>46088</v>
      </c>
      <c r="AW156" s="211">
        <v>903</v>
      </c>
      <c r="AX156" s="90">
        <v>0.3</v>
      </c>
      <c r="AY156" s="90">
        <v>0.89</v>
      </c>
      <c r="AZ156" s="90">
        <v>1</v>
      </c>
      <c r="BA156" s="90">
        <v>1.1200000000000001</v>
      </c>
      <c r="BB156" s="90">
        <v>1.18</v>
      </c>
      <c r="BC156" s="90" t="s">
        <v>22</v>
      </c>
      <c r="BD156" s="90" t="s">
        <v>22</v>
      </c>
      <c r="BE156" s="90" t="s">
        <v>22</v>
      </c>
      <c r="BF156" s="90" t="s">
        <v>22</v>
      </c>
      <c r="BG156" s="90" t="s">
        <v>22</v>
      </c>
      <c r="BH156" s="90" t="s">
        <v>22</v>
      </c>
      <c r="BI156" s="90" t="s">
        <v>22</v>
      </c>
      <c r="BJ156" s="83">
        <f t="shared" si="122"/>
        <v>3.3333333333333335</v>
      </c>
      <c r="BK156" s="311" t="s">
        <v>22</v>
      </c>
      <c r="BL156" s="119" t="s">
        <v>22</v>
      </c>
      <c r="BM156" s="119" t="s">
        <v>22</v>
      </c>
      <c r="BN156" s="119" t="s">
        <v>22</v>
      </c>
      <c r="BO156" s="119" t="s">
        <v>22</v>
      </c>
      <c r="BP156" s="429" t="s">
        <v>22</v>
      </c>
    </row>
    <row r="157" spans="1:68" ht="12.75" customHeight="1">
      <c r="A157" s="90"/>
      <c r="B157" s="254">
        <v>46089</v>
      </c>
      <c r="C157" s="169">
        <f t="shared" si="117"/>
        <v>1721</v>
      </c>
      <c r="D157" s="425">
        <f t="shared" ref="D157:G158" si="124">($Z157*AA157+$AW157*AX157)/$C157</f>
        <v>0.42891923300406737</v>
      </c>
      <c r="E157" s="425">
        <f t="shared" si="124"/>
        <v>0.77476467170249863</v>
      </c>
      <c r="F157" s="425">
        <f t="shared" si="124"/>
        <v>1.1526321905868682</v>
      </c>
      <c r="G157" s="425">
        <f t="shared" si="124"/>
        <v>1.3864555490993609</v>
      </c>
      <c r="H157" s="426" t="s">
        <v>22</v>
      </c>
      <c r="I157" s="426" t="s">
        <v>22</v>
      </c>
      <c r="J157" s="426" t="s">
        <v>22</v>
      </c>
      <c r="K157" s="426" t="s">
        <v>22</v>
      </c>
      <c r="L157" s="426" t="s">
        <v>22</v>
      </c>
      <c r="M157" s="426" t="s">
        <v>22</v>
      </c>
      <c r="N157" s="426" t="s">
        <v>22</v>
      </c>
      <c r="O157" s="426" t="s">
        <v>22</v>
      </c>
      <c r="P157" s="83">
        <f t="shared" si="120"/>
        <v>2.6872942547109746</v>
      </c>
      <c r="Q157" s="427" t="s">
        <v>22</v>
      </c>
      <c r="R157" s="427" t="s">
        <v>22</v>
      </c>
      <c r="S157" s="427" t="s">
        <v>22</v>
      </c>
      <c r="T157" s="427" t="s">
        <v>22</v>
      </c>
      <c r="U157" s="427" t="s">
        <v>22</v>
      </c>
      <c r="V157" s="430" t="s">
        <v>22</v>
      </c>
      <c r="W157" s="1"/>
      <c r="X157" s="90"/>
      <c r="Y157" s="254">
        <v>46089</v>
      </c>
      <c r="Z157" s="200">
        <v>963</v>
      </c>
      <c r="AA157" s="90">
        <v>0.31</v>
      </c>
      <c r="AB157" s="90">
        <v>0.81</v>
      </c>
      <c r="AC157" s="90">
        <v>1.32</v>
      </c>
      <c r="AD157" s="90">
        <v>1.73</v>
      </c>
      <c r="AE157" s="90" t="s">
        <v>22</v>
      </c>
      <c r="AF157" s="90" t="s">
        <v>22</v>
      </c>
      <c r="AG157" s="90" t="s">
        <v>22</v>
      </c>
      <c r="AH157" s="90" t="s">
        <v>22</v>
      </c>
      <c r="AI157" s="90" t="s">
        <v>22</v>
      </c>
      <c r="AJ157" s="90" t="s">
        <v>22</v>
      </c>
      <c r="AK157" s="90" t="s">
        <v>22</v>
      </c>
      <c r="AL157" s="90" t="s">
        <v>22</v>
      </c>
      <c r="AM157" s="83">
        <f t="shared" si="121"/>
        <v>4.2580645161290329</v>
      </c>
      <c r="AN157" s="119" t="s">
        <v>22</v>
      </c>
      <c r="AO157" s="119" t="s">
        <v>22</v>
      </c>
      <c r="AP157" s="119" t="s">
        <v>22</v>
      </c>
      <c r="AQ157" s="119" t="s">
        <v>22</v>
      </c>
      <c r="AR157" s="119" t="s">
        <v>22</v>
      </c>
      <c r="AS157" s="429" t="s">
        <v>22</v>
      </c>
      <c r="AT157" s="1"/>
      <c r="AU157" s="90"/>
      <c r="AV157" s="319">
        <v>46089</v>
      </c>
      <c r="AW157" s="146">
        <v>758</v>
      </c>
      <c r="AX157" s="426">
        <v>0.57999999999999996</v>
      </c>
      <c r="AY157" s="426">
        <v>0.73</v>
      </c>
      <c r="AZ157" s="426">
        <v>0.94</v>
      </c>
      <c r="BA157" s="426">
        <v>0.95</v>
      </c>
      <c r="BB157" s="426" t="s">
        <v>22</v>
      </c>
      <c r="BC157" s="426" t="s">
        <v>22</v>
      </c>
      <c r="BD157" s="426" t="s">
        <v>22</v>
      </c>
      <c r="BE157" s="426" t="s">
        <v>22</v>
      </c>
      <c r="BF157" s="426" t="s">
        <v>22</v>
      </c>
      <c r="BG157" s="426" t="s">
        <v>22</v>
      </c>
      <c r="BH157" s="426" t="s">
        <v>22</v>
      </c>
      <c r="BI157" s="426" t="s">
        <v>22</v>
      </c>
      <c r="BJ157" s="120">
        <f t="shared" si="122"/>
        <v>1.6206896551724139</v>
      </c>
      <c r="BK157" s="427" t="s">
        <v>22</v>
      </c>
      <c r="BL157" s="427" t="s">
        <v>22</v>
      </c>
      <c r="BM157" s="427" t="s">
        <v>22</v>
      </c>
      <c r="BN157" s="427" t="s">
        <v>22</v>
      </c>
      <c r="BO157" s="427" t="s">
        <v>22</v>
      </c>
      <c r="BP157" s="430" t="s">
        <v>22</v>
      </c>
    </row>
    <row r="158" spans="1:68" s="188" customFormat="1" ht="27.75" customHeight="1">
      <c r="A158" s="326"/>
      <c r="B158" s="250" t="s">
        <v>35</v>
      </c>
      <c r="C158" s="445">
        <f>SUM(C104:C157)</f>
        <v>110798</v>
      </c>
      <c r="D158" s="418">
        <f t="shared" si="124"/>
        <v>0.41024765789996209</v>
      </c>
      <c r="E158" s="418">
        <f t="shared" si="124"/>
        <v>0.80735608946009862</v>
      </c>
      <c r="F158" s="418">
        <f t="shared" si="124"/>
        <v>1.0609103052401669</v>
      </c>
      <c r="G158" s="418">
        <f t="shared" si="124"/>
        <v>1.2906626473402047</v>
      </c>
      <c r="H158" s="418">
        <f t="shared" ref="H158:M158" si="125">($Z158*AE158+$AW158*BB158)/$C158</f>
        <v>1.4823159262802579</v>
      </c>
      <c r="I158" s="418">
        <f t="shared" si="125"/>
        <v>1.6013252946804095</v>
      </c>
      <c r="J158" s="418">
        <f t="shared" si="125"/>
        <v>1.710829978880485</v>
      </c>
      <c r="K158" s="418">
        <f t="shared" si="125"/>
        <v>2.6947188577411145</v>
      </c>
      <c r="L158" s="418">
        <f t="shared" si="125"/>
        <v>3.2156291629812817</v>
      </c>
      <c r="M158" s="418">
        <f t="shared" si="125"/>
        <v>4.2278647629018575</v>
      </c>
      <c r="N158" s="419" t="s">
        <v>22</v>
      </c>
      <c r="O158" s="419" t="s">
        <v>22</v>
      </c>
      <c r="P158" s="297">
        <f t="shared" si="120"/>
        <v>2.5860240389205766</v>
      </c>
      <c r="Q158" s="297">
        <f>J158/D158</f>
        <v>4.1702370408112523</v>
      </c>
      <c r="R158" s="297">
        <f>K158/D158</f>
        <v>6.5685173476315502</v>
      </c>
      <c r="S158" s="297">
        <f>L158/D158</f>
        <v>7.83826330524818</v>
      </c>
      <c r="T158" s="297">
        <f>M158/D158</f>
        <v>10.305640218750041</v>
      </c>
      <c r="U158" s="420" t="s">
        <v>22</v>
      </c>
      <c r="V158" s="421" t="s">
        <v>22</v>
      </c>
      <c r="W158" s="1"/>
      <c r="X158" s="326"/>
      <c r="Y158" s="253" t="s">
        <v>35</v>
      </c>
      <c r="Z158" s="300">
        <f>SUM(Z104:Z157)</f>
        <v>65930</v>
      </c>
      <c r="AA158" s="244">
        <v>0.39</v>
      </c>
      <c r="AB158" s="244">
        <v>0.86</v>
      </c>
      <c r="AC158" s="244">
        <v>1.1499999999999999</v>
      </c>
      <c r="AD158" s="244">
        <v>1.4</v>
      </c>
      <c r="AE158" s="244">
        <v>1.62</v>
      </c>
      <c r="AF158" s="244">
        <v>1.82</v>
      </c>
      <c r="AG158" s="244">
        <v>1.97</v>
      </c>
      <c r="AH158" s="244">
        <v>3.29</v>
      </c>
      <c r="AI158" s="257">
        <v>3.9</v>
      </c>
      <c r="AJ158" s="333">
        <v>5.22</v>
      </c>
      <c r="AK158" s="257" t="s">
        <v>22</v>
      </c>
      <c r="AL158" s="260" t="s">
        <v>22</v>
      </c>
      <c r="AM158" s="297">
        <f t="shared" si="121"/>
        <v>2.9487179487179485</v>
      </c>
      <c r="AN158" s="297">
        <f>AG158/AA158</f>
        <v>5.0512820512820511</v>
      </c>
      <c r="AO158" s="297">
        <f>AH158/AA158</f>
        <v>8.4358974358974361</v>
      </c>
      <c r="AP158" s="297">
        <f>AI158/AA158</f>
        <v>10</v>
      </c>
      <c r="AQ158" s="297">
        <f>AJ158/AA158</f>
        <v>13.384615384615383</v>
      </c>
      <c r="AR158" s="297" t="s">
        <v>22</v>
      </c>
      <c r="AS158" s="265" t="s">
        <v>22</v>
      </c>
      <c r="AT158" s="1"/>
      <c r="AV158" s="413" t="s">
        <v>35</v>
      </c>
      <c r="AW158" s="417">
        <f>SUM(AW104:AW157)</f>
        <v>44868</v>
      </c>
      <c r="AX158" s="431">
        <v>0.44</v>
      </c>
      <c r="AY158" s="431">
        <v>0.73</v>
      </c>
      <c r="AZ158" s="431">
        <v>0.93</v>
      </c>
      <c r="BA158" s="431">
        <v>1.1299999999999999</v>
      </c>
      <c r="BB158" s="431">
        <v>1.28</v>
      </c>
      <c r="BC158" s="431">
        <v>1.28</v>
      </c>
      <c r="BD158" s="431">
        <v>1.33</v>
      </c>
      <c r="BE158" s="431">
        <v>1.82</v>
      </c>
      <c r="BF158" s="432">
        <v>2.21</v>
      </c>
      <c r="BG158" s="419">
        <v>2.77</v>
      </c>
      <c r="BH158" s="432" t="s">
        <v>22</v>
      </c>
      <c r="BI158" s="432" t="s">
        <v>22</v>
      </c>
      <c r="BJ158" s="420">
        <f t="shared" si="122"/>
        <v>2.1136363636363638</v>
      </c>
      <c r="BK158" s="420">
        <f>BD158/AX158</f>
        <v>3.0227272727272729</v>
      </c>
      <c r="BL158" s="420">
        <f>BE158/AX158</f>
        <v>4.1363636363636367</v>
      </c>
      <c r="BM158" s="420">
        <f>BF158/AX158</f>
        <v>5.0227272727272725</v>
      </c>
      <c r="BN158" s="420">
        <f>BG158/AX158</f>
        <v>6.2954545454545459</v>
      </c>
      <c r="BO158" s="420" t="s">
        <v>22</v>
      </c>
      <c r="BP158" s="318" t="s">
        <v>22</v>
      </c>
    </row>
    <row r="159" spans="1:68" ht="13.5" customHeight="1">
      <c r="B159" s="405"/>
      <c r="C159" s="386"/>
      <c r="D159" s="264"/>
      <c r="E159" s="264"/>
      <c r="F159" s="264"/>
      <c r="G159" s="264"/>
      <c r="H159" s="264"/>
      <c r="I159" s="264"/>
      <c r="J159" s="264"/>
      <c r="K159" s="264"/>
      <c r="L159" s="264"/>
      <c r="M159" s="264"/>
      <c r="N159" s="264"/>
      <c r="O159" s="1"/>
      <c r="P159" s="392"/>
      <c r="Q159" s="392"/>
      <c r="R159" s="392"/>
      <c r="S159" s="392"/>
      <c r="T159" s="392"/>
      <c r="U159" s="392"/>
      <c r="V159" s="1"/>
      <c r="W159" s="1"/>
      <c r="Y159" s="405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"/>
      <c r="AM159" s="392"/>
      <c r="AN159" s="392"/>
      <c r="AO159" s="392"/>
      <c r="AP159" s="392"/>
      <c r="AQ159" s="392"/>
      <c r="AR159" s="392"/>
      <c r="AT159" s="1"/>
      <c r="AU159" s="1"/>
      <c r="AV159" s="405"/>
      <c r="AW159" s="386"/>
      <c r="AX159" s="188"/>
      <c r="AY159" s="188"/>
      <c r="AZ159" s="188"/>
      <c r="BA159" s="188"/>
      <c r="BB159" s="188"/>
      <c r="BC159" s="188"/>
      <c r="BD159" s="188"/>
      <c r="BE159" s="188"/>
      <c r="BF159" s="188"/>
      <c r="BG159" s="188"/>
      <c r="BH159" s="188"/>
      <c r="BJ159" s="392"/>
      <c r="BK159" s="392"/>
      <c r="BL159" s="392"/>
      <c r="BM159" s="392"/>
      <c r="BN159" s="392"/>
      <c r="BO159" s="392"/>
    </row>
    <row r="160" spans="1:68" ht="14.25" customHeight="1">
      <c r="B160" s="79" t="s">
        <v>3</v>
      </c>
      <c r="C160" s="80" t="s">
        <v>43</v>
      </c>
      <c r="D160" s="80" t="s">
        <v>44</v>
      </c>
      <c r="E160" s="80" t="s">
        <v>45</v>
      </c>
      <c r="F160" s="80" t="s">
        <v>46</v>
      </c>
      <c r="G160" s="80" t="s">
        <v>47</v>
      </c>
      <c r="H160" s="80" t="s">
        <v>48</v>
      </c>
      <c r="I160" s="80" t="s">
        <v>49</v>
      </c>
      <c r="J160" s="80" t="s">
        <v>50</v>
      </c>
      <c r="K160" s="80" t="s">
        <v>51</v>
      </c>
      <c r="L160" s="80" t="s">
        <v>52</v>
      </c>
      <c r="M160" s="80" t="s">
        <v>53</v>
      </c>
      <c r="N160" s="80" t="s">
        <v>54</v>
      </c>
      <c r="O160" s="80" t="s">
        <v>55</v>
      </c>
      <c r="P160" s="78" t="s">
        <v>56</v>
      </c>
      <c r="Q160" s="78" t="s">
        <v>57</v>
      </c>
      <c r="R160" s="78" t="s">
        <v>58</v>
      </c>
      <c r="S160" s="267" t="s">
        <v>59</v>
      </c>
      <c r="T160" s="78" t="s">
        <v>60</v>
      </c>
      <c r="U160" s="268" t="s">
        <v>61</v>
      </c>
      <c r="V160" s="268" t="s">
        <v>62</v>
      </c>
      <c r="W160" s="1"/>
      <c r="Y160" s="79" t="s">
        <v>3</v>
      </c>
      <c r="Z160" s="80" t="s">
        <v>43</v>
      </c>
      <c r="AA160" s="80" t="s">
        <v>44</v>
      </c>
      <c r="AB160" s="80" t="s">
        <v>45</v>
      </c>
      <c r="AC160" s="80" t="s">
        <v>46</v>
      </c>
      <c r="AD160" s="80" t="s">
        <v>47</v>
      </c>
      <c r="AE160" s="80" t="s">
        <v>48</v>
      </c>
      <c r="AF160" s="80" t="s">
        <v>49</v>
      </c>
      <c r="AG160" s="80" t="s">
        <v>50</v>
      </c>
      <c r="AH160" s="80" t="s">
        <v>51</v>
      </c>
      <c r="AI160" s="80" t="s">
        <v>52</v>
      </c>
      <c r="AJ160" s="80" t="s">
        <v>53</v>
      </c>
      <c r="AK160" s="80" t="s">
        <v>54</v>
      </c>
      <c r="AL160" s="80" t="s">
        <v>55</v>
      </c>
      <c r="AM160" s="78" t="s">
        <v>56</v>
      </c>
      <c r="AN160" s="78" t="s">
        <v>57</v>
      </c>
      <c r="AO160" s="78" t="s">
        <v>58</v>
      </c>
      <c r="AP160" s="267" t="s">
        <v>59</v>
      </c>
      <c r="AQ160" s="78" t="s">
        <v>60</v>
      </c>
      <c r="AR160" s="268" t="s">
        <v>61</v>
      </c>
      <c r="AS160" s="268" t="s">
        <v>62</v>
      </c>
      <c r="AT160" s="1"/>
      <c r="AU160" s="1"/>
      <c r="AV160" s="79" t="s">
        <v>3</v>
      </c>
      <c r="AW160" s="80" t="s">
        <v>43</v>
      </c>
      <c r="AX160" s="80" t="s">
        <v>44</v>
      </c>
      <c r="AY160" s="80" t="s">
        <v>45</v>
      </c>
      <c r="AZ160" s="80" t="s">
        <v>46</v>
      </c>
      <c r="BA160" s="80" t="s">
        <v>47</v>
      </c>
      <c r="BB160" s="80" t="s">
        <v>48</v>
      </c>
      <c r="BC160" s="80" t="s">
        <v>49</v>
      </c>
      <c r="BD160" s="80" t="s">
        <v>50</v>
      </c>
      <c r="BE160" s="80" t="s">
        <v>51</v>
      </c>
      <c r="BF160" s="80" t="s">
        <v>52</v>
      </c>
      <c r="BG160" s="80" t="s">
        <v>53</v>
      </c>
      <c r="BH160" s="80" t="s">
        <v>54</v>
      </c>
      <c r="BI160" s="80" t="s">
        <v>55</v>
      </c>
      <c r="BJ160" s="78" t="s">
        <v>56</v>
      </c>
      <c r="BK160" s="78" t="s">
        <v>57</v>
      </c>
      <c r="BL160" s="78" t="s">
        <v>58</v>
      </c>
      <c r="BM160" s="267" t="s">
        <v>59</v>
      </c>
      <c r="BN160" s="78" t="s">
        <v>60</v>
      </c>
      <c r="BO160" s="268" t="s">
        <v>61</v>
      </c>
      <c r="BP160" s="268" t="s">
        <v>62</v>
      </c>
    </row>
    <row r="161" spans="1:92" ht="14.25" customHeight="1">
      <c r="B161" s="405" t="s">
        <v>36</v>
      </c>
      <c r="C161" s="386">
        <f>SUM(C87:C88)</f>
        <v>4043</v>
      </c>
      <c r="D161" s="264">
        <f t="shared" ref="D161:O162" si="126">($Z161*AA161+$AW161*AX161)/$C161</f>
        <v>0.11786297303982191</v>
      </c>
      <c r="E161" s="264">
        <f t="shared" si="126"/>
        <v>0.23417511748701458</v>
      </c>
      <c r="F161" s="264">
        <f t="shared" si="126"/>
        <v>0.34428394756369035</v>
      </c>
      <c r="G161" s="264">
        <f t="shared" si="126"/>
        <v>0.43733366312144445</v>
      </c>
      <c r="H161" s="264">
        <f t="shared" si="126"/>
        <v>0.54279000742023253</v>
      </c>
      <c r="I161" s="264">
        <f t="shared" si="126"/>
        <v>0.57845906505070488</v>
      </c>
      <c r="J161" s="264">
        <f t="shared" si="126"/>
        <v>0.58776403660648036</v>
      </c>
      <c r="K161" s="264">
        <f t="shared" si="126"/>
        <v>0.70252535246104375</v>
      </c>
      <c r="L161" s="264">
        <f t="shared" si="126"/>
        <v>0.80643086816720244</v>
      </c>
      <c r="M161" s="264">
        <f t="shared" si="126"/>
        <v>0.87621815483551824</v>
      </c>
      <c r="N161" s="264">
        <f t="shared" si="126"/>
        <v>1.0514617858026216</v>
      </c>
      <c r="O161" s="264">
        <f t="shared" si="126"/>
        <v>1.1987905021023992</v>
      </c>
      <c r="P161" s="392">
        <f>F161/D161</f>
        <v>2.9210526315789478</v>
      </c>
      <c r="Q161" s="392">
        <f>J161/D161</f>
        <v>4.9868421052631584</v>
      </c>
      <c r="R161" s="392">
        <f>K161/D161</f>
        <v>5.9605263157894735</v>
      </c>
      <c r="S161" s="392">
        <f>L161/D161</f>
        <v>6.8421052631578938</v>
      </c>
      <c r="T161" s="392">
        <f>M161/D161</f>
        <v>7.4342105263157903</v>
      </c>
      <c r="U161" s="392">
        <f>N161/D161</f>
        <v>8.9210526315789469</v>
      </c>
      <c r="V161" s="392">
        <f>O161/$D161</f>
        <v>10.171052631578949</v>
      </c>
      <c r="W161" s="1"/>
      <c r="Y161" s="405" t="s">
        <v>36</v>
      </c>
      <c r="Z161" s="386">
        <v>627</v>
      </c>
      <c r="AA161" s="188">
        <v>0.33</v>
      </c>
      <c r="AB161" s="188">
        <v>0.6</v>
      </c>
      <c r="AC161" s="188">
        <v>1.1000000000000001</v>
      </c>
      <c r="AD161" s="188">
        <v>1.56</v>
      </c>
      <c r="AE161" s="188">
        <v>2.17</v>
      </c>
      <c r="AF161" s="188">
        <v>2.23</v>
      </c>
      <c r="AG161" s="188">
        <v>2.27</v>
      </c>
      <c r="AH161" s="188">
        <v>2.62</v>
      </c>
      <c r="AI161" s="188">
        <v>3.27</v>
      </c>
      <c r="AJ161" s="188">
        <v>3.72</v>
      </c>
      <c r="AK161" s="188">
        <v>4.76</v>
      </c>
      <c r="AL161" s="188">
        <v>5.4</v>
      </c>
      <c r="AM161" s="392">
        <f>AC161/AA161</f>
        <v>3.3333333333333335</v>
      </c>
      <c r="AN161" s="392">
        <f>AG161/AA161</f>
        <v>6.8787878787878789</v>
      </c>
      <c r="AO161" s="392">
        <f>AH161/AA161</f>
        <v>7.9393939393939394</v>
      </c>
      <c r="AP161" s="392">
        <f>AI161/AA161</f>
        <v>9.9090909090909083</v>
      </c>
      <c r="AQ161" s="392">
        <f>AJ161/AA161</f>
        <v>11.272727272727273</v>
      </c>
      <c r="AR161" s="392">
        <f>AK161/AA161</f>
        <v>14.424242424242422</v>
      </c>
      <c r="AS161" s="392">
        <f>AL161/$AA161</f>
        <v>16.363636363636363</v>
      </c>
      <c r="AT161" s="1"/>
      <c r="AU161" s="1"/>
      <c r="AV161" s="405" t="s">
        <v>36</v>
      </c>
      <c r="AW161" s="386">
        <f>SUM(AW87:AW88)</f>
        <v>627</v>
      </c>
      <c r="AX161" s="188">
        <v>0.43</v>
      </c>
      <c r="AY161" s="188">
        <v>0.91</v>
      </c>
      <c r="AZ161" s="188">
        <v>1.1200000000000001</v>
      </c>
      <c r="BA161" s="188">
        <v>1.26</v>
      </c>
      <c r="BB161" s="188">
        <v>1.33</v>
      </c>
      <c r="BC161" s="188">
        <v>1.5</v>
      </c>
      <c r="BD161" s="188">
        <v>1.52</v>
      </c>
      <c r="BE161" s="188">
        <v>1.91</v>
      </c>
      <c r="BF161" s="188">
        <v>1.93</v>
      </c>
      <c r="BG161" s="188">
        <v>1.93</v>
      </c>
      <c r="BH161" s="188">
        <v>2.02</v>
      </c>
      <c r="BI161" s="188">
        <v>2.33</v>
      </c>
      <c r="BJ161" s="392">
        <f>AZ161/AX161</f>
        <v>2.6046511627906979</v>
      </c>
      <c r="BK161" s="392">
        <f>BD161/AX161</f>
        <v>3.5348837209302326</v>
      </c>
      <c r="BL161" s="392">
        <f>BE161/AX161</f>
        <v>4.441860465116279</v>
      </c>
      <c r="BM161" s="392">
        <f>BF161/AX161</f>
        <v>4.4883720930232558</v>
      </c>
      <c r="BN161" s="392">
        <f>BG161/AX161</f>
        <v>4.4883720930232558</v>
      </c>
      <c r="BO161" s="392">
        <f>BH161/AX161</f>
        <v>4.6976744186046515</v>
      </c>
      <c r="BP161" s="392">
        <f>BI161/$AX161</f>
        <v>5.4186046511627906</v>
      </c>
    </row>
    <row r="162" spans="1:92" ht="14.25" customHeight="1">
      <c r="B162" s="405" t="s">
        <v>37</v>
      </c>
      <c r="C162" s="386">
        <f>SUM(C90:C102)</f>
        <v>35431</v>
      </c>
      <c r="D162" s="264">
        <f t="shared" si="126"/>
        <v>0.64436453952753248</v>
      </c>
      <c r="E162" s="264">
        <f t="shared" si="126"/>
        <v>1.2092032401004769</v>
      </c>
      <c r="F162" s="264">
        <f t="shared" si="126"/>
        <v>1.5456913437385342</v>
      </c>
      <c r="G162" s="264">
        <f t="shared" si="126"/>
        <v>1.854580169907708</v>
      </c>
      <c r="H162" s="264">
        <f t="shared" si="126"/>
        <v>2.2131359543902231</v>
      </c>
      <c r="I162" s="264">
        <f t="shared" si="126"/>
        <v>2.4812201179757842</v>
      </c>
      <c r="J162" s="264">
        <f t="shared" si="126"/>
        <v>2.7151023115350967</v>
      </c>
      <c r="K162" s="264">
        <f t="shared" si="126"/>
        <v>4.0819926053456017</v>
      </c>
      <c r="L162" s="264">
        <f t="shared" si="126"/>
        <v>5.6220936468064684</v>
      </c>
      <c r="M162" s="264">
        <f t="shared" si="126"/>
        <v>7.3045341649967543</v>
      </c>
      <c r="N162" s="264">
        <f t="shared" si="126"/>
        <v>8.9479599785498589</v>
      </c>
      <c r="O162" s="264">
        <f t="shared" si="126"/>
        <v>8.8209680788010498</v>
      </c>
      <c r="P162" s="392">
        <f>F162/D162</f>
        <v>2.398783994029035</v>
      </c>
      <c r="Q162" s="392">
        <f>J162/D162</f>
        <v>4.2136122411793355</v>
      </c>
      <c r="R162" s="392">
        <f>K162/D162</f>
        <v>6.3349119247602328</v>
      </c>
      <c r="S162" s="392">
        <f>L162/D162</f>
        <v>8.725020236105415</v>
      </c>
      <c r="T162" s="392">
        <f>M162/D162</f>
        <v>11.336027538623803</v>
      </c>
      <c r="U162" s="392">
        <f>N162/D162</f>
        <v>13.886487274906179</v>
      </c>
      <c r="V162" s="392">
        <f>O162/$D162</f>
        <v>13.689406442615308</v>
      </c>
      <c r="W162" s="1"/>
      <c r="Y162" s="405" t="s">
        <v>37</v>
      </c>
      <c r="Z162" s="386">
        <f>SUM(Z90:Z102,Z104:Z121)</f>
        <v>42993</v>
      </c>
      <c r="AA162" s="188">
        <v>0.31</v>
      </c>
      <c r="AB162" s="188">
        <v>0.71</v>
      </c>
      <c r="AC162" s="188">
        <v>0.93</v>
      </c>
      <c r="AD162" s="188">
        <v>1.1599999999999999</v>
      </c>
      <c r="AE162" s="188">
        <v>1.39</v>
      </c>
      <c r="AF162" s="188">
        <v>1.57</v>
      </c>
      <c r="AG162" s="188">
        <v>1.73</v>
      </c>
      <c r="AH162" s="188">
        <v>2.66</v>
      </c>
      <c r="AI162" s="188">
        <v>3.7</v>
      </c>
      <c r="AJ162" s="188">
        <v>4.8</v>
      </c>
      <c r="AK162" s="188">
        <v>6.49</v>
      </c>
      <c r="AL162" s="188">
        <v>6.59</v>
      </c>
      <c r="AM162" s="392">
        <f>AC162/AA162</f>
        <v>3</v>
      </c>
      <c r="AN162" s="392">
        <f>AG162/AA162</f>
        <v>5.580645161290323</v>
      </c>
      <c r="AO162" s="392">
        <f>AH162/AA162</f>
        <v>8.5806451612903238</v>
      </c>
      <c r="AP162" s="392">
        <f>AI162/AA162</f>
        <v>11.935483870967742</v>
      </c>
      <c r="AQ162" s="392">
        <f>AJ162/AA162</f>
        <v>15.483870967741934</v>
      </c>
      <c r="AR162" s="392">
        <f>AK162/AA162</f>
        <v>20.935483870967744</v>
      </c>
      <c r="AS162" s="392">
        <f>AL162/$AA162</f>
        <v>21.258064516129032</v>
      </c>
      <c r="AT162" s="1"/>
      <c r="AV162" s="405" t="s">
        <v>37</v>
      </c>
      <c r="AW162" s="386">
        <f>SUM(AW90:AW102,AW104:AW121)</f>
        <v>35195</v>
      </c>
      <c r="AX162" s="188">
        <v>0.27</v>
      </c>
      <c r="AY162" s="188">
        <v>0.35</v>
      </c>
      <c r="AZ162" s="188">
        <v>0.42</v>
      </c>
      <c r="BA162" s="188">
        <v>0.45</v>
      </c>
      <c r="BB162" s="188">
        <v>0.53</v>
      </c>
      <c r="BC162" s="188">
        <v>0.57999999999999996</v>
      </c>
      <c r="BD162" s="188">
        <v>0.62</v>
      </c>
      <c r="BE162" s="188">
        <v>0.86</v>
      </c>
      <c r="BF162" s="188">
        <v>1.1399999999999999</v>
      </c>
      <c r="BG162" s="188">
        <v>1.49</v>
      </c>
      <c r="BH162" s="188">
        <v>1.08</v>
      </c>
      <c r="BI162" s="188">
        <v>0.83</v>
      </c>
      <c r="BJ162" s="392">
        <f>AZ162/AX162</f>
        <v>1.5555555555555554</v>
      </c>
      <c r="BK162" s="392">
        <f>BD162/AX162</f>
        <v>2.2962962962962963</v>
      </c>
      <c r="BL162" s="392">
        <f>BE162/AX162</f>
        <v>3.1851851851851851</v>
      </c>
      <c r="BM162" s="392">
        <f>BF162/AX162</f>
        <v>4.2222222222222214</v>
      </c>
      <c r="BN162" s="392">
        <f>BG162/AX162</f>
        <v>5.5185185185185182</v>
      </c>
      <c r="BO162" s="392">
        <f>BH162/AX162</f>
        <v>4</v>
      </c>
      <c r="BP162" s="392">
        <f>BI162/$AX162</f>
        <v>3.0740740740740735</v>
      </c>
    </row>
    <row r="163" spans="1:92" ht="14.25" customHeight="1">
      <c r="B163" s="405" t="s">
        <v>38</v>
      </c>
      <c r="C163" s="386">
        <f>SUM(C122:C149)</f>
        <v>53671</v>
      </c>
      <c r="D163" s="264">
        <f t="shared" ref="D163:M163" si="127">($Z163*AA163+$AW163*AX163)/$C163</f>
        <v>0.39998956605988334</v>
      </c>
      <c r="E163" s="264">
        <f t="shared" si="127"/>
        <v>0.89334202828343046</v>
      </c>
      <c r="F163" s="264">
        <f t="shared" si="127"/>
        <v>1.1866788395968026</v>
      </c>
      <c r="G163" s="264">
        <f t="shared" si="127"/>
        <v>1.4500104339401165</v>
      </c>
      <c r="H163" s="264">
        <f t="shared" si="127"/>
        <v>1.6433420282834306</v>
      </c>
      <c r="I163" s="264">
        <f t="shared" si="127"/>
        <v>1.806678839596803</v>
      </c>
      <c r="J163" s="264">
        <f t="shared" si="127"/>
        <v>1.9500104339401167</v>
      </c>
      <c r="K163" s="264">
        <f t="shared" si="127"/>
        <v>3.333482886475005</v>
      </c>
      <c r="L163" s="264">
        <f t="shared" si="127"/>
        <v>3.4166944905069778</v>
      </c>
      <c r="M163" s="264">
        <f t="shared" si="127"/>
        <v>4.4132116040319724</v>
      </c>
      <c r="N163" s="264" t="s">
        <v>22</v>
      </c>
      <c r="O163" s="264" t="s">
        <v>22</v>
      </c>
      <c r="P163" s="392">
        <f>F163/D163</f>
        <v>2.9667744868603454</v>
      </c>
      <c r="Q163" s="392">
        <f>J163/D163</f>
        <v>4.8751532524930319</v>
      </c>
      <c r="R163" s="392">
        <f>K163/D163</f>
        <v>8.333924605363185</v>
      </c>
      <c r="S163" s="392">
        <f>L163/D163</f>
        <v>8.5419590419902516</v>
      </c>
      <c r="T163" s="392">
        <f>M163/D163</f>
        <v>11.033316812497205</v>
      </c>
      <c r="U163" s="392" t="s">
        <v>22</v>
      </c>
      <c r="V163" s="188" t="s">
        <v>22</v>
      </c>
      <c r="W163" s="1"/>
      <c r="Y163" s="405" t="s">
        <v>38</v>
      </c>
      <c r="Z163" s="386">
        <f>SUM(Z122:Z149)</f>
        <v>35790</v>
      </c>
      <c r="AA163" s="188">
        <v>0.38</v>
      </c>
      <c r="AB163" s="188">
        <v>0.91</v>
      </c>
      <c r="AC163" s="188">
        <v>1.21</v>
      </c>
      <c r="AD163" s="188">
        <v>1.47</v>
      </c>
      <c r="AE163" s="188">
        <v>1.66</v>
      </c>
      <c r="AF163" s="188">
        <v>1.83</v>
      </c>
      <c r="AG163" s="188">
        <v>1.97</v>
      </c>
      <c r="AH163" s="188">
        <v>3.62</v>
      </c>
      <c r="AI163" s="188">
        <v>3.47</v>
      </c>
      <c r="AJ163" s="188">
        <v>4.18</v>
      </c>
      <c r="AK163" s="188" t="s">
        <v>22</v>
      </c>
      <c r="AL163" s="188" t="s">
        <v>22</v>
      </c>
      <c r="AM163" s="392">
        <f>AC163/AA163</f>
        <v>3.1842105263157894</v>
      </c>
      <c r="AN163" s="392">
        <f>AG163/AA163</f>
        <v>5.1842105263157894</v>
      </c>
      <c r="AO163" s="392">
        <f>AH163/AA163</f>
        <v>9.526315789473685</v>
      </c>
      <c r="AP163" s="392">
        <f>AI163/AA163</f>
        <v>9.1315789473684212</v>
      </c>
      <c r="AQ163" s="392">
        <f>AJ163/AA163</f>
        <v>11</v>
      </c>
      <c r="AR163" s="392" t="s">
        <v>22</v>
      </c>
      <c r="AS163" s="392" t="s">
        <v>22</v>
      </c>
      <c r="AT163" s="1"/>
      <c r="AV163" s="405" t="s">
        <v>38</v>
      </c>
      <c r="AW163" s="386">
        <f>SUM(AW122:AW149)</f>
        <v>17881</v>
      </c>
      <c r="AX163" s="188">
        <v>0.44</v>
      </c>
      <c r="AY163" s="188">
        <v>0.86</v>
      </c>
      <c r="AZ163" s="188">
        <v>1.1399999999999999</v>
      </c>
      <c r="BA163" s="188">
        <v>1.41</v>
      </c>
      <c r="BB163" s="188">
        <v>1.61</v>
      </c>
      <c r="BC163" s="188">
        <v>1.76</v>
      </c>
      <c r="BD163" s="188">
        <v>1.91</v>
      </c>
      <c r="BE163" s="188">
        <v>2.76</v>
      </c>
      <c r="BF163" s="188">
        <v>3.31</v>
      </c>
      <c r="BG163" s="188">
        <v>4.88</v>
      </c>
      <c r="BH163" s="188" t="s">
        <v>22</v>
      </c>
      <c r="BI163" s="188" t="s">
        <v>22</v>
      </c>
      <c r="BJ163" s="392">
        <f>AZ163/AX163</f>
        <v>2.5909090909090908</v>
      </c>
      <c r="BK163" s="392">
        <f>BD163/AX163</f>
        <v>4.3409090909090908</v>
      </c>
      <c r="BL163" s="392">
        <f>BE163/AX163</f>
        <v>6.2727272727272725</v>
      </c>
      <c r="BM163" s="392">
        <f>BF163/AX163</f>
        <v>7.5227272727272725</v>
      </c>
      <c r="BN163" s="392">
        <f>BG163/AX163</f>
        <v>11.09090909090909</v>
      </c>
      <c r="BO163" s="392" t="s">
        <v>22</v>
      </c>
      <c r="BP163" s="392" t="s">
        <v>22</v>
      </c>
    </row>
    <row r="164" spans="1:92" ht="13.5" customHeight="1">
      <c r="AC164" s="1"/>
    </row>
    <row r="165" spans="1:92" ht="13.5" customHeight="1">
      <c r="AC165" s="1"/>
    </row>
    <row r="166" spans="1:92" ht="13.5" customHeight="1">
      <c r="AC166" s="1"/>
    </row>
    <row r="167" spans="1:92" ht="13.5" customHeight="1">
      <c r="AC167" s="1"/>
    </row>
    <row r="168" spans="1:92" ht="13.5" customHeight="1">
      <c r="AC168" s="1"/>
    </row>
    <row r="169" spans="1:92" ht="13.5" customHeight="1">
      <c r="AC169" s="1"/>
    </row>
    <row r="170" spans="1:92" s="190" customFormat="1" ht="20.25" customHeight="1">
      <c r="A170" s="191"/>
      <c r="B170" s="192" t="s">
        <v>63</v>
      </c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"/>
      <c r="AB170" s="1"/>
      <c r="AC170" s="1"/>
      <c r="AD170" s="1"/>
      <c r="AE170" s="1"/>
      <c r="AF170" s="191"/>
      <c r="AG170" s="192" t="s">
        <v>64</v>
      </c>
      <c r="AH170" s="191"/>
      <c r="AI170" s="191"/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"/>
      <c r="AU170" s="191"/>
      <c r="AV170" s="191"/>
      <c r="AW170" s="191"/>
      <c r="AX170" s="191"/>
      <c r="AY170" s="191"/>
      <c r="AZ170" s="191"/>
      <c r="BA170" s="191"/>
      <c r="BB170" s="191"/>
      <c r="BC170" s="191"/>
      <c r="BD170" s="191"/>
      <c r="BE170" s="191"/>
      <c r="BF170" s="1"/>
      <c r="BG170" s="1"/>
      <c r="BH170" s="1"/>
      <c r="BI170" s="1"/>
      <c r="BJ170" s="1"/>
      <c r="BK170" s="191"/>
      <c r="BL170" s="192" t="s">
        <v>65</v>
      </c>
      <c r="BM170" s="191"/>
      <c r="BN170" s="191"/>
      <c r="BO170" s="191"/>
      <c r="BP170" s="191"/>
      <c r="BQ170" s="191"/>
      <c r="BR170" s="191"/>
      <c r="BS170" s="191"/>
      <c r="BU170" s="191"/>
      <c r="BW170" s="191"/>
      <c r="BY170" s="191"/>
      <c r="BZ170" s="191"/>
      <c r="CB170" s="191"/>
      <c r="CC170" s="191"/>
      <c r="CE170" s="191"/>
    </row>
    <row r="171" spans="1:92" ht="14.25" customHeight="1">
      <c r="B171" s="252" t="s">
        <v>3</v>
      </c>
      <c r="C171" s="255" t="s">
        <v>43</v>
      </c>
      <c r="D171" s="247" t="s">
        <v>66</v>
      </c>
      <c r="E171" s="247" t="s">
        <v>67</v>
      </c>
      <c r="F171" s="247" t="s">
        <v>68</v>
      </c>
      <c r="G171" s="247" t="s">
        <v>69</v>
      </c>
      <c r="H171" s="247" t="s">
        <v>70</v>
      </c>
      <c r="I171" s="247" t="s">
        <v>71</v>
      </c>
      <c r="J171" s="247" t="s">
        <v>72</v>
      </c>
      <c r="K171" s="247" t="s">
        <v>73</v>
      </c>
      <c r="L171" s="247" t="s">
        <v>74</v>
      </c>
      <c r="M171" s="247" t="s">
        <v>75</v>
      </c>
      <c r="N171" s="247" t="s">
        <v>76</v>
      </c>
      <c r="O171" s="247" t="s">
        <v>77</v>
      </c>
      <c r="P171" s="258" t="s">
        <v>78</v>
      </c>
      <c r="Q171" s="245" t="s">
        <v>79</v>
      </c>
      <c r="R171" s="246" t="s">
        <v>80</v>
      </c>
      <c r="S171" s="247" t="s">
        <v>81</v>
      </c>
      <c r="T171" s="247" t="s">
        <v>82</v>
      </c>
      <c r="U171" s="247" t="s">
        <v>83</v>
      </c>
      <c r="V171" s="247" t="s">
        <v>84</v>
      </c>
      <c r="W171" s="247" t="s">
        <v>85</v>
      </c>
      <c r="X171" s="247" t="s">
        <v>86</v>
      </c>
      <c r="Y171" s="247" t="s">
        <v>87</v>
      </c>
      <c r="Z171" s="247" t="s">
        <v>88</v>
      </c>
      <c r="AA171" s="247" t="s">
        <v>89</v>
      </c>
      <c r="AB171" s="247" t="s">
        <v>90</v>
      </c>
      <c r="AC171" s="247" t="s">
        <v>77</v>
      </c>
      <c r="AD171" s="249" t="s">
        <v>78</v>
      </c>
      <c r="AE171" s="1"/>
      <c r="AG171" s="252" t="s">
        <v>3</v>
      </c>
      <c r="AH171" s="255" t="s">
        <v>43</v>
      </c>
      <c r="AI171" s="247" t="s">
        <v>66</v>
      </c>
      <c r="AJ171" s="247" t="s">
        <v>67</v>
      </c>
      <c r="AK171" s="247" t="s">
        <v>68</v>
      </c>
      <c r="AL171" s="247" t="s">
        <v>69</v>
      </c>
      <c r="AM171" s="247" t="s">
        <v>70</v>
      </c>
      <c r="AN171" s="247" t="s">
        <v>71</v>
      </c>
      <c r="AO171" s="247" t="s">
        <v>72</v>
      </c>
      <c r="AP171" s="247" t="s">
        <v>73</v>
      </c>
      <c r="AQ171" s="247" t="s">
        <v>74</v>
      </c>
      <c r="AR171" s="247" t="s">
        <v>75</v>
      </c>
      <c r="AS171" s="247" t="s">
        <v>76</v>
      </c>
      <c r="AT171" s="247" t="s">
        <v>77</v>
      </c>
      <c r="AU171" s="258" t="s">
        <v>78</v>
      </c>
      <c r="AV171" s="245" t="s">
        <v>79</v>
      </c>
      <c r="AW171" s="246" t="s">
        <v>80</v>
      </c>
      <c r="AX171" s="247" t="s">
        <v>81</v>
      </c>
      <c r="AY171" s="247" t="s">
        <v>82</v>
      </c>
      <c r="AZ171" s="247" t="s">
        <v>83</v>
      </c>
      <c r="BA171" s="247" t="s">
        <v>84</v>
      </c>
      <c r="BB171" s="247" t="s">
        <v>85</v>
      </c>
      <c r="BC171" s="247" t="s">
        <v>86</v>
      </c>
      <c r="BD171" s="247" t="s">
        <v>87</v>
      </c>
      <c r="BE171" s="247" t="s">
        <v>88</v>
      </c>
      <c r="BF171" s="247" t="s">
        <v>89</v>
      </c>
      <c r="BG171" s="247" t="s">
        <v>90</v>
      </c>
      <c r="BH171" s="247" t="s">
        <v>77</v>
      </c>
      <c r="BI171" s="249" t="s">
        <v>78</v>
      </c>
      <c r="BK171" s="41"/>
      <c r="BL171" s="245" t="s">
        <v>3</v>
      </c>
      <c r="BM171" s="246" t="s">
        <v>43</v>
      </c>
      <c r="BN171" s="247" t="s">
        <v>66</v>
      </c>
      <c r="BO171" s="247" t="s">
        <v>67</v>
      </c>
      <c r="BP171" s="247" t="s">
        <v>68</v>
      </c>
      <c r="BQ171" s="247" t="s">
        <v>69</v>
      </c>
      <c r="BR171" s="247" t="s">
        <v>70</v>
      </c>
      <c r="BS171" s="247" t="s">
        <v>71</v>
      </c>
      <c r="BT171" s="247" t="s">
        <v>72</v>
      </c>
      <c r="BU171" s="247" t="s">
        <v>73</v>
      </c>
      <c r="BV171" s="247" t="s">
        <v>74</v>
      </c>
      <c r="BW171" s="247" t="s">
        <v>75</v>
      </c>
      <c r="BX171" s="247" t="s">
        <v>76</v>
      </c>
      <c r="BY171" s="247" t="s">
        <v>77</v>
      </c>
      <c r="BZ171" s="249" t="s">
        <v>78</v>
      </c>
      <c r="CA171" s="210" t="s">
        <v>79</v>
      </c>
      <c r="CB171" s="91" t="s">
        <v>80</v>
      </c>
      <c r="CC171" s="92" t="s">
        <v>81</v>
      </c>
      <c r="CD171" s="92" t="s">
        <v>82</v>
      </c>
      <c r="CE171" s="92" t="s">
        <v>83</v>
      </c>
      <c r="CF171" s="92" t="s">
        <v>84</v>
      </c>
      <c r="CG171" s="92" t="s">
        <v>85</v>
      </c>
      <c r="CH171" s="92" t="s">
        <v>86</v>
      </c>
      <c r="CI171" s="92" t="s">
        <v>87</v>
      </c>
      <c r="CJ171" s="92" t="s">
        <v>88</v>
      </c>
      <c r="CK171" s="92" t="s">
        <v>89</v>
      </c>
      <c r="CL171" s="92" t="s">
        <v>90</v>
      </c>
      <c r="CM171" s="92" t="s">
        <v>77</v>
      </c>
      <c r="CN171" s="93" t="s">
        <v>78</v>
      </c>
    </row>
    <row r="172" spans="1:92" ht="14.25" hidden="1" customHeight="1">
      <c r="B172" s="269">
        <v>46021</v>
      </c>
      <c r="C172" s="315">
        <f>AH172+BM172</f>
        <v>1961</v>
      </c>
      <c r="D172" s="97">
        <f t="shared" ref="D172:D184" si="128">($AH172*AI172+$BM172*BN172)/$C172</f>
        <v>7.804625191228963E-2</v>
      </c>
      <c r="E172" s="97">
        <f t="shared" ref="E172:E184" si="129">($AH172*AJ172+$BM172*BO172)/$C172</f>
        <v>4.3317389087200404E-2</v>
      </c>
      <c r="F172" s="97">
        <f t="shared" ref="F172:F184" si="130">($AH172*AK172+$BM172*BP172)/$C172</f>
        <v>3.3615400305966346E-2</v>
      </c>
      <c r="G172" s="97">
        <f t="shared" ref="G172:G184" si="131">($AH172*AL172+$BM172*BQ172)/$C172</f>
        <v>2.1974502804691487E-2</v>
      </c>
      <c r="H172" s="97">
        <f t="shared" ref="H172:H184" si="132">($AH172*AM172+$BM172*BR172)/$C172</f>
        <v>2.7524783273839878E-2</v>
      </c>
      <c r="I172" s="97">
        <f t="shared" ref="I172:I184" si="133">($AH172*AN172+$BM172*BS172)/$C172</f>
        <v>1.8395512493625702E-2</v>
      </c>
      <c r="J172" s="97">
        <f t="shared" ref="J172:J184" si="134">($AH172*AO172+$BM172*BT172)/$C172</f>
        <v>1.4286129525752166E-2</v>
      </c>
      <c r="K172" s="97">
        <f t="shared" ref="K172:K184" si="135">($AH172*AP172+$BM172*BU172)/$C172</f>
        <v>9.6600713921468646E-3</v>
      </c>
      <c r="L172" s="97">
        <f t="shared" ref="L172:L184" si="136">($AH172*AQ172+$BM172*BV172)/$C172</f>
        <v>5.1000000000000004E-3</v>
      </c>
      <c r="M172" s="97">
        <f t="shared" ref="M172:M184" si="137">($AH172*AR172+$BM172*BW172)/$C172</f>
        <v>3.5690464048954615E-3</v>
      </c>
      <c r="N172" s="97">
        <f t="shared" ref="N172:N184" si="138">($AH172*AS172+$BM172*BX172)/$C172</f>
        <v>9.9061703212646604E-4</v>
      </c>
      <c r="O172" s="104">
        <f t="shared" ref="O172:O203" si="139">E172/D172</f>
        <v>0.55502202893588781</v>
      </c>
      <c r="P172" s="104">
        <f t="shared" ref="P172:P203" si="140">I172/D172</f>
        <v>0.23570013989011349</v>
      </c>
      <c r="Q172" s="315">
        <f>AV172+CA172</f>
        <v>66</v>
      </c>
      <c r="R172" s="105">
        <f t="shared" ref="R172:R184" si="141">($AV172*AW172+$CA172*CB172)/$Q172</f>
        <v>0.45454545454545453</v>
      </c>
      <c r="S172" s="105">
        <f t="shared" ref="S172:S184" si="142">($AV172*AX172+$CA172*CC172)/$Q172</f>
        <v>0.25757272727272729</v>
      </c>
      <c r="T172" s="105">
        <f t="shared" ref="T172:T184" si="143">($AV172*AY172+$CA172*CD172)/$Q172</f>
        <v>0.21213939393939396</v>
      </c>
      <c r="U172" s="105">
        <f t="shared" ref="U172:U184" si="144">($AV172*AZ172+$CA172*CE172)/$Q172</f>
        <v>0.12118484848484848</v>
      </c>
      <c r="V172" s="105">
        <f t="shared" ref="V172:V184" si="145">($AV172*BA172+$CA172*CF172)/$Q172</f>
        <v>0.12118484848484848</v>
      </c>
      <c r="W172" s="105">
        <f t="shared" ref="W172:W184" si="146">($AV172*BB172+$CA172*CG172)/$Q172</f>
        <v>7.5751515151515153E-2</v>
      </c>
      <c r="X172" s="105">
        <f t="shared" ref="X172:X184" si="147">($AV172*BC172+$CA172*CH172)/$Q172</f>
        <v>3.0318181818181824E-2</v>
      </c>
      <c r="Y172" s="105">
        <f t="shared" ref="Y172:Y184" si="148">($AV172*BD172+$CA172*CI172)/$Q172</f>
        <v>3.0318181818181824E-2</v>
      </c>
      <c r="Z172" s="105">
        <f t="shared" ref="Z172:Z184" si="149">($AV172*BE172+$CA172*CJ172)/$Q172</f>
        <v>1.5115151515151515E-2</v>
      </c>
      <c r="AA172" s="105">
        <f t="shared" ref="AA172:AA184" si="150">($AV172*BF172+$CA172*CK172)/$Q172</f>
        <v>1.5115151515151515E-2</v>
      </c>
      <c r="AB172" s="105">
        <f t="shared" ref="AB172:AB184" si="151">($AV172*BG172+$CA172*CL172)/$Q172</f>
        <v>1.5115151515151515E-2</v>
      </c>
      <c r="AC172" s="104">
        <f t="shared" ref="AC172:AC203" si="152">S172/R172</f>
        <v>0.56666000000000005</v>
      </c>
      <c r="AD172" s="203">
        <f t="shared" ref="AD172:AD203" si="153">W172/R172</f>
        <v>0.16665333333333335</v>
      </c>
      <c r="AE172" s="1"/>
      <c r="AG172" s="269">
        <v>46021</v>
      </c>
      <c r="AH172" s="200">
        <v>1766</v>
      </c>
      <c r="AI172" s="97">
        <v>8.2699999999999996E-2</v>
      </c>
      <c r="AJ172" s="97">
        <v>4.6399999999999997E-2</v>
      </c>
      <c r="AK172" s="97">
        <v>3.2800000000000003E-2</v>
      </c>
      <c r="AL172" s="97">
        <v>2.1000000000000001E-2</v>
      </c>
      <c r="AM172" s="97">
        <v>2.6599999999999999E-2</v>
      </c>
      <c r="AN172" s="97">
        <v>1.7600000000000001E-2</v>
      </c>
      <c r="AO172" s="97">
        <v>1.3599999999999999E-2</v>
      </c>
      <c r="AP172" s="97">
        <v>7.9000000000000008E-3</v>
      </c>
      <c r="AQ172" s="97">
        <v>5.1000000000000004E-3</v>
      </c>
      <c r="AR172" s="97">
        <v>3.3999999999999998E-3</v>
      </c>
      <c r="AS172" s="97">
        <v>1.1000000000000001E-3</v>
      </c>
      <c r="AT172" s="104">
        <f t="shared" ref="AT172:AT203" si="154">AJ172/AI172</f>
        <v>0.56106408706166866</v>
      </c>
      <c r="AU172" s="104">
        <f t="shared" ref="AU172:AU203" si="155">AN172/AI172</f>
        <v>0.21281741233373641</v>
      </c>
      <c r="AV172" s="200">
        <v>58</v>
      </c>
      <c r="AW172" s="97">
        <v>0.5</v>
      </c>
      <c r="AX172" s="97">
        <v>0.29310000000000003</v>
      </c>
      <c r="AY172" s="443">
        <v>0.2414</v>
      </c>
      <c r="AZ172" s="443">
        <v>0.13789999999999999</v>
      </c>
      <c r="BA172" s="443">
        <v>0.13789999999999999</v>
      </c>
      <c r="BB172" s="443">
        <v>8.6199999999999999E-2</v>
      </c>
      <c r="BC172" s="443">
        <v>3.4500000000000003E-2</v>
      </c>
      <c r="BD172" s="443">
        <v>3.4500000000000003E-2</v>
      </c>
      <c r="BE172" s="443">
        <v>1.72E-2</v>
      </c>
      <c r="BF172" s="443">
        <v>1.72E-2</v>
      </c>
      <c r="BG172" s="443">
        <v>1.72E-2</v>
      </c>
      <c r="BH172" s="104">
        <f t="shared" ref="BH172:BH203" si="156">AX172/AW172</f>
        <v>0.58620000000000005</v>
      </c>
      <c r="BI172" s="203">
        <f t="shared" ref="BI172:BI203" si="157">BB172/AW172</f>
        <v>0.1724</v>
      </c>
      <c r="BK172" s="41"/>
      <c r="BL172" s="236">
        <v>46021</v>
      </c>
      <c r="BM172" s="25">
        <v>195</v>
      </c>
      <c r="BN172" s="97">
        <v>3.5900000000000001E-2</v>
      </c>
      <c r="BO172" s="97">
        <v>1.54E-2</v>
      </c>
      <c r="BP172" s="97">
        <v>4.1000000000000002E-2</v>
      </c>
      <c r="BQ172" s="97">
        <v>3.0800000000000001E-2</v>
      </c>
      <c r="BR172" s="97">
        <v>3.5900000000000001E-2</v>
      </c>
      <c r="BS172" s="97">
        <v>2.5600000000000001E-2</v>
      </c>
      <c r="BT172" s="97">
        <v>2.0500000000000001E-2</v>
      </c>
      <c r="BU172" s="97">
        <v>2.5600000000000001E-2</v>
      </c>
      <c r="BV172" s="97">
        <v>5.1000000000000004E-3</v>
      </c>
      <c r="BW172" s="97">
        <v>5.1000000000000004E-3</v>
      </c>
      <c r="BX172" s="97">
        <v>0</v>
      </c>
      <c r="BY172" s="104">
        <f t="shared" ref="BY172:BY203" si="158">BO172/BN172</f>
        <v>0.42896935933147634</v>
      </c>
      <c r="BZ172" s="99">
        <f t="shared" ref="BZ172:BZ203" si="159">BS172/BN172</f>
        <v>0.71309192200557103</v>
      </c>
      <c r="CA172" s="25">
        <v>8</v>
      </c>
      <c r="CB172" s="112">
        <v>0.125</v>
      </c>
      <c r="CC172" s="112">
        <v>0</v>
      </c>
      <c r="CD172" s="94">
        <v>0</v>
      </c>
      <c r="CE172" s="94">
        <v>0</v>
      </c>
      <c r="CF172" s="94">
        <v>0</v>
      </c>
      <c r="CG172" s="94">
        <v>0</v>
      </c>
      <c r="CH172" s="94">
        <v>0</v>
      </c>
      <c r="CI172" s="94">
        <v>0</v>
      </c>
      <c r="CJ172" s="94">
        <v>0</v>
      </c>
      <c r="CK172" s="94">
        <v>0</v>
      </c>
      <c r="CL172" s="94">
        <v>0</v>
      </c>
      <c r="CM172" s="113">
        <f t="shared" ref="CM172:CM203" si="160">CC172/CB172</f>
        <v>0</v>
      </c>
      <c r="CN172" s="114">
        <f t="shared" ref="CN172:CN203" si="161">CG172/CB172</f>
        <v>0</v>
      </c>
    </row>
    <row r="173" spans="1:92" ht="14.25" hidden="1" customHeight="1">
      <c r="B173" s="269">
        <v>46022</v>
      </c>
      <c r="C173" s="315">
        <f>AH173+BM173</f>
        <v>2082</v>
      </c>
      <c r="D173" s="97">
        <f t="shared" si="128"/>
        <v>8.2586743515850145E-2</v>
      </c>
      <c r="E173" s="97">
        <f t="shared" si="129"/>
        <v>4.3734582132564835E-2</v>
      </c>
      <c r="F173" s="97">
        <f t="shared" si="130"/>
        <v>3.6521037463976946E-2</v>
      </c>
      <c r="G173" s="97">
        <f t="shared" si="131"/>
        <v>2.835821325648415E-2</v>
      </c>
      <c r="H173" s="97">
        <f t="shared" si="132"/>
        <v>2.4948703170028817E-2</v>
      </c>
      <c r="I173" s="97">
        <f t="shared" si="133"/>
        <v>2.6926512968299711E-2</v>
      </c>
      <c r="J173" s="97">
        <f t="shared" si="134"/>
        <v>1.4451296829971183E-2</v>
      </c>
      <c r="K173" s="97">
        <f t="shared" si="135"/>
        <v>1.0569740634005764E-2</v>
      </c>
      <c r="L173" s="97">
        <f t="shared" si="136"/>
        <v>6.7639769452449575E-3</v>
      </c>
      <c r="M173" s="97">
        <f t="shared" si="137"/>
        <v>4.2812680115273767E-3</v>
      </c>
      <c r="N173" s="97">
        <f t="shared" si="138"/>
        <v>4.2829971181556192E-3</v>
      </c>
      <c r="O173" s="104">
        <f t="shared" si="139"/>
        <v>0.52955934900340562</v>
      </c>
      <c r="P173" s="104">
        <f t="shared" si="140"/>
        <v>0.32603916587571879</v>
      </c>
      <c r="Q173" s="169">
        <f>AV173+CA173</f>
        <v>68</v>
      </c>
      <c r="R173" s="162">
        <f t="shared" si="141"/>
        <v>0.3235294117647059</v>
      </c>
      <c r="S173" s="162">
        <f t="shared" si="142"/>
        <v>0.26469999999999999</v>
      </c>
      <c r="T173" s="162">
        <f t="shared" si="143"/>
        <v>0.23532352941176468</v>
      </c>
      <c r="U173" s="162">
        <f t="shared" si="144"/>
        <v>0.22060588235294115</v>
      </c>
      <c r="V173" s="162">
        <f t="shared" si="145"/>
        <v>0.16175294117647057</v>
      </c>
      <c r="W173" s="162">
        <f t="shared" si="146"/>
        <v>0.16172352941176471</v>
      </c>
      <c r="X173" s="162">
        <f t="shared" si="147"/>
        <v>0.13234705882352943</v>
      </c>
      <c r="Y173" s="162">
        <f t="shared" si="148"/>
        <v>0.11765882352941176</v>
      </c>
      <c r="Z173" s="162">
        <f t="shared" si="149"/>
        <v>0.11765882352941176</v>
      </c>
      <c r="AA173" s="162">
        <f t="shared" si="150"/>
        <v>5.8847058823529412E-2</v>
      </c>
      <c r="AB173" s="162">
        <f t="shared" si="151"/>
        <v>5.8847058823529412E-2</v>
      </c>
      <c r="AC173" s="291">
        <f t="shared" si="152"/>
        <v>0.81816363636363632</v>
      </c>
      <c r="AD173" s="293">
        <f t="shared" si="153"/>
        <v>0.49987272727272725</v>
      </c>
      <c r="AE173" s="1"/>
      <c r="AG173" s="269">
        <v>46022</v>
      </c>
      <c r="AH173" s="200">
        <v>1650</v>
      </c>
      <c r="AI173" s="105">
        <v>8.2400000000000001E-2</v>
      </c>
      <c r="AJ173" s="105">
        <v>4.6100000000000002E-2</v>
      </c>
      <c r="AK173" s="105">
        <v>3.7600000000000001E-2</v>
      </c>
      <c r="AL173" s="105">
        <v>2.7300000000000001E-2</v>
      </c>
      <c r="AM173" s="105">
        <v>2.3599999999999999E-2</v>
      </c>
      <c r="AN173" s="105">
        <v>2.7300000000000001E-2</v>
      </c>
      <c r="AO173" s="105">
        <v>1.5800000000000002E-2</v>
      </c>
      <c r="AP173" s="105">
        <v>1.03E-2</v>
      </c>
      <c r="AQ173" s="105">
        <v>6.1000000000000004E-3</v>
      </c>
      <c r="AR173" s="105">
        <v>4.7999999999999996E-3</v>
      </c>
      <c r="AS173" s="105">
        <v>4.1999999999999997E-3</v>
      </c>
      <c r="AT173" s="104">
        <f t="shared" si="154"/>
        <v>0.55946601941747576</v>
      </c>
      <c r="AU173" s="104">
        <f t="shared" si="155"/>
        <v>0.3313106796116505</v>
      </c>
      <c r="AV173" s="288">
        <v>44</v>
      </c>
      <c r="AW173" s="162">
        <v>0.31819999999999998</v>
      </c>
      <c r="AX173" s="162">
        <v>0.34089999999999998</v>
      </c>
      <c r="AY173" s="162">
        <v>0.29549999999999998</v>
      </c>
      <c r="AZ173" s="162">
        <v>0.29549999999999998</v>
      </c>
      <c r="BA173" s="162">
        <v>0.18179999999999999</v>
      </c>
      <c r="BB173" s="162">
        <v>0.20449999999999999</v>
      </c>
      <c r="BC173" s="162">
        <v>0.15909999999999999</v>
      </c>
      <c r="BD173" s="162">
        <v>0.13639999999999999</v>
      </c>
      <c r="BE173" s="162">
        <v>0.13639999999999999</v>
      </c>
      <c r="BF173" s="162">
        <v>6.8199999999999997E-2</v>
      </c>
      <c r="BG173" s="162">
        <v>6.8199999999999997E-2</v>
      </c>
      <c r="BH173" s="291">
        <f t="shared" si="156"/>
        <v>1.0713387806411063</v>
      </c>
      <c r="BI173" s="293">
        <f t="shared" si="157"/>
        <v>0.64267756128221243</v>
      </c>
      <c r="BK173" s="41"/>
      <c r="BL173" s="236">
        <v>46022</v>
      </c>
      <c r="BM173" s="25">
        <v>432</v>
      </c>
      <c r="BN173" s="105">
        <v>8.3299999999999999E-2</v>
      </c>
      <c r="BO173" s="105">
        <v>3.4700000000000002E-2</v>
      </c>
      <c r="BP173" s="105">
        <v>3.2399999999999998E-2</v>
      </c>
      <c r="BQ173" s="105">
        <v>3.2399999999999998E-2</v>
      </c>
      <c r="BR173" s="105">
        <v>3.0099999999999998E-2</v>
      </c>
      <c r="BS173" s="105">
        <v>2.5499999999999998E-2</v>
      </c>
      <c r="BT173" s="105">
        <v>9.2999999999999992E-3</v>
      </c>
      <c r="BU173" s="105">
        <v>1.1599999999999999E-2</v>
      </c>
      <c r="BV173" s="105">
        <v>9.2999999999999992E-3</v>
      </c>
      <c r="BW173" s="105">
        <v>2.3E-3</v>
      </c>
      <c r="BX173" s="105">
        <v>4.5999999999999999E-3</v>
      </c>
      <c r="BY173" s="107">
        <f t="shared" si="158"/>
        <v>0.4165666266506603</v>
      </c>
      <c r="BZ173" s="108">
        <f t="shared" si="159"/>
        <v>0.30612244897959184</v>
      </c>
      <c r="CA173" s="25">
        <v>24</v>
      </c>
      <c r="CB173" s="106">
        <v>0.33329999999999999</v>
      </c>
      <c r="CC173" s="106">
        <v>0.125</v>
      </c>
      <c r="CD173" s="106">
        <v>0.125</v>
      </c>
      <c r="CE173" s="106">
        <v>8.3299999999999999E-2</v>
      </c>
      <c r="CF173" s="106">
        <v>0.125</v>
      </c>
      <c r="CG173" s="106">
        <v>8.3299999999999999E-2</v>
      </c>
      <c r="CH173" s="106">
        <v>8.3299999999999999E-2</v>
      </c>
      <c r="CI173" s="106">
        <v>8.3299999999999999E-2</v>
      </c>
      <c r="CJ173" s="106">
        <v>8.3299999999999999E-2</v>
      </c>
      <c r="CK173" s="106">
        <v>4.1700000000000001E-2</v>
      </c>
      <c r="CL173" s="106">
        <v>4.1700000000000001E-2</v>
      </c>
      <c r="CM173" s="107">
        <f t="shared" si="160"/>
        <v>0.37503750375037503</v>
      </c>
      <c r="CN173" s="108">
        <f t="shared" si="161"/>
        <v>0.24992499249924993</v>
      </c>
    </row>
    <row r="174" spans="1:92" ht="27.75" hidden="1" customHeight="1">
      <c r="B174" s="377" t="s">
        <v>35</v>
      </c>
      <c r="C174" s="171">
        <f>SUM(C172:C173)</f>
        <v>4043</v>
      </c>
      <c r="D174" s="155">
        <f t="shared" si="128"/>
        <v>8.0428839970319077E-2</v>
      </c>
      <c r="E174" s="155">
        <f t="shared" si="129"/>
        <v>4.3570541676972545E-2</v>
      </c>
      <c r="F174" s="155">
        <f t="shared" si="130"/>
        <v>3.5099999999999999E-2</v>
      </c>
      <c r="G174" s="155">
        <f t="shared" si="131"/>
        <v>2.5225154588177093E-2</v>
      </c>
      <c r="H174" s="155">
        <f t="shared" si="132"/>
        <v>2.623905515706159E-2</v>
      </c>
      <c r="I174" s="155">
        <f t="shared" si="133"/>
        <v>2.2711773435567649E-2</v>
      </c>
      <c r="J174" s="155">
        <f t="shared" si="134"/>
        <v>1.4320850853326739E-2</v>
      </c>
      <c r="K174" s="155">
        <f t="shared" si="135"/>
        <v>1.0154563442987881E-2</v>
      </c>
      <c r="L174" s="155">
        <f t="shared" si="136"/>
        <v>5.9721988622310172E-3</v>
      </c>
      <c r="M174" s="155">
        <f t="shared" si="137"/>
        <v>3.9604254266633688E-3</v>
      </c>
      <c r="N174" s="155">
        <f t="shared" si="138"/>
        <v>2.6930497155577536E-3</v>
      </c>
      <c r="O174" s="172">
        <f t="shared" si="139"/>
        <v>0.54172783908174638</v>
      </c>
      <c r="P174" s="172">
        <f t="shared" si="140"/>
        <v>0.28238345155729028</v>
      </c>
      <c r="Q174" s="308">
        <f>SUM(Q172:Q173)</f>
        <v>134</v>
      </c>
      <c r="R174" s="294">
        <f t="shared" si="141"/>
        <v>0.38809552238805972</v>
      </c>
      <c r="S174" s="294">
        <f t="shared" si="142"/>
        <v>0.2611865671641791</v>
      </c>
      <c r="T174" s="294">
        <f t="shared" si="143"/>
        <v>0.22388805970149253</v>
      </c>
      <c r="U174" s="294">
        <f t="shared" si="144"/>
        <v>0.17165522388059701</v>
      </c>
      <c r="V174" s="294">
        <f t="shared" si="145"/>
        <v>0.1418313432835821</v>
      </c>
      <c r="W174" s="294">
        <f t="shared" si="146"/>
        <v>0.11943731343283583</v>
      </c>
      <c r="X174" s="294">
        <f t="shared" si="147"/>
        <v>8.2062686567164173E-2</v>
      </c>
      <c r="Y174" s="294">
        <f t="shared" si="148"/>
        <v>7.4602985074626871E-2</v>
      </c>
      <c r="Z174" s="294">
        <f t="shared" si="149"/>
        <v>6.7143283582089541E-2</v>
      </c>
      <c r="AA174" s="294">
        <f t="shared" si="150"/>
        <v>3.7313432835820892E-2</v>
      </c>
      <c r="AB174" s="294">
        <f t="shared" si="151"/>
        <v>3.7313432835820892E-2</v>
      </c>
      <c r="AC174" s="305">
        <f t="shared" si="152"/>
        <v>0.67299556963972551</v>
      </c>
      <c r="AD174" s="284">
        <f t="shared" si="153"/>
        <v>0.30775236132049349</v>
      </c>
      <c r="AE174" s="1"/>
      <c r="AG174" s="253" t="s">
        <v>35</v>
      </c>
      <c r="AH174" s="171">
        <f>SUM(AH172:AH173)</f>
        <v>3416</v>
      </c>
      <c r="AI174" s="155">
        <v>8.2600000000000007E-2</v>
      </c>
      <c r="AJ174" s="155">
        <v>4.6300000000000001E-2</v>
      </c>
      <c r="AK174" s="155">
        <v>3.5099999999999999E-2</v>
      </c>
      <c r="AL174" s="155">
        <v>2.4E-2</v>
      </c>
      <c r="AM174" s="155">
        <v>2.52E-2</v>
      </c>
      <c r="AN174" s="155">
        <v>2.2200000000000001E-2</v>
      </c>
      <c r="AO174" s="155">
        <v>1.46E-2</v>
      </c>
      <c r="AP174" s="155">
        <v>9.1000000000000004E-3</v>
      </c>
      <c r="AQ174" s="155">
        <v>5.5999999999999999E-3</v>
      </c>
      <c r="AR174" s="155">
        <v>4.1000000000000003E-3</v>
      </c>
      <c r="AS174" s="155">
        <v>2.5999999999999999E-3</v>
      </c>
      <c r="AT174" s="172">
        <f t="shared" si="154"/>
        <v>0.56053268765133168</v>
      </c>
      <c r="AU174" s="172">
        <f t="shared" si="155"/>
        <v>0.26876513317191281</v>
      </c>
      <c r="AV174" s="286">
        <f>SUM(AV172:AV173)</f>
        <v>102</v>
      </c>
      <c r="AW174" s="156">
        <v>0.42159999999999997</v>
      </c>
      <c r="AX174" s="156">
        <v>0.31369999999999998</v>
      </c>
      <c r="AY174" s="156">
        <v>0.26469999999999999</v>
      </c>
      <c r="AZ174" s="156">
        <v>0.2059</v>
      </c>
      <c r="BA174" s="156">
        <v>0.15690000000000001</v>
      </c>
      <c r="BB174" s="156">
        <v>0.13730000000000001</v>
      </c>
      <c r="BC174" s="156">
        <v>8.8200000000000001E-2</v>
      </c>
      <c r="BD174" s="156">
        <v>7.8399999999999997E-2</v>
      </c>
      <c r="BE174" s="156">
        <v>6.8599999999999994E-2</v>
      </c>
      <c r="BF174" s="156">
        <v>3.9199999999999999E-2</v>
      </c>
      <c r="BG174" s="156">
        <v>3.9199999999999999E-2</v>
      </c>
      <c r="BH174" s="175">
        <f t="shared" si="156"/>
        <v>0.7440702087286527</v>
      </c>
      <c r="BI174" s="176">
        <f t="shared" si="157"/>
        <v>0.32566413662239091</v>
      </c>
      <c r="BK174" s="41"/>
      <c r="BL174" s="250" t="s">
        <v>35</v>
      </c>
      <c r="BM174" s="298">
        <f>SUM(BM172:BM173)</f>
        <v>627</v>
      </c>
      <c r="BN174" s="155">
        <v>6.8599999999999994E-2</v>
      </c>
      <c r="BO174" s="155">
        <v>2.87E-2</v>
      </c>
      <c r="BP174" s="155">
        <v>3.5099999999999999E-2</v>
      </c>
      <c r="BQ174" s="155">
        <v>3.1899999999999998E-2</v>
      </c>
      <c r="BR174" s="155">
        <v>3.1899999999999998E-2</v>
      </c>
      <c r="BS174" s="155">
        <v>2.5499999999999998E-2</v>
      </c>
      <c r="BT174" s="155">
        <v>1.2800000000000001E-2</v>
      </c>
      <c r="BU174" s="155">
        <v>1.5900000000000001E-2</v>
      </c>
      <c r="BV174" s="155">
        <v>8.0000000000000002E-3</v>
      </c>
      <c r="BW174" s="155">
        <v>3.2000000000000002E-3</v>
      </c>
      <c r="BX174" s="155">
        <v>3.2000000000000002E-3</v>
      </c>
      <c r="BY174" s="208">
        <f t="shared" si="158"/>
        <v>0.41836734693877553</v>
      </c>
      <c r="BZ174" s="209">
        <f t="shared" si="159"/>
        <v>0.3717201166180758</v>
      </c>
      <c r="CA174" s="302">
        <f>SUM(CA172:CA173)</f>
        <v>32</v>
      </c>
      <c r="CB174" s="205">
        <v>0.28129999999999999</v>
      </c>
      <c r="CC174" s="205">
        <v>9.3799999999999994E-2</v>
      </c>
      <c r="CD174" s="205">
        <v>9.3799999999999994E-2</v>
      </c>
      <c r="CE174" s="205">
        <v>6.25E-2</v>
      </c>
      <c r="CF174" s="205">
        <v>9.3799999999999994E-2</v>
      </c>
      <c r="CG174" s="205">
        <v>6.25E-2</v>
      </c>
      <c r="CH174" s="205">
        <v>6.25E-2</v>
      </c>
      <c r="CI174" s="205">
        <v>6.25E-2</v>
      </c>
      <c r="CJ174" s="205">
        <v>6.25E-2</v>
      </c>
      <c r="CK174" s="205">
        <v>3.1300000000000001E-2</v>
      </c>
      <c r="CL174" s="205">
        <v>3.1300000000000001E-2</v>
      </c>
      <c r="CM174" s="208">
        <f t="shared" si="160"/>
        <v>0.33345183078563811</v>
      </c>
      <c r="CN174" s="209">
        <f t="shared" si="161"/>
        <v>0.22218272307145398</v>
      </c>
    </row>
    <row r="175" spans="1:92" ht="14.25" hidden="1" customHeight="1">
      <c r="B175" s="383">
        <v>46023</v>
      </c>
      <c r="C175" s="385">
        <f t="shared" ref="C175:C187" si="162">AH175+BM175</f>
        <v>2355</v>
      </c>
      <c r="D175" s="160">
        <f t="shared" si="128"/>
        <v>7.5127643312101908E-2</v>
      </c>
      <c r="E175" s="160">
        <f t="shared" si="129"/>
        <v>4.1180382165605094E-2</v>
      </c>
      <c r="F175" s="160">
        <f t="shared" si="130"/>
        <v>2.5902929936305732E-2</v>
      </c>
      <c r="G175" s="160">
        <f t="shared" si="131"/>
        <v>2.7591210191082804E-2</v>
      </c>
      <c r="H175" s="160">
        <f t="shared" si="132"/>
        <v>2.5031719745222929E-2</v>
      </c>
      <c r="I175" s="160">
        <f t="shared" si="133"/>
        <v>2.8876305732484075E-2</v>
      </c>
      <c r="J175" s="160">
        <f t="shared" si="134"/>
        <v>1.9981273885350315E-2</v>
      </c>
      <c r="K175" s="160">
        <f t="shared" si="135"/>
        <v>1.2738471337579617E-2</v>
      </c>
      <c r="L175" s="160">
        <f t="shared" si="136"/>
        <v>1.315235668789809E-2</v>
      </c>
      <c r="M175" s="160">
        <f t="shared" si="137"/>
        <v>5.9672611464968162E-3</v>
      </c>
      <c r="N175" s="160">
        <f t="shared" si="138"/>
        <v>7.598980891719744E-3</v>
      </c>
      <c r="O175" s="189">
        <f t="shared" si="139"/>
        <v>0.5481388787151209</v>
      </c>
      <c r="P175" s="189">
        <f t="shared" si="140"/>
        <v>0.38436325777614999</v>
      </c>
      <c r="Q175" s="385">
        <f t="shared" ref="Q175:Q187" si="163">AV175+CA175</f>
        <v>67</v>
      </c>
      <c r="R175" s="160">
        <f t="shared" si="141"/>
        <v>0.35820597014925376</v>
      </c>
      <c r="S175" s="160">
        <f t="shared" si="142"/>
        <v>0.20894179104477612</v>
      </c>
      <c r="T175" s="160">
        <f t="shared" si="143"/>
        <v>0.14921194029850746</v>
      </c>
      <c r="U175" s="160">
        <f t="shared" si="144"/>
        <v>0.11936865671641793</v>
      </c>
      <c r="V175" s="160">
        <f t="shared" si="145"/>
        <v>5.9734328358208959E-2</v>
      </c>
      <c r="W175" s="160">
        <f t="shared" si="146"/>
        <v>8.9577611940298507E-2</v>
      </c>
      <c r="X175" s="160">
        <f t="shared" si="147"/>
        <v>1.4953731343283582E-2</v>
      </c>
      <c r="Y175" s="160">
        <f t="shared" si="148"/>
        <v>1.4953731343283582E-2</v>
      </c>
      <c r="Z175" s="160">
        <f t="shared" si="149"/>
        <v>1.4953731343283582E-2</v>
      </c>
      <c r="AA175" s="160">
        <f t="shared" si="150"/>
        <v>0</v>
      </c>
      <c r="AB175" s="160">
        <f t="shared" si="151"/>
        <v>1.4953731343283582E-2</v>
      </c>
      <c r="AC175" s="189">
        <f t="shared" si="152"/>
        <v>0.58330069417245134</v>
      </c>
      <c r="AD175" s="202">
        <f t="shared" si="153"/>
        <v>0.25007291727431058</v>
      </c>
      <c r="AE175" s="1"/>
      <c r="AG175" s="269">
        <v>46023</v>
      </c>
      <c r="AH175" s="287">
        <v>1842</v>
      </c>
      <c r="AI175" s="160">
        <v>7.6499999999999999E-2</v>
      </c>
      <c r="AJ175" s="160">
        <v>3.7999999999999999E-2</v>
      </c>
      <c r="AK175" s="160">
        <v>2.6599999999999999E-2</v>
      </c>
      <c r="AL175" s="160">
        <v>2.5499999999999998E-2</v>
      </c>
      <c r="AM175" s="160">
        <v>2.4400000000000002E-2</v>
      </c>
      <c r="AN175" s="160">
        <v>2.7699999999999999E-2</v>
      </c>
      <c r="AO175" s="160">
        <v>1.8499999999999999E-2</v>
      </c>
      <c r="AP175" s="160">
        <v>1.52E-2</v>
      </c>
      <c r="AQ175" s="160">
        <v>1.52E-2</v>
      </c>
      <c r="AR175" s="160">
        <v>7.1000000000000004E-3</v>
      </c>
      <c r="AS175" s="160">
        <v>8.0999999999999996E-3</v>
      </c>
      <c r="AT175" s="189">
        <f t="shared" si="154"/>
        <v>0.49673202614379086</v>
      </c>
      <c r="AU175" s="202">
        <f t="shared" si="155"/>
        <v>0.36209150326797385</v>
      </c>
      <c r="AV175" s="25">
        <v>43</v>
      </c>
      <c r="AW175" s="105">
        <v>0.41860000000000003</v>
      </c>
      <c r="AX175" s="105">
        <v>0.20930000000000001</v>
      </c>
      <c r="AY175" s="105">
        <v>0.186</v>
      </c>
      <c r="AZ175" s="105">
        <v>0.13950000000000001</v>
      </c>
      <c r="BA175" s="105">
        <v>6.9800000000000001E-2</v>
      </c>
      <c r="BB175" s="105">
        <v>0.1163</v>
      </c>
      <c r="BC175" s="277">
        <v>2.3300000000000001E-2</v>
      </c>
      <c r="BD175" s="277">
        <v>2.3300000000000001E-2</v>
      </c>
      <c r="BE175" s="277">
        <v>2.3300000000000001E-2</v>
      </c>
      <c r="BF175" s="277">
        <v>0</v>
      </c>
      <c r="BG175" s="277">
        <v>2.3300000000000001E-2</v>
      </c>
      <c r="BH175" s="104">
        <f t="shared" si="156"/>
        <v>0.5</v>
      </c>
      <c r="BI175" s="203">
        <f t="shared" si="157"/>
        <v>0.2778308647873865</v>
      </c>
      <c r="BK175" s="41"/>
      <c r="BL175" s="269">
        <v>46023</v>
      </c>
      <c r="BM175" s="287">
        <v>513</v>
      </c>
      <c r="BN175" s="160">
        <v>7.0199999999999999E-2</v>
      </c>
      <c r="BO175" s="160">
        <v>5.2600000000000001E-2</v>
      </c>
      <c r="BP175" s="160">
        <v>2.3400000000000001E-2</v>
      </c>
      <c r="BQ175" s="160">
        <v>3.5099999999999999E-2</v>
      </c>
      <c r="BR175" s="160">
        <v>2.7300000000000001E-2</v>
      </c>
      <c r="BS175" s="160">
        <v>3.3099999999999997E-2</v>
      </c>
      <c r="BT175" s="160">
        <v>2.53E-2</v>
      </c>
      <c r="BU175" s="160">
        <v>3.8999999999999998E-3</v>
      </c>
      <c r="BV175" s="160">
        <v>5.7999999999999996E-3</v>
      </c>
      <c r="BW175" s="160">
        <v>1.9E-3</v>
      </c>
      <c r="BX175" s="160">
        <v>5.7999999999999996E-3</v>
      </c>
      <c r="BY175" s="189">
        <f t="shared" si="158"/>
        <v>0.74928774928774933</v>
      </c>
      <c r="BZ175" s="189">
        <f t="shared" si="159"/>
        <v>0.47150997150997148</v>
      </c>
      <c r="CA175" s="287">
        <v>24</v>
      </c>
      <c r="CB175" s="160">
        <v>0.25</v>
      </c>
      <c r="CC175" s="160">
        <v>0.20830000000000001</v>
      </c>
      <c r="CD175" s="160">
        <v>8.3299999999999999E-2</v>
      </c>
      <c r="CE175" s="160">
        <v>8.3299999999999999E-2</v>
      </c>
      <c r="CF175" s="160">
        <v>4.1700000000000001E-2</v>
      </c>
      <c r="CG175" s="160">
        <v>4.1700000000000001E-2</v>
      </c>
      <c r="CH175" s="279">
        <v>0</v>
      </c>
      <c r="CI175" s="279">
        <v>0</v>
      </c>
      <c r="CJ175" s="279">
        <v>0</v>
      </c>
      <c r="CK175" s="279">
        <v>0</v>
      </c>
      <c r="CL175" s="279">
        <v>0</v>
      </c>
      <c r="CM175" s="189">
        <f t="shared" si="160"/>
        <v>0.83320000000000005</v>
      </c>
      <c r="CN175" s="202">
        <f t="shared" si="161"/>
        <v>0.1668</v>
      </c>
    </row>
    <row r="176" spans="1:92" ht="14.25" hidden="1" customHeight="1">
      <c r="B176" s="269">
        <v>46024</v>
      </c>
      <c r="C176" s="315">
        <f t="shared" si="162"/>
        <v>2245</v>
      </c>
      <c r="D176" s="105">
        <f t="shared" si="128"/>
        <v>6.9958084632516709E-2</v>
      </c>
      <c r="E176" s="105">
        <f t="shared" si="129"/>
        <v>3.8320846325167045E-2</v>
      </c>
      <c r="F176" s="105">
        <f t="shared" si="130"/>
        <v>3.2494209354120271E-2</v>
      </c>
      <c r="G176" s="105">
        <f t="shared" si="131"/>
        <v>2.2247349665924274E-2</v>
      </c>
      <c r="H176" s="105">
        <f t="shared" si="132"/>
        <v>1.9193095768374163E-2</v>
      </c>
      <c r="I176" s="105">
        <f t="shared" si="133"/>
        <v>2.3166458797327392E-2</v>
      </c>
      <c r="J176" s="105">
        <f t="shared" si="134"/>
        <v>1.3797282850779509E-2</v>
      </c>
      <c r="K176" s="105">
        <f t="shared" si="135"/>
        <v>8.9526503340757249E-3</v>
      </c>
      <c r="L176" s="105">
        <f t="shared" si="136"/>
        <v>4.903207126948775E-3</v>
      </c>
      <c r="M176" s="105">
        <f t="shared" si="137"/>
        <v>5.3404454342984419E-3</v>
      </c>
      <c r="N176" s="105">
        <f t="shared" si="138"/>
        <v>5.3404454342984419E-3</v>
      </c>
      <c r="O176" s="104">
        <f t="shared" si="139"/>
        <v>0.54776866071252339</v>
      </c>
      <c r="P176" s="104">
        <f t="shared" si="140"/>
        <v>0.33114769964070112</v>
      </c>
      <c r="Q176" s="315">
        <f t="shared" si="163"/>
        <v>50</v>
      </c>
      <c r="R176" s="105">
        <f t="shared" si="141"/>
        <v>0.39996399999999999</v>
      </c>
      <c r="S176" s="105">
        <f t="shared" si="142"/>
        <v>0.32002000000000003</v>
      </c>
      <c r="T176" s="105">
        <f t="shared" si="143"/>
        <v>0.26001999999999997</v>
      </c>
      <c r="U176" s="105">
        <f t="shared" si="144"/>
        <v>0.19999600000000001</v>
      </c>
      <c r="V176" s="105">
        <f t="shared" si="145"/>
        <v>0.240004</v>
      </c>
      <c r="W176" s="105">
        <f t="shared" si="146"/>
        <v>0.13996799999999998</v>
      </c>
      <c r="X176" s="105">
        <f t="shared" si="147"/>
        <v>0.14001999999999998</v>
      </c>
      <c r="Y176" s="105">
        <f t="shared" si="148"/>
        <v>7.9992000000000008E-2</v>
      </c>
      <c r="Z176" s="105">
        <f t="shared" si="149"/>
        <v>2.0015999999999999E-2</v>
      </c>
      <c r="AA176" s="105">
        <f t="shared" si="150"/>
        <v>2.0015999999999999E-2</v>
      </c>
      <c r="AB176" s="105">
        <f t="shared" si="151"/>
        <v>2.0015999999999999E-2</v>
      </c>
      <c r="AC176" s="104">
        <f t="shared" si="152"/>
        <v>0.80012201098098834</v>
      </c>
      <c r="AD176" s="203">
        <f t="shared" si="153"/>
        <v>0.34995149563460709</v>
      </c>
      <c r="AE176" s="1"/>
      <c r="AG176" s="269">
        <v>46024</v>
      </c>
      <c r="AH176" s="200">
        <v>1636</v>
      </c>
      <c r="AI176" s="105">
        <v>7.3999999999999996E-2</v>
      </c>
      <c r="AJ176" s="105">
        <v>4.2200000000000001E-2</v>
      </c>
      <c r="AK176" s="105">
        <v>3.4799999999999998E-2</v>
      </c>
      <c r="AL176" s="105">
        <v>2.2599999999999999E-2</v>
      </c>
      <c r="AM176" s="105">
        <v>1.9599999999999999E-2</v>
      </c>
      <c r="AN176" s="105">
        <v>2.1999999999999999E-2</v>
      </c>
      <c r="AO176" s="105">
        <v>1.1599999999999999E-2</v>
      </c>
      <c r="AP176" s="105">
        <v>8.6E-3</v>
      </c>
      <c r="AQ176" s="105">
        <v>5.4999999999999997E-3</v>
      </c>
      <c r="AR176" s="105">
        <v>6.1000000000000004E-3</v>
      </c>
      <c r="AS176" s="105">
        <v>6.1000000000000004E-3</v>
      </c>
      <c r="AT176" s="104">
        <f t="shared" si="154"/>
        <v>0.57027027027027033</v>
      </c>
      <c r="AU176" s="203">
        <f t="shared" si="155"/>
        <v>0.29729729729729731</v>
      </c>
      <c r="AV176" s="25">
        <v>36</v>
      </c>
      <c r="AW176" s="105">
        <v>0.44440000000000002</v>
      </c>
      <c r="AX176" s="105">
        <v>0.38890000000000002</v>
      </c>
      <c r="AY176" s="105">
        <v>0.27779999999999999</v>
      </c>
      <c r="AZ176" s="105">
        <v>0.22220000000000001</v>
      </c>
      <c r="BA176" s="105">
        <v>0.25</v>
      </c>
      <c r="BB176" s="26">
        <v>0.19439999999999999</v>
      </c>
      <c r="BC176" s="277">
        <v>0.1389</v>
      </c>
      <c r="BD176" s="277">
        <v>0.1111</v>
      </c>
      <c r="BE176" s="277">
        <v>2.7799999999999998E-2</v>
      </c>
      <c r="BF176" s="277">
        <v>2.7799999999999998E-2</v>
      </c>
      <c r="BG176" s="277">
        <v>2.7799999999999998E-2</v>
      </c>
      <c r="BH176" s="104">
        <f t="shared" si="156"/>
        <v>0.8751125112511251</v>
      </c>
      <c r="BI176" s="203">
        <f t="shared" si="157"/>
        <v>0.43744374437443739</v>
      </c>
      <c r="BK176" s="41"/>
      <c r="BL176" s="269">
        <v>46024</v>
      </c>
      <c r="BM176" s="200">
        <v>609</v>
      </c>
      <c r="BN176" s="105">
        <v>5.91E-2</v>
      </c>
      <c r="BO176" s="105">
        <v>2.7900000000000001E-2</v>
      </c>
      <c r="BP176" s="105">
        <v>2.63E-2</v>
      </c>
      <c r="BQ176" s="105">
        <v>2.1299999999999999E-2</v>
      </c>
      <c r="BR176" s="105">
        <v>1.8100000000000002E-2</v>
      </c>
      <c r="BS176" s="105">
        <v>2.63E-2</v>
      </c>
      <c r="BT176" s="105">
        <v>1.9699999999999999E-2</v>
      </c>
      <c r="BU176" s="105">
        <v>9.9000000000000008E-3</v>
      </c>
      <c r="BV176" s="105">
        <v>3.3E-3</v>
      </c>
      <c r="BW176" s="105">
        <v>3.3E-3</v>
      </c>
      <c r="BX176" s="105">
        <v>3.3E-3</v>
      </c>
      <c r="BY176" s="104">
        <f t="shared" si="158"/>
        <v>0.4720812182741117</v>
      </c>
      <c r="BZ176" s="104">
        <f t="shared" si="159"/>
        <v>0.44500846023688662</v>
      </c>
      <c r="CA176" s="200">
        <v>14</v>
      </c>
      <c r="CB176" s="105">
        <v>0.28570000000000001</v>
      </c>
      <c r="CC176" s="105">
        <v>0.1429</v>
      </c>
      <c r="CD176" s="105">
        <v>0.21429999999999999</v>
      </c>
      <c r="CE176" s="105">
        <v>0.1429</v>
      </c>
      <c r="CF176" s="105">
        <v>0.21429999999999999</v>
      </c>
      <c r="CG176" s="26">
        <v>0</v>
      </c>
      <c r="CH176" s="277">
        <v>0.1429</v>
      </c>
      <c r="CI176" s="277">
        <v>0</v>
      </c>
      <c r="CJ176" s="277">
        <v>0</v>
      </c>
      <c r="CK176" s="277">
        <v>0</v>
      </c>
      <c r="CL176" s="277">
        <v>0</v>
      </c>
      <c r="CM176" s="104">
        <f t="shared" si="160"/>
        <v>0.50017500875043752</v>
      </c>
      <c r="CN176" s="203">
        <f t="shared" si="161"/>
        <v>0</v>
      </c>
    </row>
    <row r="177" spans="1:92" ht="14.25" hidden="1" customHeight="1">
      <c r="B177" s="269">
        <v>46025</v>
      </c>
      <c r="C177" s="315">
        <f t="shared" si="162"/>
        <v>2266</v>
      </c>
      <c r="D177" s="105">
        <f t="shared" si="128"/>
        <v>6.7522594880847303E-2</v>
      </c>
      <c r="E177" s="105">
        <f t="shared" si="129"/>
        <v>3.4865754633715794E-2</v>
      </c>
      <c r="F177" s="105">
        <f t="shared" si="130"/>
        <v>2.9122285966460725E-2</v>
      </c>
      <c r="G177" s="105">
        <f t="shared" si="131"/>
        <v>2.7394527802294791E-2</v>
      </c>
      <c r="H177" s="105">
        <f t="shared" si="132"/>
        <v>2.0739408649602827E-2</v>
      </c>
      <c r="I177" s="105">
        <f t="shared" si="133"/>
        <v>2.0747925860547221E-2</v>
      </c>
      <c r="J177" s="105">
        <f t="shared" si="134"/>
        <v>1.3691085613415711E-2</v>
      </c>
      <c r="K177" s="105">
        <f t="shared" si="135"/>
        <v>8.8387025595763457E-3</v>
      </c>
      <c r="L177" s="105">
        <f t="shared" si="136"/>
        <v>5.7640335392762573E-3</v>
      </c>
      <c r="M177" s="105">
        <f t="shared" si="137"/>
        <v>6.1784201235657544E-3</v>
      </c>
      <c r="N177" s="105">
        <f t="shared" si="138"/>
        <v>4.0071932921447485E-3</v>
      </c>
      <c r="O177" s="104">
        <f t="shared" si="139"/>
        <v>0.51635685351312555</v>
      </c>
      <c r="P177" s="104">
        <f t="shared" si="140"/>
        <v>0.30727382289083716</v>
      </c>
      <c r="Q177" s="315">
        <f t="shared" si="163"/>
        <v>62</v>
      </c>
      <c r="R177" s="105">
        <f t="shared" si="141"/>
        <v>0.46772741935483869</v>
      </c>
      <c r="S177" s="105">
        <f t="shared" si="142"/>
        <v>0.24194193548387094</v>
      </c>
      <c r="T177" s="105">
        <f t="shared" si="143"/>
        <v>0.17741290322580647</v>
      </c>
      <c r="U177" s="105">
        <f t="shared" si="144"/>
        <v>0.11287419354838711</v>
      </c>
      <c r="V177" s="105">
        <f t="shared" si="145"/>
        <v>9.6746774193548393E-2</v>
      </c>
      <c r="W177" s="105">
        <f t="shared" si="146"/>
        <v>9.6774193548387094E-2</v>
      </c>
      <c r="X177" s="105">
        <f t="shared" si="147"/>
        <v>3.2264516129032257E-2</v>
      </c>
      <c r="Y177" s="105">
        <f t="shared" si="148"/>
        <v>4.8391935483870968E-2</v>
      </c>
      <c r="Z177" s="105">
        <f t="shared" si="149"/>
        <v>4.8391935483870968E-2</v>
      </c>
      <c r="AA177" s="105">
        <f t="shared" si="150"/>
        <v>3.2254838709677422E-2</v>
      </c>
      <c r="AB177" s="105">
        <f t="shared" si="151"/>
        <v>3.2254838709677422E-2</v>
      </c>
      <c r="AC177" s="104">
        <f t="shared" si="152"/>
        <v>0.5172712256587273</v>
      </c>
      <c r="AD177" s="203">
        <f t="shared" si="153"/>
        <v>0.20690297285088158</v>
      </c>
      <c r="AE177" s="1"/>
      <c r="AG177" s="269">
        <v>46025</v>
      </c>
      <c r="AH177" s="200">
        <v>1327</v>
      </c>
      <c r="AI177" s="105">
        <v>6.8599999999999994E-2</v>
      </c>
      <c r="AJ177" s="105">
        <v>3.4700000000000002E-2</v>
      </c>
      <c r="AK177" s="105">
        <v>2.5600000000000001E-2</v>
      </c>
      <c r="AL177" s="105">
        <v>2.64E-2</v>
      </c>
      <c r="AM177" s="105">
        <v>1.7299999999999999E-2</v>
      </c>
      <c r="AN177" s="105">
        <v>2.3400000000000001E-2</v>
      </c>
      <c r="AO177" s="105">
        <v>1.5100000000000001E-2</v>
      </c>
      <c r="AP177" s="105">
        <v>8.3000000000000001E-3</v>
      </c>
      <c r="AQ177" s="105">
        <v>6.7999999999999996E-3</v>
      </c>
      <c r="AR177" s="105">
        <v>6.7999999999999996E-3</v>
      </c>
      <c r="AS177" s="105">
        <v>3.8E-3</v>
      </c>
      <c r="AT177" s="104">
        <f t="shared" si="154"/>
        <v>0.50583090379008755</v>
      </c>
      <c r="AU177" s="203">
        <f t="shared" si="155"/>
        <v>0.34110787172011664</v>
      </c>
      <c r="AV177" s="25">
        <v>33</v>
      </c>
      <c r="AW177" s="105">
        <v>0.48480000000000001</v>
      </c>
      <c r="AX177" s="105">
        <v>0.21210000000000001</v>
      </c>
      <c r="AY177" s="105">
        <v>0.1515</v>
      </c>
      <c r="AZ177" s="105">
        <v>0.1212</v>
      </c>
      <c r="BA177" s="105">
        <v>9.0899999999999995E-2</v>
      </c>
      <c r="BB177" s="105">
        <v>0.1515</v>
      </c>
      <c r="BC177" s="277">
        <v>3.0300000000000001E-2</v>
      </c>
      <c r="BD177" s="277">
        <v>6.0600000000000001E-2</v>
      </c>
      <c r="BE177" s="277">
        <v>6.0600000000000001E-2</v>
      </c>
      <c r="BF177" s="277">
        <v>6.0600000000000001E-2</v>
      </c>
      <c r="BG177" s="277">
        <v>6.0600000000000001E-2</v>
      </c>
      <c r="BH177" s="104">
        <f t="shared" si="156"/>
        <v>0.4375</v>
      </c>
      <c r="BI177" s="203">
        <f t="shared" si="157"/>
        <v>0.3125</v>
      </c>
      <c r="BK177" s="41"/>
      <c r="BL177" s="269">
        <v>46025</v>
      </c>
      <c r="BM177" s="200">
        <v>939</v>
      </c>
      <c r="BN177" s="105">
        <v>6.6000000000000003E-2</v>
      </c>
      <c r="BO177" s="105">
        <v>3.5099999999999999E-2</v>
      </c>
      <c r="BP177" s="105">
        <v>3.4099999999999998E-2</v>
      </c>
      <c r="BQ177" s="105">
        <v>2.8799999999999999E-2</v>
      </c>
      <c r="BR177" s="105">
        <v>2.5600000000000001E-2</v>
      </c>
      <c r="BS177" s="105">
        <v>1.7000000000000001E-2</v>
      </c>
      <c r="BT177" s="105">
        <v>1.17E-2</v>
      </c>
      <c r="BU177" s="105">
        <v>9.5999999999999992E-3</v>
      </c>
      <c r="BV177" s="105">
        <v>4.3E-3</v>
      </c>
      <c r="BW177" s="105">
        <v>5.3E-3</v>
      </c>
      <c r="BX177" s="105">
        <v>4.3E-3</v>
      </c>
      <c r="BY177" s="104">
        <f t="shared" si="158"/>
        <v>0.53181818181818175</v>
      </c>
      <c r="BZ177" s="104">
        <f t="shared" si="159"/>
        <v>0.25757575757575757</v>
      </c>
      <c r="CA177" s="200">
        <v>29</v>
      </c>
      <c r="CB177" s="105">
        <v>0.44829999999999998</v>
      </c>
      <c r="CC177" s="105">
        <v>0.27589999999999998</v>
      </c>
      <c r="CD177" s="105">
        <v>0.2069</v>
      </c>
      <c r="CE177" s="105">
        <v>0.10340000000000001</v>
      </c>
      <c r="CF177" s="105">
        <v>0.10340000000000001</v>
      </c>
      <c r="CG177" s="105">
        <v>3.4500000000000003E-2</v>
      </c>
      <c r="CH177" s="277">
        <v>3.4500000000000003E-2</v>
      </c>
      <c r="CI177" s="277">
        <v>3.4500000000000003E-2</v>
      </c>
      <c r="CJ177" s="277">
        <v>3.4500000000000003E-2</v>
      </c>
      <c r="CK177" s="277">
        <v>0</v>
      </c>
      <c r="CL177" s="277">
        <v>0</v>
      </c>
      <c r="CM177" s="104">
        <f t="shared" si="160"/>
        <v>0.61543609190274373</v>
      </c>
      <c r="CN177" s="203">
        <f t="shared" si="161"/>
        <v>7.695739460182914E-2</v>
      </c>
    </row>
    <row r="178" spans="1:92" ht="14.25" hidden="1" customHeight="1">
      <c r="B178" s="269">
        <v>46026</v>
      </c>
      <c r="C178" s="315">
        <f t="shared" si="162"/>
        <v>1957</v>
      </c>
      <c r="D178" s="105">
        <f t="shared" si="128"/>
        <v>7.8666274910577427E-2</v>
      </c>
      <c r="E178" s="105">
        <f t="shared" si="129"/>
        <v>5.3652376085845686E-2</v>
      </c>
      <c r="F178" s="105">
        <f t="shared" si="130"/>
        <v>4.3438221768012264E-2</v>
      </c>
      <c r="G178" s="105">
        <f t="shared" si="131"/>
        <v>3.2693306080735819E-2</v>
      </c>
      <c r="H178" s="105">
        <f t="shared" si="132"/>
        <v>2.9122585590189064E-2</v>
      </c>
      <c r="I178" s="105">
        <f t="shared" si="133"/>
        <v>3.0124067450178843E-2</v>
      </c>
      <c r="J178" s="105">
        <f t="shared" si="134"/>
        <v>1.687097598364844E-2</v>
      </c>
      <c r="K178" s="105">
        <f t="shared" si="135"/>
        <v>1.2251609606540622E-2</v>
      </c>
      <c r="L178" s="105">
        <f t="shared" si="136"/>
        <v>6.1260602963719981E-3</v>
      </c>
      <c r="M178" s="105">
        <f t="shared" si="137"/>
        <v>6.664026571282575E-3</v>
      </c>
      <c r="N178" s="105">
        <f t="shared" si="138"/>
        <v>5.1173735309146652E-3</v>
      </c>
      <c r="O178" s="104">
        <f t="shared" si="139"/>
        <v>0.68202512635604173</v>
      </c>
      <c r="P178" s="104">
        <f t="shared" si="140"/>
        <v>0.38293496780446096</v>
      </c>
      <c r="Q178" s="315">
        <f t="shared" si="163"/>
        <v>64</v>
      </c>
      <c r="R178" s="105">
        <f t="shared" si="141"/>
        <v>0.45311875000000001</v>
      </c>
      <c r="S178" s="105">
        <f t="shared" si="142"/>
        <v>0.34371406250000003</v>
      </c>
      <c r="T178" s="105">
        <f t="shared" si="143"/>
        <v>0.28127031250000001</v>
      </c>
      <c r="U178" s="105">
        <f t="shared" si="144"/>
        <v>0.20316718749999998</v>
      </c>
      <c r="V178" s="105">
        <f t="shared" si="145"/>
        <v>0.2343734375</v>
      </c>
      <c r="W178" s="105">
        <f t="shared" si="146"/>
        <v>0.2343734375</v>
      </c>
      <c r="X178" s="105">
        <f t="shared" si="147"/>
        <v>0.15624218750000002</v>
      </c>
      <c r="Y178" s="105">
        <f t="shared" si="148"/>
        <v>0.1405875</v>
      </c>
      <c r="Z178" s="105">
        <f t="shared" si="149"/>
        <v>0.10934531250000001</v>
      </c>
      <c r="AA178" s="105">
        <f t="shared" si="150"/>
        <v>9.3757812499999996E-2</v>
      </c>
      <c r="AB178" s="105">
        <f t="shared" si="151"/>
        <v>9.3757812499999996E-2</v>
      </c>
      <c r="AC178" s="104">
        <f t="shared" si="152"/>
        <v>0.75855184209437376</v>
      </c>
      <c r="AD178" s="203">
        <f t="shared" si="153"/>
        <v>0.51724506544917859</v>
      </c>
      <c r="AE178" s="1"/>
      <c r="AG178" s="269">
        <v>46026</v>
      </c>
      <c r="AH178" s="200">
        <v>1316</v>
      </c>
      <c r="AI178" s="105">
        <v>8.43E-2</v>
      </c>
      <c r="AJ178" s="105">
        <v>5.8500000000000003E-2</v>
      </c>
      <c r="AK178" s="105">
        <v>4.5600000000000002E-2</v>
      </c>
      <c r="AL178" s="105">
        <v>3.4200000000000001E-2</v>
      </c>
      <c r="AM178" s="105">
        <v>3.04E-2</v>
      </c>
      <c r="AN178" s="105">
        <v>2.9600000000000001E-2</v>
      </c>
      <c r="AO178" s="105">
        <v>1.9E-2</v>
      </c>
      <c r="AP178" s="105">
        <v>1.14E-2</v>
      </c>
      <c r="AQ178" s="105">
        <v>7.6E-3</v>
      </c>
      <c r="AR178" s="105">
        <v>8.3999999999999995E-3</v>
      </c>
      <c r="AS178" s="105">
        <v>6.1000000000000004E-3</v>
      </c>
      <c r="AT178" s="104">
        <f t="shared" si="154"/>
        <v>0.69395017793594305</v>
      </c>
      <c r="AU178" s="203">
        <f t="shared" si="155"/>
        <v>0.35112692763938319</v>
      </c>
      <c r="AV178" s="25">
        <v>43</v>
      </c>
      <c r="AW178" s="105">
        <v>0.41860000000000003</v>
      </c>
      <c r="AX178" s="105">
        <v>0.3488</v>
      </c>
      <c r="AY178" s="105">
        <v>0.3256</v>
      </c>
      <c r="AZ178" s="105">
        <v>0.2326</v>
      </c>
      <c r="BA178" s="105">
        <v>0.25580000000000003</v>
      </c>
      <c r="BB178" s="105">
        <v>0.25580000000000003</v>
      </c>
      <c r="BC178" s="277">
        <v>0.20930000000000001</v>
      </c>
      <c r="BD178" s="277">
        <v>0.186</v>
      </c>
      <c r="BE178" s="277">
        <v>0.13950000000000001</v>
      </c>
      <c r="BF178" s="277">
        <v>0.1163</v>
      </c>
      <c r="BG178" s="277">
        <v>0.1163</v>
      </c>
      <c r="BH178" s="104">
        <f t="shared" si="156"/>
        <v>0.83325370281892019</v>
      </c>
      <c r="BI178" s="203">
        <f t="shared" si="157"/>
        <v>0.61108456760630681</v>
      </c>
      <c r="BK178" s="41"/>
      <c r="BL178" s="269">
        <v>46026</v>
      </c>
      <c r="BM178" s="200">
        <v>641</v>
      </c>
      <c r="BN178" s="105">
        <v>6.7100000000000007E-2</v>
      </c>
      <c r="BO178" s="105">
        <v>4.3700000000000003E-2</v>
      </c>
      <c r="BP178" s="105">
        <v>3.9E-2</v>
      </c>
      <c r="BQ178" s="105">
        <v>2.9600000000000001E-2</v>
      </c>
      <c r="BR178" s="105">
        <v>2.6499999999999999E-2</v>
      </c>
      <c r="BS178" s="105">
        <v>3.1199999999999999E-2</v>
      </c>
      <c r="BT178" s="105">
        <v>1.2500000000000001E-2</v>
      </c>
      <c r="BU178" s="105">
        <v>1.4E-2</v>
      </c>
      <c r="BV178" s="105">
        <v>3.0999999999999999E-3</v>
      </c>
      <c r="BW178" s="105">
        <v>3.0999999999999999E-3</v>
      </c>
      <c r="BX178" s="105">
        <v>3.0999999999999999E-3</v>
      </c>
      <c r="BY178" s="104">
        <f t="shared" si="158"/>
        <v>0.65126676602086431</v>
      </c>
      <c r="BZ178" s="104">
        <f t="shared" si="159"/>
        <v>0.46497764530551411</v>
      </c>
      <c r="CA178" s="200">
        <v>21</v>
      </c>
      <c r="CB178" s="105">
        <v>0.52380000000000004</v>
      </c>
      <c r="CC178" s="105">
        <v>0.33329999999999999</v>
      </c>
      <c r="CD178" s="105">
        <v>0.1905</v>
      </c>
      <c r="CE178" s="105">
        <v>0.1429</v>
      </c>
      <c r="CF178" s="105">
        <v>0.1905</v>
      </c>
      <c r="CG178" s="105">
        <v>0.1905</v>
      </c>
      <c r="CH178" s="277">
        <v>4.7600000000000003E-2</v>
      </c>
      <c r="CI178" s="277">
        <v>4.7600000000000003E-2</v>
      </c>
      <c r="CJ178" s="277">
        <v>4.7600000000000003E-2</v>
      </c>
      <c r="CK178" s="277">
        <v>4.7600000000000003E-2</v>
      </c>
      <c r="CL178" s="277">
        <v>4.7600000000000003E-2</v>
      </c>
      <c r="CM178" s="104">
        <f t="shared" si="160"/>
        <v>0.63631156930125998</v>
      </c>
      <c r="CN178" s="203">
        <f t="shared" si="161"/>
        <v>0.36368843069873996</v>
      </c>
    </row>
    <row r="179" spans="1:92" ht="14.25" hidden="1" customHeight="1">
      <c r="B179" s="269">
        <v>46027</v>
      </c>
      <c r="C179" s="315">
        <f t="shared" si="162"/>
        <v>2138</v>
      </c>
      <c r="D179" s="105">
        <f t="shared" si="128"/>
        <v>7.4816136576239478E-2</v>
      </c>
      <c r="E179" s="105">
        <f t="shared" si="129"/>
        <v>5.3318615528531337E-2</v>
      </c>
      <c r="F179" s="105">
        <f t="shared" si="130"/>
        <v>3.9326052385406922E-2</v>
      </c>
      <c r="G179" s="105">
        <f t="shared" si="131"/>
        <v>3.5089148737137511E-2</v>
      </c>
      <c r="H179" s="105">
        <f t="shared" si="132"/>
        <v>3.4574883068288119E-2</v>
      </c>
      <c r="I179" s="105">
        <f t="shared" si="133"/>
        <v>3.184045837231058E-2</v>
      </c>
      <c r="J179" s="105">
        <f t="shared" si="134"/>
        <v>1.5479232927970066E-2</v>
      </c>
      <c r="K179" s="105">
        <f t="shared" si="135"/>
        <v>1.1224041159962582E-2</v>
      </c>
      <c r="L179" s="105">
        <f t="shared" si="136"/>
        <v>9.376753975678203E-3</v>
      </c>
      <c r="M179" s="105">
        <f t="shared" si="137"/>
        <v>6.5448082319925164E-3</v>
      </c>
      <c r="N179" s="105">
        <f t="shared" si="138"/>
        <v>5.626052385406922E-3</v>
      </c>
      <c r="O179" s="104">
        <f t="shared" si="139"/>
        <v>0.71266197331906278</v>
      </c>
      <c r="P179" s="104">
        <f t="shared" si="140"/>
        <v>0.42558276635768771</v>
      </c>
      <c r="Q179" s="315">
        <f t="shared" si="163"/>
        <v>53</v>
      </c>
      <c r="R179" s="105">
        <f t="shared" si="141"/>
        <v>0.50943018867924528</v>
      </c>
      <c r="S179" s="105">
        <f t="shared" si="142"/>
        <v>0.39621320754716977</v>
      </c>
      <c r="T179" s="105">
        <f t="shared" si="143"/>
        <v>0.24532264150943395</v>
      </c>
      <c r="U179" s="105">
        <f t="shared" si="144"/>
        <v>0.22644716981132074</v>
      </c>
      <c r="V179" s="105">
        <f t="shared" si="145"/>
        <v>0.1887264150943396</v>
      </c>
      <c r="W179" s="105">
        <f t="shared" si="146"/>
        <v>0.16982830188679246</v>
      </c>
      <c r="X179" s="105">
        <f t="shared" si="147"/>
        <v>7.5471698113207544E-2</v>
      </c>
      <c r="Y179" s="105">
        <f t="shared" si="148"/>
        <v>7.5471698113207544E-2</v>
      </c>
      <c r="Z179" s="105">
        <f t="shared" si="149"/>
        <v>9.4369811320754712E-2</v>
      </c>
      <c r="AA179" s="105">
        <f t="shared" si="150"/>
        <v>9.4332075471698112E-2</v>
      </c>
      <c r="AB179" s="105">
        <f t="shared" si="151"/>
        <v>5.663396226415094E-2</v>
      </c>
      <c r="AC179" s="104">
        <f t="shared" si="152"/>
        <v>0.77775761301935564</v>
      </c>
      <c r="AD179" s="203">
        <f t="shared" si="153"/>
        <v>0.3333691360676746</v>
      </c>
      <c r="AE179" s="1"/>
      <c r="AG179" s="269">
        <v>46027</v>
      </c>
      <c r="AH179" s="200">
        <v>1485</v>
      </c>
      <c r="AI179" s="105">
        <v>8.0100000000000005E-2</v>
      </c>
      <c r="AJ179" s="105">
        <v>5.79E-2</v>
      </c>
      <c r="AK179" s="105">
        <v>4.1799999999999997E-2</v>
      </c>
      <c r="AL179" s="105">
        <v>3.5700000000000003E-2</v>
      </c>
      <c r="AM179" s="105">
        <v>3.4299999999999997E-2</v>
      </c>
      <c r="AN179" s="105">
        <v>2.9000000000000001E-2</v>
      </c>
      <c r="AO179" s="105">
        <v>1.89E-2</v>
      </c>
      <c r="AP179" s="105">
        <v>1.55E-2</v>
      </c>
      <c r="AQ179" s="105">
        <v>1.35E-2</v>
      </c>
      <c r="AR179" s="105">
        <v>7.4000000000000003E-3</v>
      </c>
      <c r="AS179" s="105">
        <v>8.0999999999999996E-3</v>
      </c>
      <c r="AT179" s="104">
        <f t="shared" si="154"/>
        <v>0.72284644194756553</v>
      </c>
      <c r="AU179" s="203">
        <f t="shared" si="155"/>
        <v>0.36204744069912609</v>
      </c>
      <c r="AV179" s="25">
        <v>32</v>
      </c>
      <c r="AW179" s="105">
        <v>0.5</v>
      </c>
      <c r="AX179" s="105">
        <v>0.4375</v>
      </c>
      <c r="AY179" s="105">
        <v>0.28129999999999999</v>
      </c>
      <c r="AZ179" s="105">
        <v>0.21879999999999999</v>
      </c>
      <c r="BA179" s="105">
        <v>0.21879999999999999</v>
      </c>
      <c r="BB179" s="105">
        <v>0.1875</v>
      </c>
      <c r="BC179" s="277">
        <v>0.125</v>
      </c>
      <c r="BD179" s="277">
        <v>0.125</v>
      </c>
      <c r="BE179" s="277">
        <v>0.15629999999999999</v>
      </c>
      <c r="BF179" s="277">
        <v>0.125</v>
      </c>
      <c r="BG179" s="277">
        <v>9.3799999999999994E-2</v>
      </c>
      <c r="BH179" s="104">
        <f t="shared" si="156"/>
        <v>0.875</v>
      </c>
      <c r="BI179" s="203">
        <f t="shared" si="157"/>
        <v>0.375</v>
      </c>
      <c r="BK179" s="41"/>
      <c r="BL179" s="269">
        <v>46027</v>
      </c>
      <c r="BM179" s="200">
        <v>653</v>
      </c>
      <c r="BN179" s="105">
        <v>6.2799999999999995E-2</v>
      </c>
      <c r="BO179" s="105">
        <v>4.2900000000000001E-2</v>
      </c>
      <c r="BP179" s="105">
        <v>3.3700000000000001E-2</v>
      </c>
      <c r="BQ179" s="105">
        <v>3.3700000000000001E-2</v>
      </c>
      <c r="BR179" s="105">
        <v>3.5200000000000002E-2</v>
      </c>
      <c r="BS179" s="105">
        <v>3.8300000000000001E-2</v>
      </c>
      <c r="BT179" s="105">
        <v>7.7000000000000002E-3</v>
      </c>
      <c r="BU179" s="105">
        <v>1.5E-3</v>
      </c>
      <c r="BV179" s="105">
        <v>0</v>
      </c>
      <c r="BW179" s="105">
        <v>4.5999999999999999E-3</v>
      </c>
      <c r="BX179" s="105">
        <v>0</v>
      </c>
      <c r="BY179" s="104">
        <f t="shared" si="158"/>
        <v>0.68312101910828027</v>
      </c>
      <c r="BZ179" s="104">
        <f t="shared" si="159"/>
        <v>0.60987261146496818</v>
      </c>
      <c r="CA179" s="200">
        <v>21</v>
      </c>
      <c r="CB179" s="105">
        <v>0.52380000000000004</v>
      </c>
      <c r="CC179" s="105">
        <v>0.33329999999999999</v>
      </c>
      <c r="CD179" s="105">
        <v>0.1905</v>
      </c>
      <c r="CE179" s="105">
        <v>0.23810000000000001</v>
      </c>
      <c r="CF179" s="105">
        <v>0.1429</v>
      </c>
      <c r="CG179" s="105">
        <v>0.1429</v>
      </c>
      <c r="CH179" s="277">
        <v>0</v>
      </c>
      <c r="CI179" s="277">
        <v>0</v>
      </c>
      <c r="CJ179" s="277">
        <v>0</v>
      </c>
      <c r="CK179" s="277">
        <v>4.7600000000000003E-2</v>
      </c>
      <c r="CL179" s="277">
        <v>0</v>
      </c>
      <c r="CM179" s="104">
        <f t="shared" si="160"/>
        <v>0.63631156930125998</v>
      </c>
      <c r="CN179" s="203">
        <f t="shared" si="161"/>
        <v>0.27281405116456658</v>
      </c>
    </row>
    <row r="180" spans="1:92" ht="14.25" hidden="1" customHeight="1">
      <c r="A180" s="514" t="s">
        <v>23</v>
      </c>
      <c r="B180" s="270">
        <v>46028</v>
      </c>
      <c r="C180" s="167">
        <f t="shared" si="162"/>
        <v>2772</v>
      </c>
      <c r="D180" s="105">
        <f t="shared" si="128"/>
        <v>8.1520887445887452E-2</v>
      </c>
      <c r="E180" s="105">
        <f t="shared" si="129"/>
        <v>5.8438636363636359E-2</v>
      </c>
      <c r="F180" s="105">
        <f t="shared" si="130"/>
        <v>4.764848484848485E-2</v>
      </c>
      <c r="G180" s="105">
        <f t="shared" si="131"/>
        <v>4.2592857142857141E-2</v>
      </c>
      <c r="H180" s="105">
        <f t="shared" si="132"/>
        <v>3.9340367965367967E-2</v>
      </c>
      <c r="I180" s="105">
        <f t="shared" si="133"/>
        <v>3.2136580086580088E-2</v>
      </c>
      <c r="J180" s="105">
        <f t="shared" si="134"/>
        <v>1.4777272727272727E-2</v>
      </c>
      <c r="K180" s="105">
        <f t="shared" si="135"/>
        <v>1.1187770562770562E-2</v>
      </c>
      <c r="L180" s="105">
        <f t="shared" si="136"/>
        <v>7.9389610389610388E-3</v>
      </c>
      <c r="M180" s="105">
        <f t="shared" si="137"/>
        <v>6.4928571428571431E-3</v>
      </c>
      <c r="N180" s="105">
        <f t="shared" si="138"/>
        <v>5.7566017316017324E-3</v>
      </c>
      <c r="O180" s="104">
        <f t="shared" si="139"/>
        <v>0.7168547619458534</v>
      </c>
      <c r="P180" s="104">
        <f t="shared" si="140"/>
        <v>0.39421283420046122</v>
      </c>
      <c r="Q180" s="283">
        <f t="shared" si="163"/>
        <v>79</v>
      </c>
      <c r="R180" s="105">
        <f t="shared" si="141"/>
        <v>0.48103164556962025</v>
      </c>
      <c r="S180" s="105">
        <f t="shared" si="142"/>
        <v>0.39244303797468355</v>
      </c>
      <c r="T180" s="105">
        <f t="shared" si="143"/>
        <v>0.25314936708860758</v>
      </c>
      <c r="U180" s="105">
        <f t="shared" si="144"/>
        <v>0.20253544303797469</v>
      </c>
      <c r="V180" s="105">
        <f t="shared" si="145"/>
        <v>0.17722911392405064</v>
      </c>
      <c r="W180" s="105">
        <f t="shared" si="146"/>
        <v>0.18986708860759496</v>
      </c>
      <c r="X180" s="105">
        <f t="shared" si="147"/>
        <v>6.325822784810127E-2</v>
      </c>
      <c r="Y180" s="105">
        <f t="shared" si="148"/>
        <v>5.0605063291139243E-2</v>
      </c>
      <c r="Z180" s="105">
        <f t="shared" si="149"/>
        <v>3.795949367088608E-2</v>
      </c>
      <c r="AA180" s="105">
        <f t="shared" si="150"/>
        <v>2.5306329113924053E-2</v>
      </c>
      <c r="AB180" s="105">
        <f t="shared" si="151"/>
        <v>2.5306329113924053E-2</v>
      </c>
      <c r="AC180" s="104">
        <f t="shared" si="152"/>
        <v>0.8158362169914346</v>
      </c>
      <c r="AD180" s="203">
        <f t="shared" si="153"/>
        <v>0.39470810362748843</v>
      </c>
      <c r="AE180" s="1"/>
      <c r="AF180" s="514" t="s">
        <v>23</v>
      </c>
      <c r="AG180" s="270">
        <v>46028</v>
      </c>
      <c r="AH180" s="124">
        <v>1635</v>
      </c>
      <c r="AI180" s="105">
        <v>9.6000000000000002E-2</v>
      </c>
      <c r="AJ180" s="105">
        <v>5.9299999999999999E-2</v>
      </c>
      <c r="AK180" s="105">
        <v>4.65E-2</v>
      </c>
      <c r="AL180" s="105">
        <v>4.53E-2</v>
      </c>
      <c r="AM180" s="105">
        <v>3.61E-2</v>
      </c>
      <c r="AN180" s="105">
        <v>3.5499999999999997E-2</v>
      </c>
      <c r="AO180" s="105">
        <v>1.6500000000000001E-2</v>
      </c>
      <c r="AP180" s="105">
        <v>1.41E-2</v>
      </c>
      <c r="AQ180" s="105">
        <v>1.04E-2</v>
      </c>
      <c r="AR180" s="105">
        <v>9.1999999999999998E-3</v>
      </c>
      <c r="AS180" s="105">
        <v>6.7000000000000002E-3</v>
      </c>
      <c r="AT180" s="104">
        <f t="shared" si="154"/>
        <v>0.6177083333333333</v>
      </c>
      <c r="AU180" s="203">
        <f t="shared" si="155"/>
        <v>0.36979166666666663</v>
      </c>
      <c r="AV180" s="50">
        <v>42</v>
      </c>
      <c r="AW180" s="105">
        <v>0.5</v>
      </c>
      <c r="AX180" s="105">
        <v>0.42859999999999998</v>
      </c>
      <c r="AY180" s="105">
        <v>0.28570000000000001</v>
      </c>
      <c r="AZ180" s="105">
        <v>0.33329999999999999</v>
      </c>
      <c r="BA180" s="105">
        <v>0.28570000000000001</v>
      </c>
      <c r="BB180" s="105">
        <v>0.26190000000000002</v>
      </c>
      <c r="BC180" s="277">
        <v>9.5200000000000007E-2</v>
      </c>
      <c r="BD180" s="277">
        <v>7.1400000000000005E-2</v>
      </c>
      <c r="BE180" s="277">
        <v>7.1400000000000005E-2</v>
      </c>
      <c r="BF180" s="277">
        <v>4.7600000000000003E-2</v>
      </c>
      <c r="BG180" s="277">
        <v>4.7600000000000003E-2</v>
      </c>
      <c r="BH180" s="104">
        <f t="shared" si="156"/>
        <v>0.85719999999999996</v>
      </c>
      <c r="BI180" s="203">
        <f t="shared" si="157"/>
        <v>0.52380000000000004</v>
      </c>
      <c r="BK180" s="514" t="s">
        <v>23</v>
      </c>
      <c r="BL180" s="270">
        <v>46028</v>
      </c>
      <c r="BM180" s="124">
        <v>1137</v>
      </c>
      <c r="BN180" s="105">
        <v>6.0699999999999997E-2</v>
      </c>
      <c r="BO180" s="105">
        <v>5.7200000000000001E-2</v>
      </c>
      <c r="BP180" s="105">
        <v>4.9299999999999997E-2</v>
      </c>
      <c r="BQ180" s="105">
        <v>3.8699999999999998E-2</v>
      </c>
      <c r="BR180" s="105">
        <v>4.3999999999999997E-2</v>
      </c>
      <c r="BS180" s="105">
        <v>2.7300000000000001E-2</v>
      </c>
      <c r="BT180" s="105">
        <v>1.23E-2</v>
      </c>
      <c r="BU180" s="105">
        <v>7.0000000000000001E-3</v>
      </c>
      <c r="BV180" s="105">
        <v>4.4000000000000003E-3</v>
      </c>
      <c r="BW180" s="105">
        <v>2.5999999999999999E-3</v>
      </c>
      <c r="BX180" s="105">
        <v>4.4000000000000003E-3</v>
      </c>
      <c r="BY180" s="104">
        <f t="shared" si="158"/>
        <v>0.94233937397034606</v>
      </c>
      <c r="BZ180" s="104">
        <f t="shared" si="159"/>
        <v>0.44975288303130151</v>
      </c>
      <c r="CA180" s="256">
        <v>37</v>
      </c>
      <c r="CB180" s="105">
        <v>0.45950000000000002</v>
      </c>
      <c r="CC180" s="105">
        <v>0.35139999999999999</v>
      </c>
      <c r="CD180" s="105">
        <v>0.2162</v>
      </c>
      <c r="CE180" s="105">
        <v>5.4100000000000002E-2</v>
      </c>
      <c r="CF180" s="105">
        <v>5.4100000000000002E-2</v>
      </c>
      <c r="CG180" s="105">
        <v>0.1081</v>
      </c>
      <c r="CH180" s="277">
        <v>2.7E-2</v>
      </c>
      <c r="CI180" s="277">
        <v>2.7E-2</v>
      </c>
      <c r="CJ180" s="277">
        <v>0</v>
      </c>
      <c r="CK180" s="277">
        <v>0</v>
      </c>
      <c r="CL180" s="277">
        <v>0</v>
      </c>
      <c r="CM180" s="104">
        <f t="shared" si="160"/>
        <v>0.76474428726877031</v>
      </c>
      <c r="CN180" s="203">
        <f t="shared" si="161"/>
        <v>0.23525571273122958</v>
      </c>
    </row>
    <row r="181" spans="1:92" ht="14.25" hidden="1" customHeight="1">
      <c r="A181" s="514"/>
      <c r="B181" s="270">
        <v>46029</v>
      </c>
      <c r="C181" s="167">
        <f t="shared" si="162"/>
        <v>2837</v>
      </c>
      <c r="D181" s="105">
        <f t="shared" si="128"/>
        <v>7.9330454705674999E-2</v>
      </c>
      <c r="E181" s="105">
        <f t="shared" si="129"/>
        <v>4.9670567500881203E-2</v>
      </c>
      <c r="F181" s="105">
        <f t="shared" si="130"/>
        <v>4.1252696510398305E-2</v>
      </c>
      <c r="G181" s="105">
        <f t="shared" si="131"/>
        <v>3.5912336975678534E-2</v>
      </c>
      <c r="H181" s="105">
        <f t="shared" si="132"/>
        <v>2.5349488896721888E-2</v>
      </c>
      <c r="I181" s="105">
        <f t="shared" si="133"/>
        <v>1.6539725061684878E-2</v>
      </c>
      <c r="J181" s="105">
        <f t="shared" si="134"/>
        <v>1.693598872047938E-2</v>
      </c>
      <c r="K181" s="105">
        <f t="shared" si="135"/>
        <v>6.0047585477617195E-3</v>
      </c>
      <c r="L181" s="105">
        <f t="shared" si="136"/>
        <v>6.0047585477617195E-3</v>
      </c>
      <c r="M181" s="105">
        <f t="shared" si="137"/>
        <v>5.9960169192809307E-3</v>
      </c>
      <c r="N181" s="105">
        <f t="shared" si="138"/>
        <v>4.9087416284807903E-3</v>
      </c>
      <c r="O181" s="104">
        <f t="shared" si="139"/>
        <v>0.62612230933460111</v>
      </c>
      <c r="P181" s="104">
        <f t="shared" si="140"/>
        <v>0.20849149450925419</v>
      </c>
      <c r="Q181" s="283">
        <f t="shared" si="163"/>
        <v>79</v>
      </c>
      <c r="R181" s="105">
        <f t="shared" si="141"/>
        <v>0.3544455696202532</v>
      </c>
      <c r="S181" s="105">
        <f t="shared" si="142"/>
        <v>0.25319746835443041</v>
      </c>
      <c r="T181" s="105">
        <f t="shared" si="143"/>
        <v>0.20252278481012662</v>
      </c>
      <c r="U181" s="105">
        <f t="shared" si="144"/>
        <v>0.17718607594936711</v>
      </c>
      <c r="V181" s="105">
        <f t="shared" si="145"/>
        <v>0.11395696202531645</v>
      </c>
      <c r="W181" s="105">
        <f t="shared" si="146"/>
        <v>8.8606329113924048E-2</v>
      </c>
      <c r="X181" s="105">
        <f t="shared" si="147"/>
        <v>6.3310126582278484E-2</v>
      </c>
      <c r="Y181" s="105">
        <f t="shared" si="148"/>
        <v>3.795949367088608E-2</v>
      </c>
      <c r="Z181" s="105">
        <f t="shared" si="149"/>
        <v>5.0641772151898738E-2</v>
      </c>
      <c r="AA181" s="105">
        <f t="shared" si="150"/>
        <v>6.3310126582278484E-2</v>
      </c>
      <c r="AB181" s="105">
        <f t="shared" si="151"/>
        <v>3.795949367088608E-2</v>
      </c>
      <c r="AC181" s="104">
        <f t="shared" si="152"/>
        <v>0.71434795651614935</v>
      </c>
      <c r="AD181" s="203">
        <f t="shared" si="153"/>
        <v>0.24998571489793292</v>
      </c>
      <c r="AE181" s="1"/>
      <c r="AF181" s="514"/>
      <c r="AG181" s="270">
        <v>46029</v>
      </c>
      <c r="AH181" s="124">
        <v>1630</v>
      </c>
      <c r="AI181" s="105">
        <v>7.1800000000000003E-2</v>
      </c>
      <c r="AJ181" s="105">
        <v>5.1499999999999997E-2</v>
      </c>
      <c r="AK181" s="105">
        <v>3.8699999999999998E-2</v>
      </c>
      <c r="AL181" s="105">
        <v>3.3700000000000001E-2</v>
      </c>
      <c r="AM181" s="105">
        <v>2.8199999999999999E-2</v>
      </c>
      <c r="AN181" s="105">
        <v>2.3900000000000001E-2</v>
      </c>
      <c r="AO181" s="105">
        <v>1.6E-2</v>
      </c>
      <c r="AP181" s="105">
        <v>8.6E-3</v>
      </c>
      <c r="AQ181" s="105">
        <v>8.6E-3</v>
      </c>
      <c r="AR181" s="105">
        <v>7.4000000000000003E-3</v>
      </c>
      <c r="AS181" s="105">
        <v>6.1000000000000004E-3</v>
      </c>
      <c r="AT181" s="104">
        <f t="shared" si="154"/>
        <v>0.71727019498607236</v>
      </c>
      <c r="AU181" s="203">
        <f t="shared" si="155"/>
        <v>0.33286908077994432</v>
      </c>
      <c r="AV181" s="50">
        <v>36</v>
      </c>
      <c r="AW181" s="105">
        <v>0.38890000000000002</v>
      </c>
      <c r="AX181" s="105">
        <v>0.27779999999999999</v>
      </c>
      <c r="AY181" s="105">
        <v>0.27779999999999999</v>
      </c>
      <c r="AZ181" s="105">
        <v>0.22220000000000001</v>
      </c>
      <c r="BA181" s="105">
        <v>0.16669999999999999</v>
      </c>
      <c r="BB181" s="105">
        <v>0.1389</v>
      </c>
      <c r="BC181" s="277">
        <v>0.1111</v>
      </c>
      <c r="BD181" s="277">
        <v>8.3299999999999999E-2</v>
      </c>
      <c r="BE181" s="277">
        <v>8.3299999999999999E-2</v>
      </c>
      <c r="BF181" s="277">
        <v>0.1111</v>
      </c>
      <c r="BG181" s="277">
        <v>8.3299999999999999E-2</v>
      </c>
      <c r="BH181" s="104">
        <f t="shared" si="156"/>
        <v>0.71432244793005906</v>
      </c>
      <c r="BI181" s="203">
        <f t="shared" si="157"/>
        <v>0.35716122396502953</v>
      </c>
      <c r="BK181" s="514"/>
      <c r="BL181" s="270">
        <v>46029</v>
      </c>
      <c r="BM181" s="124">
        <v>1207</v>
      </c>
      <c r="BN181" s="105">
        <v>8.9499999999999996E-2</v>
      </c>
      <c r="BO181" s="105">
        <v>4.7199999999999999E-2</v>
      </c>
      <c r="BP181" s="105">
        <v>4.4699999999999997E-2</v>
      </c>
      <c r="BQ181" s="105">
        <v>3.8899999999999997E-2</v>
      </c>
      <c r="BR181" s="105">
        <v>2.1499999999999998E-2</v>
      </c>
      <c r="BS181" s="105">
        <v>6.6E-3</v>
      </c>
      <c r="BT181" s="105">
        <v>1.8200000000000001E-2</v>
      </c>
      <c r="BU181" s="105">
        <v>2.5000000000000001E-3</v>
      </c>
      <c r="BV181" s="105">
        <v>2.5000000000000001E-3</v>
      </c>
      <c r="BW181" s="105">
        <v>4.1000000000000003E-3</v>
      </c>
      <c r="BX181" s="105">
        <v>3.3E-3</v>
      </c>
      <c r="BY181" s="104">
        <f t="shared" si="158"/>
        <v>0.52737430167597765</v>
      </c>
      <c r="BZ181" s="104">
        <f t="shared" si="159"/>
        <v>7.3743016759776542E-2</v>
      </c>
      <c r="CA181" s="256">
        <v>43</v>
      </c>
      <c r="CB181" s="105">
        <v>0.3256</v>
      </c>
      <c r="CC181" s="105">
        <v>0.2326</v>
      </c>
      <c r="CD181" s="105">
        <v>0.13950000000000001</v>
      </c>
      <c r="CE181" s="105">
        <v>0.13950000000000001</v>
      </c>
      <c r="CF181" s="105">
        <v>6.9800000000000001E-2</v>
      </c>
      <c r="CG181" s="105">
        <v>4.65E-2</v>
      </c>
      <c r="CH181" s="277">
        <v>2.3300000000000001E-2</v>
      </c>
      <c r="CI181" s="277">
        <v>0</v>
      </c>
      <c r="CJ181" s="277">
        <v>2.3300000000000001E-2</v>
      </c>
      <c r="CK181" s="277">
        <v>2.3300000000000001E-2</v>
      </c>
      <c r="CL181" s="277">
        <v>0</v>
      </c>
      <c r="CM181" s="104">
        <f t="shared" si="160"/>
        <v>0.71437346437346438</v>
      </c>
      <c r="CN181" s="203">
        <f t="shared" si="161"/>
        <v>0.14281326781326781</v>
      </c>
    </row>
    <row r="182" spans="1:92" ht="14.25" hidden="1" customHeight="1">
      <c r="A182" s="514"/>
      <c r="B182" s="270">
        <v>46030</v>
      </c>
      <c r="C182" s="167">
        <f t="shared" si="162"/>
        <v>3105</v>
      </c>
      <c r="D182" s="105">
        <f t="shared" si="128"/>
        <v>7.0213333333333336E-2</v>
      </c>
      <c r="E182" s="105">
        <f t="shared" si="129"/>
        <v>5.0860000000000002E-2</v>
      </c>
      <c r="F182" s="105">
        <f t="shared" si="130"/>
        <v>3.3493333333333333E-2</v>
      </c>
      <c r="G182" s="105">
        <f t="shared" si="131"/>
        <v>3.09E-2</v>
      </c>
      <c r="H182" s="105">
        <f t="shared" si="132"/>
        <v>2.1293333333333331E-2</v>
      </c>
      <c r="I182" s="105">
        <f t="shared" si="133"/>
        <v>2.2213333333333331E-2</v>
      </c>
      <c r="J182" s="105">
        <f t="shared" si="134"/>
        <v>1.1273333333333333E-2</v>
      </c>
      <c r="K182" s="105">
        <f t="shared" si="135"/>
        <v>5.1266666666666665E-3</v>
      </c>
      <c r="L182" s="105">
        <f t="shared" si="136"/>
        <v>4.5133333333333336E-3</v>
      </c>
      <c r="M182" s="105">
        <f t="shared" si="137"/>
        <v>3.1933333333333336E-3</v>
      </c>
      <c r="N182" s="105">
        <f t="shared" si="138"/>
        <v>2.9066666666666668E-3</v>
      </c>
      <c r="O182" s="104">
        <f t="shared" si="139"/>
        <v>0.72436384352449679</v>
      </c>
      <c r="P182" s="104">
        <f t="shared" si="140"/>
        <v>0.31636916065324722</v>
      </c>
      <c r="Q182" s="283">
        <f t="shared" si="163"/>
        <v>76</v>
      </c>
      <c r="R182" s="105">
        <f t="shared" si="141"/>
        <v>0.39477894736842106</v>
      </c>
      <c r="S182" s="105">
        <f t="shared" si="142"/>
        <v>0.19738947368421053</v>
      </c>
      <c r="T182" s="105">
        <f t="shared" si="143"/>
        <v>0.11837368421052631</v>
      </c>
      <c r="U182" s="105">
        <f t="shared" si="144"/>
        <v>0.14472368421052631</v>
      </c>
      <c r="V182" s="105">
        <f t="shared" si="145"/>
        <v>0.11841842105263159</v>
      </c>
      <c r="W182" s="105">
        <f t="shared" si="146"/>
        <v>7.8915789473684217E-2</v>
      </c>
      <c r="X182" s="105">
        <f t="shared" si="147"/>
        <v>5.2610526315789476E-2</v>
      </c>
      <c r="Y182" s="105">
        <f t="shared" si="148"/>
        <v>3.9457894736842108E-2</v>
      </c>
      <c r="Z182" s="105">
        <f t="shared" si="149"/>
        <v>3.9457894736842108E-2</v>
      </c>
      <c r="AA182" s="105">
        <f t="shared" si="150"/>
        <v>2.6305263157894738E-2</v>
      </c>
      <c r="AB182" s="105">
        <f t="shared" si="151"/>
        <v>2.6305263157894738E-2</v>
      </c>
      <c r="AC182" s="104">
        <f t="shared" si="152"/>
        <v>0.5</v>
      </c>
      <c r="AD182" s="203">
        <f t="shared" si="153"/>
        <v>0.19989867747440274</v>
      </c>
      <c r="AE182" s="1"/>
      <c r="AF182" s="514"/>
      <c r="AG182" s="270">
        <v>46030</v>
      </c>
      <c r="AH182" s="124">
        <v>1656</v>
      </c>
      <c r="AI182" s="105">
        <v>7.6700000000000004E-2</v>
      </c>
      <c r="AJ182" s="105">
        <v>4.8899999999999999E-2</v>
      </c>
      <c r="AK182" s="105">
        <v>2.7799999999999998E-2</v>
      </c>
      <c r="AL182" s="105">
        <v>3.0200000000000001E-2</v>
      </c>
      <c r="AM182" s="105">
        <v>2.5399999999999999E-2</v>
      </c>
      <c r="AN182" s="105">
        <v>2.1700000000000001E-2</v>
      </c>
      <c r="AO182" s="105">
        <v>1.5100000000000001E-2</v>
      </c>
      <c r="AP182" s="105">
        <v>4.7999999999999996E-3</v>
      </c>
      <c r="AQ182" s="105">
        <v>5.4000000000000003E-3</v>
      </c>
      <c r="AR182" s="105">
        <v>2.3999999999999998E-3</v>
      </c>
      <c r="AS182" s="105">
        <v>3.0000000000000001E-3</v>
      </c>
      <c r="AT182" s="104">
        <f t="shared" si="154"/>
        <v>0.63754889178617991</v>
      </c>
      <c r="AU182" s="203">
        <f t="shared" si="155"/>
        <v>0.28292046936114734</v>
      </c>
      <c r="AV182" s="50">
        <v>34</v>
      </c>
      <c r="AW182" s="105">
        <v>0.38240000000000002</v>
      </c>
      <c r="AX182" s="105">
        <v>0.17649999999999999</v>
      </c>
      <c r="AY182" s="105">
        <v>0.1176</v>
      </c>
      <c r="AZ182" s="105">
        <v>0.2059</v>
      </c>
      <c r="BA182" s="105">
        <v>0.17649999999999999</v>
      </c>
      <c r="BB182" s="105">
        <v>0.1176</v>
      </c>
      <c r="BC182" s="277">
        <v>8.8200000000000001E-2</v>
      </c>
      <c r="BD182" s="277">
        <v>5.8799999999999998E-2</v>
      </c>
      <c r="BE182" s="277">
        <v>5.8799999999999998E-2</v>
      </c>
      <c r="BF182" s="277">
        <v>2.9399999999999999E-2</v>
      </c>
      <c r="BG182" s="277">
        <v>2.9399999999999999E-2</v>
      </c>
      <c r="BH182" s="104">
        <f t="shared" si="156"/>
        <v>0.46155857740585771</v>
      </c>
      <c r="BI182" s="203">
        <f t="shared" si="157"/>
        <v>0.30753138075313807</v>
      </c>
      <c r="BK182" s="514"/>
      <c r="BL182" s="270">
        <v>46030</v>
      </c>
      <c r="BM182" s="124">
        <v>1449</v>
      </c>
      <c r="BN182" s="105">
        <v>6.2799999999999995E-2</v>
      </c>
      <c r="BO182" s="105">
        <v>5.3100000000000001E-2</v>
      </c>
      <c r="BP182" s="105">
        <v>0.04</v>
      </c>
      <c r="BQ182" s="105">
        <v>3.1699999999999999E-2</v>
      </c>
      <c r="BR182" s="105">
        <v>1.66E-2</v>
      </c>
      <c r="BS182" s="105">
        <v>2.2800000000000001E-2</v>
      </c>
      <c r="BT182" s="105">
        <v>6.8999999999999999E-3</v>
      </c>
      <c r="BU182" s="105">
        <v>5.4999999999999997E-3</v>
      </c>
      <c r="BV182" s="105">
        <v>3.5000000000000001E-3</v>
      </c>
      <c r="BW182" s="105">
        <v>4.1000000000000003E-3</v>
      </c>
      <c r="BX182" s="105">
        <v>2.8E-3</v>
      </c>
      <c r="BY182" s="104">
        <f t="shared" si="158"/>
        <v>0.84554140127388544</v>
      </c>
      <c r="BZ182" s="104">
        <f t="shared" si="159"/>
        <v>0.36305732484076436</v>
      </c>
      <c r="CA182" s="256">
        <v>42</v>
      </c>
      <c r="CB182" s="105">
        <v>0.40479999999999999</v>
      </c>
      <c r="CC182" s="105">
        <v>0.21429999999999999</v>
      </c>
      <c r="CD182" s="105">
        <v>0.11899999999999999</v>
      </c>
      <c r="CE182" s="105">
        <v>9.5200000000000007E-2</v>
      </c>
      <c r="CF182" s="105">
        <v>7.1400000000000005E-2</v>
      </c>
      <c r="CG182" s="105">
        <v>4.7600000000000003E-2</v>
      </c>
      <c r="CH182" s="277">
        <v>2.3800000000000002E-2</v>
      </c>
      <c r="CI182" s="277">
        <v>2.3800000000000002E-2</v>
      </c>
      <c r="CJ182" s="277">
        <v>2.3800000000000002E-2</v>
      </c>
      <c r="CK182" s="277">
        <v>2.3800000000000002E-2</v>
      </c>
      <c r="CL182" s="277">
        <v>2.3800000000000002E-2</v>
      </c>
      <c r="CM182" s="104">
        <f t="shared" si="160"/>
        <v>0.52939723320158105</v>
      </c>
      <c r="CN182" s="203">
        <f t="shared" si="161"/>
        <v>0.11758893280632413</v>
      </c>
    </row>
    <row r="183" spans="1:92" ht="14.25" hidden="1" customHeight="1">
      <c r="A183" s="514"/>
      <c r="B183" s="270">
        <v>46031</v>
      </c>
      <c r="C183" s="167">
        <f t="shared" si="162"/>
        <v>3348</v>
      </c>
      <c r="D183" s="105">
        <f t="shared" si="128"/>
        <v>8.4489904420549586E-2</v>
      </c>
      <c r="E183" s="105">
        <f t="shared" si="129"/>
        <v>4.4520639187574665E-2</v>
      </c>
      <c r="F183" s="105">
        <f t="shared" si="130"/>
        <v>2.773560334528076E-2</v>
      </c>
      <c r="G183" s="105">
        <f t="shared" si="131"/>
        <v>1.9725507765830347E-2</v>
      </c>
      <c r="H183" s="105">
        <f t="shared" si="132"/>
        <v>1.8548805256869774E-2</v>
      </c>
      <c r="I183" s="105">
        <f t="shared" si="133"/>
        <v>1.8246146953405019E-2</v>
      </c>
      <c r="J183" s="105">
        <f t="shared" si="134"/>
        <v>1.0784767025089605E-2</v>
      </c>
      <c r="K183" s="105">
        <f t="shared" si="135"/>
        <v>4.7511947431302269E-3</v>
      </c>
      <c r="L183" s="105">
        <f t="shared" si="136"/>
        <v>4.7666069295101551E-3</v>
      </c>
      <c r="M183" s="105">
        <f t="shared" si="137"/>
        <v>2.694772998805257E-3</v>
      </c>
      <c r="N183" s="105">
        <f t="shared" si="138"/>
        <v>3.6128434886499405E-3</v>
      </c>
      <c r="O183" s="104">
        <f t="shared" si="139"/>
        <v>0.52693442480385122</v>
      </c>
      <c r="P183" s="104">
        <f t="shared" si="140"/>
        <v>0.21595653443498514</v>
      </c>
      <c r="Q183" s="283">
        <f t="shared" si="163"/>
        <v>68</v>
      </c>
      <c r="R183" s="105">
        <f t="shared" si="141"/>
        <v>0.35294705882352939</v>
      </c>
      <c r="S183" s="105">
        <f t="shared" si="142"/>
        <v>0.17648823529411767</v>
      </c>
      <c r="T183" s="105">
        <f t="shared" si="143"/>
        <v>0.14708823529411763</v>
      </c>
      <c r="U183" s="105">
        <f t="shared" si="144"/>
        <v>0.14708823529411763</v>
      </c>
      <c r="V183" s="105">
        <f t="shared" si="145"/>
        <v>7.3576470588235285E-2</v>
      </c>
      <c r="W183" s="105">
        <f t="shared" si="146"/>
        <v>7.351176470588236E-2</v>
      </c>
      <c r="X183" s="105">
        <f t="shared" si="147"/>
        <v>7.351176470588236E-2</v>
      </c>
      <c r="Y183" s="105">
        <f t="shared" si="148"/>
        <v>5.8858823529411762E-2</v>
      </c>
      <c r="Z183" s="105">
        <f t="shared" si="149"/>
        <v>4.4129411764705882E-2</v>
      </c>
      <c r="AA183" s="105">
        <f t="shared" si="150"/>
        <v>4.4141176470588232E-2</v>
      </c>
      <c r="AB183" s="105">
        <f t="shared" si="151"/>
        <v>1.4729411764705883E-2</v>
      </c>
      <c r="AC183" s="104">
        <f t="shared" si="152"/>
        <v>0.50004166597223387</v>
      </c>
      <c r="AD183" s="203">
        <f t="shared" si="153"/>
        <v>0.2082798620023</v>
      </c>
      <c r="AE183" s="1"/>
      <c r="AF183" s="514"/>
      <c r="AG183" s="270">
        <v>46031</v>
      </c>
      <c r="AH183" s="124">
        <v>1631</v>
      </c>
      <c r="AI183" s="105">
        <v>8.09E-2</v>
      </c>
      <c r="AJ183" s="105">
        <v>4.1700000000000001E-2</v>
      </c>
      <c r="AK183" s="105">
        <v>3.4299999999999997E-2</v>
      </c>
      <c r="AL183" s="105">
        <v>2.2700000000000001E-2</v>
      </c>
      <c r="AM183" s="105">
        <v>1.66E-2</v>
      </c>
      <c r="AN183" s="105">
        <v>1.84E-2</v>
      </c>
      <c r="AO183" s="105">
        <v>7.4000000000000003E-3</v>
      </c>
      <c r="AP183" s="105">
        <v>6.7000000000000002E-3</v>
      </c>
      <c r="AQ183" s="105">
        <v>6.1000000000000004E-3</v>
      </c>
      <c r="AR183" s="105">
        <v>4.8999999999999998E-3</v>
      </c>
      <c r="AS183" s="105">
        <v>3.0999999999999999E-3</v>
      </c>
      <c r="AT183" s="104">
        <f t="shared" si="154"/>
        <v>0.51545117428924603</v>
      </c>
      <c r="AU183" s="203">
        <f t="shared" si="155"/>
        <v>0.22744128553770085</v>
      </c>
      <c r="AV183" s="50">
        <v>32</v>
      </c>
      <c r="AW183" s="105">
        <v>0.3125</v>
      </c>
      <c r="AX183" s="105">
        <v>0.1875</v>
      </c>
      <c r="AY183" s="105">
        <v>0.15629999999999999</v>
      </c>
      <c r="AZ183" s="105">
        <v>0.15629999999999999</v>
      </c>
      <c r="BA183" s="105">
        <v>9.3799999999999994E-2</v>
      </c>
      <c r="BB183" s="105">
        <v>6.25E-2</v>
      </c>
      <c r="BC183" s="277">
        <v>6.25E-2</v>
      </c>
      <c r="BD183" s="277">
        <v>9.3799999999999994E-2</v>
      </c>
      <c r="BE183" s="277">
        <v>6.25E-2</v>
      </c>
      <c r="BF183" s="277">
        <v>9.3799999999999994E-2</v>
      </c>
      <c r="BG183" s="277">
        <v>3.1300000000000001E-2</v>
      </c>
      <c r="BH183" s="104">
        <f t="shared" si="156"/>
        <v>0.6</v>
      </c>
      <c r="BI183" s="203">
        <f t="shared" si="157"/>
        <v>0.2</v>
      </c>
      <c r="BK183" s="514"/>
      <c r="BL183" s="270">
        <v>46031</v>
      </c>
      <c r="BM183" s="124">
        <v>1717</v>
      </c>
      <c r="BN183" s="105">
        <v>8.7900000000000006E-2</v>
      </c>
      <c r="BO183" s="105">
        <v>4.7199999999999999E-2</v>
      </c>
      <c r="BP183" s="105">
        <v>2.1499999999999998E-2</v>
      </c>
      <c r="BQ183" s="105">
        <v>1.6899999999999998E-2</v>
      </c>
      <c r="BR183" s="105">
        <v>2.0400000000000001E-2</v>
      </c>
      <c r="BS183" s="105">
        <v>1.8100000000000002E-2</v>
      </c>
      <c r="BT183" s="105">
        <v>1.4E-2</v>
      </c>
      <c r="BU183" s="105">
        <v>2.8999999999999998E-3</v>
      </c>
      <c r="BV183" s="105">
        <v>3.5000000000000001E-3</v>
      </c>
      <c r="BW183" s="105">
        <v>5.9999999999999995E-4</v>
      </c>
      <c r="BX183" s="105">
        <v>4.1000000000000003E-3</v>
      </c>
      <c r="BY183" s="104">
        <f t="shared" si="158"/>
        <v>0.53697383390216147</v>
      </c>
      <c r="BZ183" s="104">
        <f t="shared" si="159"/>
        <v>0.20591581342434584</v>
      </c>
      <c r="CA183" s="256">
        <v>36</v>
      </c>
      <c r="CB183" s="105">
        <v>0.38890000000000002</v>
      </c>
      <c r="CC183" s="105">
        <v>0.16669999999999999</v>
      </c>
      <c r="CD183" s="105">
        <v>0.1389</v>
      </c>
      <c r="CE183" s="105">
        <v>0.1389</v>
      </c>
      <c r="CF183" s="105">
        <v>5.5599999999999997E-2</v>
      </c>
      <c r="CG183" s="105">
        <v>8.3299999999999999E-2</v>
      </c>
      <c r="CH183" s="277">
        <v>8.3299999999999999E-2</v>
      </c>
      <c r="CI183" s="277">
        <v>2.7799999999999998E-2</v>
      </c>
      <c r="CJ183" s="277">
        <v>2.7799999999999998E-2</v>
      </c>
      <c r="CK183" s="277">
        <v>0</v>
      </c>
      <c r="CL183" s="277">
        <v>0</v>
      </c>
      <c r="CM183" s="104">
        <f t="shared" si="160"/>
        <v>0.42864489586011822</v>
      </c>
      <c r="CN183" s="203">
        <f t="shared" si="161"/>
        <v>0.21419388017485214</v>
      </c>
    </row>
    <row r="184" spans="1:92" ht="14.25" hidden="1" customHeight="1">
      <c r="A184" s="514"/>
      <c r="B184" s="270">
        <v>46032</v>
      </c>
      <c r="C184" s="167">
        <f t="shared" si="162"/>
        <v>4285</v>
      </c>
      <c r="D184" s="105">
        <f t="shared" si="128"/>
        <v>6.6516499416569425E-2</v>
      </c>
      <c r="E184" s="105">
        <f t="shared" si="129"/>
        <v>3.4543267211201864E-2</v>
      </c>
      <c r="F184" s="105">
        <f t="shared" si="130"/>
        <v>2.1906651108518086E-2</v>
      </c>
      <c r="G184" s="105">
        <f t="shared" si="131"/>
        <v>2.5160606767794632E-2</v>
      </c>
      <c r="H184" s="105">
        <f t="shared" si="132"/>
        <v>2.3314142357059506E-2</v>
      </c>
      <c r="I184" s="105">
        <f t="shared" si="133"/>
        <v>1.9646044340723454E-2</v>
      </c>
      <c r="J184" s="105">
        <f t="shared" si="134"/>
        <v>9.5680980163360581E-3</v>
      </c>
      <c r="K184" s="105">
        <f t="shared" si="135"/>
        <v>5.8291248541423573E-3</v>
      </c>
      <c r="L184" s="105">
        <f t="shared" si="136"/>
        <v>3.5047141190198369E-3</v>
      </c>
      <c r="M184" s="105">
        <f t="shared" si="137"/>
        <v>3.2803033838973163E-3</v>
      </c>
      <c r="N184" s="105">
        <f t="shared" si="138"/>
        <v>2.1049241540256709E-3</v>
      </c>
      <c r="O184" s="104">
        <f t="shared" si="139"/>
        <v>0.51931877826085737</v>
      </c>
      <c r="P184" s="104">
        <f t="shared" si="140"/>
        <v>0.29535595698876443</v>
      </c>
      <c r="Q184" s="283">
        <f t="shared" si="163"/>
        <v>109</v>
      </c>
      <c r="R184" s="105">
        <f t="shared" si="141"/>
        <v>0.40368623853211011</v>
      </c>
      <c r="S184" s="105">
        <f t="shared" si="142"/>
        <v>0.24770733944954129</v>
      </c>
      <c r="T184" s="105">
        <f t="shared" si="143"/>
        <v>0.19266146788990826</v>
      </c>
      <c r="U184" s="105">
        <f t="shared" si="144"/>
        <v>0.17432018348623854</v>
      </c>
      <c r="V184" s="105">
        <f t="shared" si="145"/>
        <v>0.16516055045871561</v>
      </c>
      <c r="W184" s="105">
        <f t="shared" si="146"/>
        <v>0.1376045871559633</v>
      </c>
      <c r="X184" s="105">
        <f t="shared" si="147"/>
        <v>7.337614678899082E-2</v>
      </c>
      <c r="Y184" s="105">
        <f t="shared" si="148"/>
        <v>4.5864220183486237E-2</v>
      </c>
      <c r="Z184" s="105">
        <f t="shared" si="149"/>
        <v>2.7533944954128441E-2</v>
      </c>
      <c r="AA184" s="105">
        <f t="shared" si="150"/>
        <v>9.1706422018348627E-3</v>
      </c>
      <c r="AB184" s="105">
        <f t="shared" si="151"/>
        <v>1.8363302752293576E-2</v>
      </c>
      <c r="AC184" s="104">
        <f t="shared" si="152"/>
        <v>0.61361353399179119</v>
      </c>
      <c r="AD184" s="203">
        <f t="shared" si="153"/>
        <v>0.34087014622129092</v>
      </c>
      <c r="AE184" s="1"/>
      <c r="AF184" s="514"/>
      <c r="AG184" s="270">
        <v>46032</v>
      </c>
      <c r="AH184" s="124">
        <v>1881</v>
      </c>
      <c r="AI184" s="105">
        <v>7.2800000000000004E-2</v>
      </c>
      <c r="AJ184" s="105">
        <v>4.1500000000000002E-2</v>
      </c>
      <c r="AK184" s="105">
        <v>2.92E-2</v>
      </c>
      <c r="AL184" s="105">
        <v>2.92E-2</v>
      </c>
      <c r="AM184" s="105">
        <v>2.87E-2</v>
      </c>
      <c r="AN184" s="105">
        <v>2.29E-2</v>
      </c>
      <c r="AO184" s="105">
        <v>1.17E-2</v>
      </c>
      <c r="AP184" s="105">
        <v>7.4000000000000003E-3</v>
      </c>
      <c r="AQ184" s="105">
        <v>5.3E-3</v>
      </c>
      <c r="AR184" s="105">
        <v>5.3E-3</v>
      </c>
      <c r="AS184" s="105">
        <v>1.6000000000000001E-3</v>
      </c>
      <c r="AT184" s="104">
        <f t="shared" si="154"/>
        <v>0.57005494505494503</v>
      </c>
      <c r="AU184" s="203">
        <f t="shared" si="155"/>
        <v>0.31456043956043955</v>
      </c>
      <c r="AV184" s="50">
        <v>49</v>
      </c>
      <c r="AW184" s="105">
        <v>0.51019999999999999</v>
      </c>
      <c r="AX184" s="105">
        <v>0.34689999999999999</v>
      </c>
      <c r="AY184" s="105">
        <v>0.24490000000000001</v>
      </c>
      <c r="AZ184" s="105">
        <v>0.2041</v>
      </c>
      <c r="BA184" s="105">
        <v>0.22450000000000001</v>
      </c>
      <c r="BB184" s="105">
        <v>0.2041</v>
      </c>
      <c r="BC184" s="277">
        <v>0.10199999999999999</v>
      </c>
      <c r="BD184" s="277">
        <v>4.0800000000000003E-2</v>
      </c>
      <c r="BE184" s="277">
        <v>4.0800000000000003E-2</v>
      </c>
      <c r="BF184" s="277">
        <v>2.0400000000000001E-2</v>
      </c>
      <c r="BG184" s="277">
        <v>2.0400000000000001E-2</v>
      </c>
      <c r="BH184" s="104">
        <f t="shared" si="156"/>
        <v>0.67992943943551543</v>
      </c>
      <c r="BI184" s="203">
        <f t="shared" si="157"/>
        <v>0.40003920031360252</v>
      </c>
      <c r="BK184" s="514"/>
      <c r="BL184" s="270">
        <v>46032</v>
      </c>
      <c r="BM184" s="124">
        <v>2404</v>
      </c>
      <c r="BN184" s="105">
        <v>6.1600000000000002E-2</v>
      </c>
      <c r="BO184" s="105">
        <v>2.9100000000000001E-2</v>
      </c>
      <c r="BP184" s="105">
        <v>1.6199999999999999E-2</v>
      </c>
      <c r="BQ184" s="105">
        <v>2.1999999999999999E-2</v>
      </c>
      <c r="BR184" s="105">
        <v>1.9099999999999999E-2</v>
      </c>
      <c r="BS184" s="105">
        <v>1.7100000000000001E-2</v>
      </c>
      <c r="BT184" s="105">
        <v>7.9000000000000008E-3</v>
      </c>
      <c r="BU184" s="105">
        <v>4.5999999999999999E-3</v>
      </c>
      <c r="BV184" s="105">
        <v>2.0999999999999999E-3</v>
      </c>
      <c r="BW184" s="105">
        <v>1.6999999999999999E-3</v>
      </c>
      <c r="BX184" s="105">
        <v>2.5000000000000001E-3</v>
      </c>
      <c r="BY184" s="104">
        <f t="shared" si="158"/>
        <v>0.47240259740259738</v>
      </c>
      <c r="BZ184" s="104">
        <f t="shared" si="159"/>
        <v>0.27759740259740262</v>
      </c>
      <c r="CA184" s="256">
        <v>60</v>
      </c>
      <c r="CB184" s="105">
        <v>0.31669999999999998</v>
      </c>
      <c r="CC184" s="105">
        <v>0.16669999999999999</v>
      </c>
      <c r="CD184" s="105">
        <v>0.15</v>
      </c>
      <c r="CE184" s="105">
        <v>0.15</v>
      </c>
      <c r="CF184" s="105">
        <v>0.1167</v>
      </c>
      <c r="CG184" s="105">
        <v>8.3299999999999999E-2</v>
      </c>
      <c r="CH184" s="277">
        <v>0.05</v>
      </c>
      <c r="CI184" s="277">
        <v>0.05</v>
      </c>
      <c r="CJ184" s="277">
        <v>1.67E-2</v>
      </c>
      <c r="CK184" s="277">
        <v>0</v>
      </c>
      <c r="CL184" s="277">
        <v>1.67E-2</v>
      </c>
      <c r="CM184" s="104">
        <f t="shared" si="160"/>
        <v>0.52636564572150302</v>
      </c>
      <c r="CN184" s="203">
        <f t="shared" si="161"/>
        <v>0.2630249447426587</v>
      </c>
    </row>
    <row r="185" spans="1:92" ht="14.25" hidden="1" customHeight="1">
      <c r="A185" s="514"/>
      <c r="B185" s="270">
        <v>46033</v>
      </c>
      <c r="C185" s="167">
        <f t="shared" si="162"/>
        <v>3749</v>
      </c>
      <c r="D185" s="105">
        <f t="shared" ref="D185:D200" si="164">($AH185*AI185+$BM185*BN185)/$C185</f>
        <v>5.8913656975193386E-2</v>
      </c>
      <c r="E185" s="105">
        <f t="shared" ref="E185:E200" si="165">($AH185*AJ185+$BM185*BO185)/$C185</f>
        <v>2.8799653240864229E-2</v>
      </c>
      <c r="F185" s="105">
        <f t="shared" ref="F185:F200" si="166">($AH185*AK185+$BM185*BP185)/$C185</f>
        <v>2.8025446785809552E-2</v>
      </c>
      <c r="G185" s="105">
        <f t="shared" ref="G185:G200" si="167">($AH185*AL185+$BM185*BQ185)/$C185</f>
        <v>2.1628861029607895E-2</v>
      </c>
      <c r="H185" s="105">
        <f t="shared" ref="H185:H200" si="168">($AH185*AM185+$BM185*BR185)/$C185</f>
        <v>2.3230568151507071E-2</v>
      </c>
      <c r="I185" s="105">
        <f t="shared" ref="I185:I200" si="169">($AH185*AN185+$BM185*BS185)/$C185</f>
        <v>2.0793678314217124E-2</v>
      </c>
      <c r="J185" s="105">
        <f t="shared" ref="J185:J200" si="170">($AH185*AO185+$BM185*BT185)/$C185</f>
        <v>1.0160202720725526E-2</v>
      </c>
      <c r="K185" s="105">
        <f t="shared" ref="K185:K200" si="171">($AH185*AP185+$BM185*BU185)/$C185</f>
        <v>7.4826620432115239E-3</v>
      </c>
      <c r="L185" s="105">
        <f t="shared" ref="L185:L200" si="172">($AH185*AQ185+$BM185*BV185)/$C185</f>
        <v>5.0483328887703386E-3</v>
      </c>
      <c r="M185" s="105">
        <f t="shared" ref="M185:M200" si="173">($AH185*AR185+$BM185*BW185)/$C185</f>
        <v>4.0148572952787408E-3</v>
      </c>
      <c r="N185" s="105" t="s">
        <v>22</v>
      </c>
      <c r="O185" s="104">
        <f t="shared" si="139"/>
        <v>0.48884511197447517</v>
      </c>
      <c r="P185" s="104">
        <f t="shared" si="140"/>
        <v>0.35295174976105559</v>
      </c>
      <c r="Q185" s="283">
        <f t="shared" si="163"/>
        <v>92</v>
      </c>
      <c r="R185" s="105">
        <f t="shared" ref="R185:R200" si="174">($AV185*AW185+$CA185*CB185)/$Q185</f>
        <v>0.35871304347826083</v>
      </c>
      <c r="S185" s="105">
        <f t="shared" ref="S185:S200" si="175">($AV185*AX185+$CA185*CC185)/$Q185</f>
        <v>0.20649565217391302</v>
      </c>
      <c r="T185" s="105">
        <f t="shared" ref="T185:T200" si="176">($AV185*AY185+$CA185*CD185)/$Q185</f>
        <v>0.1413304347826087</v>
      </c>
      <c r="U185" s="105">
        <f t="shared" ref="U185:U200" si="177">($AV185*AZ185+$CA185*CE185)/$Q185</f>
        <v>8.6960869565217383E-2</v>
      </c>
      <c r="V185" s="105">
        <f t="shared" ref="V185:V200" si="178">($AV185*BA185+$CA185*CF185)/$Q185</f>
        <v>7.6108695652173916E-2</v>
      </c>
      <c r="W185" s="105">
        <f t="shared" ref="W185:W200" si="179">($AV185*BB185+$CA185*CG185)/$Q185</f>
        <v>6.5239130434782605E-2</v>
      </c>
      <c r="X185" s="105">
        <f t="shared" ref="X185:X200" si="180">($AV185*BC185+$CA185*CH185)/$Q185</f>
        <v>6.5239130434782605E-2</v>
      </c>
      <c r="Y185" s="105">
        <f t="shared" ref="Y185:Y200" si="181">($AV185*BD185+$CA185*CI185)/$Q185</f>
        <v>4.3478260869565216E-2</v>
      </c>
      <c r="Z185" s="105">
        <f t="shared" ref="Z185:Z200" si="182">($AV185*BE185+$CA185*CJ185)/$Q185</f>
        <v>3.2608695652173912E-2</v>
      </c>
      <c r="AA185" s="105">
        <f t="shared" ref="AA185:AA200" si="183">($AV185*BF185+$CA185*CK185)/$Q185</f>
        <v>3.2608695652173912E-2</v>
      </c>
      <c r="AB185" s="105" t="s">
        <v>22</v>
      </c>
      <c r="AC185" s="104">
        <f t="shared" si="152"/>
        <v>0.57565693784543781</v>
      </c>
      <c r="AD185" s="203">
        <f t="shared" si="153"/>
        <v>0.18186996994085136</v>
      </c>
      <c r="AE185" s="1"/>
      <c r="AF185" s="514"/>
      <c r="AG185" s="270">
        <v>46033</v>
      </c>
      <c r="AH185" s="124">
        <v>1668</v>
      </c>
      <c r="AI185" s="105">
        <v>7.4899999999999994E-2</v>
      </c>
      <c r="AJ185" s="105">
        <v>4.1399999999999999E-2</v>
      </c>
      <c r="AK185" s="105">
        <v>3.1800000000000002E-2</v>
      </c>
      <c r="AL185" s="105">
        <v>2.9399999999999999E-2</v>
      </c>
      <c r="AM185" s="105">
        <v>3.3000000000000002E-2</v>
      </c>
      <c r="AN185" s="105">
        <v>2.64E-2</v>
      </c>
      <c r="AO185" s="105">
        <v>1.5599999999999999E-2</v>
      </c>
      <c r="AP185" s="105">
        <v>1.32E-2</v>
      </c>
      <c r="AQ185" s="105">
        <v>9.5999999999999992E-3</v>
      </c>
      <c r="AR185" s="105">
        <v>8.3999999999999995E-3</v>
      </c>
      <c r="AS185" s="105" t="s">
        <v>22</v>
      </c>
      <c r="AT185" s="104">
        <f t="shared" si="154"/>
        <v>0.55273698264352478</v>
      </c>
      <c r="AU185" s="203">
        <f t="shared" si="155"/>
        <v>0.35246995994659547</v>
      </c>
      <c r="AV185" s="50">
        <v>40</v>
      </c>
      <c r="AW185" s="105">
        <v>0.52500000000000002</v>
      </c>
      <c r="AX185" s="105">
        <v>0.27500000000000002</v>
      </c>
      <c r="AY185" s="105">
        <v>0.2</v>
      </c>
      <c r="AZ185" s="105">
        <v>0.125</v>
      </c>
      <c r="BA185" s="105">
        <v>0.125</v>
      </c>
      <c r="BB185" s="105">
        <v>0.1</v>
      </c>
      <c r="BC185" s="277">
        <v>0.1</v>
      </c>
      <c r="BD185" s="277">
        <v>0.1</v>
      </c>
      <c r="BE185" s="277">
        <v>7.4999999999999997E-2</v>
      </c>
      <c r="BF185" s="277">
        <v>7.4999999999999997E-2</v>
      </c>
      <c r="BG185" s="277" t="s">
        <v>22</v>
      </c>
      <c r="BH185" s="104">
        <f t="shared" si="156"/>
        <v>0.52380952380952384</v>
      </c>
      <c r="BI185" s="203">
        <f t="shared" si="157"/>
        <v>0.19047619047619047</v>
      </c>
      <c r="BK185" s="514"/>
      <c r="BL185" s="270">
        <v>46033</v>
      </c>
      <c r="BM185" s="124">
        <v>2081</v>
      </c>
      <c r="BN185" s="105">
        <v>4.6100000000000002E-2</v>
      </c>
      <c r="BO185" s="105">
        <v>1.8700000000000001E-2</v>
      </c>
      <c r="BP185" s="105">
        <v>2.5000000000000001E-2</v>
      </c>
      <c r="BQ185" s="105">
        <v>1.54E-2</v>
      </c>
      <c r="BR185" s="105">
        <v>1.54E-2</v>
      </c>
      <c r="BS185" s="105">
        <v>1.6299999999999999E-2</v>
      </c>
      <c r="BT185" s="105">
        <v>5.7999999999999996E-3</v>
      </c>
      <c r="BU185" s="105">
        <v>2.8999999999999998E-3</v>
      </c>
      <c r="BV185" s="105">
        <v>1.4E-3</v>
      </c>
      <c r="BW185" s="105">
        <v>5.0000000000000001E-4</v>
      </c>
      <c r="BX185" s="105" t="s">
        <v>22</v>
      </c>
      <c r="BY185" s="104">
        <f t="shared" si="158"/>
        <v>0.40563991323210413</v>
      </c>
      <c r="BZ185" s="104">
        <f t="shared" si="159"/>
        <v>0.35357917570498909</v>
      </c>
      <c r="CA185" s="256">
        <v>52</v>
      </c>
      <c r="CB185" s="105">
        <v>0.23080000000000001</v>
      </c>
      <c r="CC185" s="105">
        <v>0.15379999999999999</v>
      </c>
      <c r="CD185" s="105">
        <v>9.6199999999999994E-2</v>
      </c>
      <c r="CE185" s="105">
        <v>5.7700000000000001E-2</v>
      </c>
      <c r="CF185" s="105">
        <v>3.85E-2</v>
      </c>
      <c r="CG185" s="105">
        <v>3.85E-2</v>
      </c>
      <c r="CH185" s="277">
        <v>3.85E-2</v>
      </c>
      <c r="CI185" s="277">
        <v>0</v>
      </c>
      <c r="CJ185" s="277">
        <v>0</v>
      </c>
      <c r="CK185" s="277">
        <v>0</v>
      </c>
      <c r="CL185" s="277" t="s">
        <v>22</v>
      </c>
      <c r="CM185" s="104">
        <f t="shared" si="160"/>
        <v>0.66637781629116111</v>
      </c>
      <c r="CN185" s="203">
        <f t="shared" si="161"/>
        <v>0.16681109185441939</v>
      </c>
    </row>
    <row r="186" spans="1:92" ht="14.25" hidden="1" customHeight="1">
      <c r="A186" s="514"/>
      <c r="B186" s="270">
        <v>46034</v>
      </c>
      <c r="C186" s="167">
        <f t="shared" si="162"/>
        <v>2560</v>
      </c>
      <c r="D186" s="105">
        <f t="shared" si="164"/>
        <v>7.2689375000000014E-2</v>
      </c>
      <c r="E186" s="105">
        <f t="shared" si="165"/>
        <v>4.1431875E-2</v>
      </c>
      <c r="F186" s="105">
        <f t="shared" si="166"/>
        <v>3.6724374999999997E-2</v>
      </c>
      <c r="G186" s="105">
        <f t="shared" si="167"/>
        <v>3.0498437500000003E-2</v>
      </c>
      <c r="H186" s="105">
        <f t="shared" si="168"/>
        <v>2.6532187500000005E-2</v>
      </c>
      <c r="I186" s="105">
        <f t="shared" si="169"/>
        <v>2.3016249999999999E-2</v>
      </c>
      <c r="J186" s="105">
        <f t="shared" si="170"/>
        <v>1.6031562500000002E-2</v>
      </c>
      <c r="K186" s="105">
        <f t="shared" si="171"/>
        <v>9.3781249999999993E-3</v>
      </c>
      <c r="L186" s="105">
        <f t="shared" si="172"/>
        <v>6.2356249999999998E-3</v>
      </c>
      <c r="M186" s="105">
        <f t="shared" si="173"/>
        <v>5.4909375000000002E-3</v>
      </c>
      <c r="N186" s="105" t="s">
        <v>22</v>
      </c>
      <c r="O186" s="104">
        <f t="shared" si="139"/>
        <v>0.56998529702587197</v>
      </c>
      <c r="P186" s="104">
        <f t="shared" si="140"/>
        <v>0.31663843580991025</v>
      </c>
      <c r="Q186" s="283">
        <f t="shared" si="163"/>
        <v>79</v>
      </c>
      <c r="R186" s="105">
        <f t="shared" si="174"/>
        <v>0.51897974683544301</v>
      </c>
      <c r="S186" s="105">
        <f t="shared" si="175"/>
        <v>0.24051012658227852</v>
      </c>
      <c r="T186" s="105">
        <f t="shared" si="176"/>
        <v>0.21520379746835444</v>
      </c>
      <c r="U186" s="105">
        <f t="shared" si="177"/>
        <v>0.20251518987341774</v>
      </c>
      <c r="V186" s="105">
        <f t="shared" si="178"/>
        <v>0.12659620253164558</v>
      </c>
      <c r="W186" s="105">
        <f t="shared" si="179"/>
        <v>0.12659620253164555</v>
      </c>
      <c r="X186" s="105">
        <f t="shared" si="180"/>
        <v>0.11394303797468354</v>
      </c>
      <c r="Y186" s="105">
        <f t="shared" si="181"/>
        <v>7.5918987341772146E-2</v>
      </c>
      <c r="Z186" s="105">
        <f t="shared" si="182"/>
        <v>6.3265822784810133E-2</v>
      </c>
      <c r="AA186" s="105">
        <f t="shared" si="183"/>
        <v>3.7959493670886073E-2</v>
      </c>
      <c r="AB186" s="105" t="s">
        <v>22</v>
      </c>
      <c r="AC186" s="104">
        <f t="shared" si="152"/>
        <v>0.46342873310341137</v>
      </c>
      <c r="AD186" s="203">
        <f t="shared" si="153"/>
        <v>0.24393283804153229</v>
      </c>
      <c r="AE186" s="1"/>
      <c r="AF186" s="514"/>
      <c r="AG186" s="270">
        <v>46034</v>
      </c>
      <c r="AH186" s="124">
        <v>1416</v>
      </c>
      <c r="AI186" s="105">
        <v>8.6900000000000005E-2</v>
      </c>
      <c r="AJ186" s="105">
        <v>4.1700000000000001E-2</v>
      </c>
      <c r="AK186" s="105">
        <v>4.4499999999999998E-2</v>
      </c>
      <c r="AL186" s="105">
        <v>4.1000000000000002E-2</v>
      </c>
      <c r="AM186" s="105">
        <v>2.47E-2</v>
      </c>
      <c r="AN186" s="105">
        <v>2.8199999999999999E-2</v>
      </c>
      <c r="AO186" s="105">
        <v>1.84E-2</v>
      </c>
      <c r="AP186" s="105">
        <v>1.34E-2</v>
      </c>
      <c r="AQ186" s="105">
        <v>9.9000000000000008E-3</v>
      </c>
      <c r="AR186" s="105">
        <v>9.1999999999999998E-3</v>
      </c>
      <c r="AS186" s="105" t="s">
        <v>22</v>
      </c>
      <c r="AT186" s="104">
        <f t="shared" si="154"/>
        <v>0.47986191024165709</v>
      </c>
      <c r="AU186" s="203">
        <f t="shared" si="155"/>
        <v>0.32451093210586879</v>
      </c>
      <c r="AV186" s="50">
        <v>51</v>
      </c>
      <c r="AW186" s="105">
        <v>0.52939999999999998</v>
      </c>
      <c r="AX186" s="105">
        <v>0.23530000000000001</v>
      </c>
      <c r="AY186" s="105">
        <v>0.23530000000000001</v>
      </c>
      <c r="AZ186" s="105">
        <v>0.27450000000000002</v>
      </c>
      <c r="BA186" s="105">
        <v>0.17649999999999999</v>
      </c>
      <c r="BB186" s="26">
        <v>0.1961</v>
      </c>
      <c r="BC186" s="277">
        <v>0.13730000000000001</v>
      </c>
      <c r="BD186" s="277">
        <v>0.1176</v>
      </c>
      <c r="BE186" s="277">
        <v>9.8000000000000004E-2</v>
      </c>
      <c r="BF186" s="277">
        <v>5.8799999999999998E-2</v>
      </c>
      <c r="BG186" s="277" t="s">
        <v>22</v>
      </c>
      <c r="BH186" s="104">
        <f t="shared" si="156"/>
        <v>0.44446543256516813</v>
      </c>
      <c r="BI186" s="203">
        <f t="shared" si="157"/>
        <v>0.37041934265205895</v>
      </c>
      <c r="BK186" s="514"/>
      <c r="BL186" s="270">
        <v>46034</v>
      </c>
      <c r="BM186" s="124">
        <v>1144</v>
      </c>
      <c r="BN186" s="105">
        <v>5.5100000000000003E-2</v>
      </c>
      <c r="BO186" s="105">
        <v>4.1099999999999998E-2</v>
      </c>
      <c r="BP186" s="105">
        <v>2.7099999999999999E-2</v>
      </c>
      <c r="BQ186" s="105">
        <v>1.7500000000000002E-2</v>
      </c>
      <c r="BR186" s="105">
        <v>2.8799999999999999E-2</v>
      </c>
      <c r="BS186" s="105">
        <v>1.66E-2</v>
      </c>
      <c r="BT186" s="105">
        <v>1.3100000000000001E-2</v>
      </c>
      <c r="BU186" s="105">
        <v>4.4000000000000003E-3</v>
      </c>
      <c r="BV186" s="105">
        <v>1.6999999999999999E-3</v>
      </c>
      <c r="BW186" s="105">
        <v>8.9999999999999998E-4</v>
      </c>
      <c r="BX186" s="105" t="s">
        <v>22</v>
      </c>
      <c r="BY186" s="104">
        <f t="shared" si="158"/>
        <v>0.74591651542649717</v>
      </c>
      <c r="BZ186" s="104">
        <f t="shared" si="159"/>
        <v>0.30127041742286748</v>
      </c>
      <c r="CA186" s="256">
        <v>28</v>
      </c>
      <c r="CB186" s="105">
        <v>0.5</v>
      </c>
      <c r="CC186" s="105">
        <v>0.25</v>
      </c>
      <c r="CD186" s="105">
        <v>0.17860000000000001</v>
      </c>
      <c r="CE186" s="105">
        <v>7.1400000000000005E-2</v>
      </c>
      <c r="CF186" s="105">
        <v>3.5700000000000003E-2</v>
      </c>
      <c r="CG186" s="26">
        <v>0</v>
      </c>
      <c r="CH186" s="277">
        <v>7.1400000000000005E-2</v>
      </c>
      <c r="CI186" s="277">
        <v>0</v>
      </c>
      <c r="CJ186" s="277">
        <v>0</v>
      </c>
      <c r="CK186" s="277">
        <v>0</v>
      </c>
      <c r="CL186" s="277" t="s">
        <v>22</v>
      </c>
      <c r="CM186" s="104">
        <f t="shared" si="160"/>
        <v>0.5</v>
      </c>
      <c r="CN186" s="203">
        <f t="shared" si="161"/>
        <v>0</v>
      </c>
    </row>
    <row r="187" spans="1:92" ht="14.25" hidden="1" customHeight="1">
      <c r="B187" s="230">
        <v>46035</v>
      </c>
      <c r="C187" s="169">
        <f t="shared" si="162"/>
        <v>1814</v>
      </c>
      <c r="D187" s="162">
        <f t="shared" si="164"/>
        <v>0.10035044101433298</v>
      </c>
      <c r="E187" s="162">
        <f t="shared" si="165"/>
        <v>5.9522216097023149E-2</v>
      </c>
      <c r="F187" s="162">
        <f t="shared" si="166"/>
        <v>4.9042778390297685E-2</v>
      </c>
      <c r="G187" s="162">
        <f t="shared" si="167"/>
        <v>3.9707552370452037E-2</v>
      </c>
      <c r="H187" s="162">
        <f t="shared" si="168"/>
        <v>3.6925799338478504E-2</v>
      </c>
      <c r="I187" s="162">
        <f t="shared" si="169"/>
        <v>3.2555567805953693E-2</v>
      </c>
      <c r="J187" s="162">
        <f t="shared" si="170"/>
        <v>2.2051598676957E-2</v>
      </c>
      <c r="K187" s="162">
        <f t="shared" si="171"/>
        <v>1.3758710033076075E-2</v>
      </c>
      <c r="L187" s="105">
        <f t="shared" si="172"/>
        <v>9.3842888643880917E-3</v>
      </c>
      <c r="M187" s="105">
        <f t="shared" si="173"/>
        <v>6.6044101433296587E-3</v>
      </c>
      <c r="N187" s="105" t="s">
        <v>22</v>
      </c>
      <c r="O187" s="291">
        <f t="shared" si="139"/>
        <v>0.59314354272266367</v>
      </c>
      <c r="P187" s="291">
        <f t="shared" si="140"/>
        <v>0.32441878159064397</v>
      </c>
      <c r="Q187" s="315">
        <f t="shared" si="163"/>
        <v>39</v>
      </c>
      <c r="R187" s="105">
        <f t="shared" si="174"/>
        <v>0.58973076923076928</v>
      </c>
      <c r="S187" s="105">
        <f t="shared" si="175"/>
        <v>0.46154615384615372</v>
      </c>
      <c r="T187" s="105">
        <f t="shared" si="176"/>
        <v>0.33334615384615379</v>
      </c>
      <c r="U187" s="105">
        <f t="shared" si="177"/>
        <v>0.30769999999999997</v>
      </c>
      <c r="V187" s="105">
        <f t="shared" si="178"/>
        <v>0.33335384615384617</v>
      </c>
      <c r="W187" s="105">
        <f t="shared" si="179"/>
        <v>0.23076923076923078</v>
      </c>
      <c r="X187" s="105">
        <f t="shared" si="180"/>
        <v>0.17950769230769231</v>
      </c>
      <c r="Y187" s="105">
        <f t="shared" si="181"/>
        <v>0.15384615384615385</v>
      </c>
      <c r="Z187" s="105">
        <f t="shared" si="182"/>
        <v>0.15384615384615385</v>
      </c>
      <c r="AA187" s="105">
        <f t="shared" si="183"/>
        <v>0.10258461538461539</v>
      </c>
      <c r="AB187" s="105" t="s">
        <v>22</v>
      </c>
      <c r="AC187" s="104">
        <f t="shared" si="152"/>
        <v>0.78263875301636965</v>
      </c>
      <c r="AD187" s="203">
        <f t="shared" si="153"/>
        <v>0.3913128546272745</v>
      </c>
      <c r="AE187" s="1"/>
      <c r="AG187" s="269">
        <v>46035</v>
      </c>
      <c r="AH187" s="288">
        <v>1293</v>
      </c>
      <c r="AI187" s="162">
        <v>7.9699999999999993E-2</v>
      </c>
      <c r="AJ187" s="162">
        <v>5.8000000000000003E-2</v>
      </c>
      <c r="AK187" s="162">
        <v>5.1799999999999999E-2</v>
      </c>
      <c r="AL187" s="162">
        <v>4.1000000000000002E-2</v>
      </c>
      <c r="AM187" s="162">
        <v>4.02E-2</v>
      </c>
      <c r="AN187" s="162">
        <v>3.56E-2</v>
      </c>
      <c r="AO187" s="162">
        <v>2.86E-2</v>
      </c>
      <c r="AP187" s="162">
        <v>1.6199999999999999E-2</v>
      </c>
      <c r="AQ187" s="162">
        <v>1.24E-2</v>
      </c>
      <c r="AR187" s="162">
        <v>8.5000000000000006E-3</v>
      </c>
      <c r="AS187" s="162" t="s">
        <v>22</v>
      </c>
      <c r="AT187" s="291">
        <f t="shared" si="154"/>
        <v>0.72772898368883321</v>
      </c>
      <c r="AU187" s="293">
        <f t="shared" si="155"/>
        <v>0.44667503136762865</v>
      </c>
      <c r="AV187" s="25">
        <v>24</v>
      </c>
      <c r="AW187" s="105">
        <v>0.625</v>
      </c>
      <c r="AX187" s="105">
        <v>0.54169999999999996</v>
      </c>
      <c r="AY187" s="105">
        <v>0.375</v>
      </c>
      <c r="AZ187" s="105">
        <v>0.41670000000000001</v>
      </c>
      <c r="BA187" s="105">
        <v>0.41670000000000001</v>
      </c>
      <c r="BB187" s="26">
        <v>0.375</v>
      </c>
      <c r="BC187" s="277">
        <v>0.29170000000000001</v>
      </c>
      <c r="BD187" s="277">
        <v>0.25</v>
      </c>
      <c r="BE187" s="277">
        <v>0.25</v>
      </c>
      <c r="BF187" s="277">
        <v>0.16669999999999999</v>
      </c>
      <c r="BG187" s="277" t="s">
        <v>22</v>
      </c>
      <c r="BH187" s="104">
        <f t="shared" si="156"/>
        <v>0.86671999999999993</v>
      </c>
      <c r="BI187" s="203">
        <f t="shared" si="157"/>
        <v>0.6</v>
      </c>
      <c r="BK187" s="41"/>
      <c r="BL187" s="269">
        <v>46035</v>
      </c>
      <c r="BM187" s="288">
        <v>521</v>
      </c>
      <c r="BN187" s="162">
        <v>0.15160000000000001</v>
      </c>
      <c r="BO187" s="162">
        <v>6.3299999999999995E-2</v>
      </c>
      <c r="BP187" s="162">
        <v>4.2200000000000001E-2</v>
      </c>
      <c r="BQ187" s="162">
        <v>3.6499999999999998E-2</v>
      </c>
      <c r="BR187" s="162">
        <v>2.8799999999999999E-2</v>
      </c>
      <c r="BS187" s="162">
        <v>2.5000000000000001E-2</v>
      </c>
      <c r="BT187" s="162">
        <v>5.7999999999999996E-3</v>
      </c>
      <c r="BU187" s="162">
        <v>7.7000000000000002E-3</v>
      </c>
      <c r="BV187" s="162">
        <v>1.9E-3</v>
      </c>
      <c r="BW187" s="162">
        <v>1.9E-3</v>
      </c>
      <c r="BX187" s="162" t="s">
        <v>22</v>
      </c>
      <c r="BY187" s="291">
        <f t="shared" si="158"/>
        <v>0.41754617414248013</v>
      </c>
      <c r="BZ187" s="291">
        <f t="shared" si="159"/>
        <v>0.16490765171503957</v>
      </c>
      <c r="CA187" s="288">
        <v>15</v>
      </c>
      <c r="CB187" s="162">
        <v>0.5333</v>
      </c>
      <c r="CC187" s="162">
        <v>0.33329999999999999</v>
      </c>
      <c r="CD187" s="162">
        <v>0.26669999999999999</v>
      </c>
      <c r="CE187" s="162">
        <v>0.1333</v>
      </c>
      <c r="CF187" s="162">
        <v>0.2</v>
      </c>
      <c r="CG187" s="280">
        <v>0</v>
      </c>
      <c r="CH187" s="281">
        <v>0</v>
      </c>
      <c r="CI187" s="281">
        <v>0</v>
      </c>
      <c r="CJ187" s="281">
        <v>0</v>
      </c>
      <c r="CK187" s="281">
        <v>0</v>
      </c>
      <c r="CL187" s="281" t="s">
        <v>22</v>
      </c>
      <c r="CM187" s="291">
        <f t="shared" si="160"/>
        <v>0.62497656103506471</v>
      </c>
      <c r="CN187" s="293">
        <f t="shared" si="161"/>
        <v>0</v>
      </c>
    </row>
    <row r="188" spans="1:92" ht="27.75" hidden="1" customHeight="1">
      <c r="B188" s="229" t="s">
        <v>35</v>
      </c>
      <c r="C188" s="173">
        <f>SUM(C175:C187)</f>
        <v>35431</v>
      </c>
      <c r="D188" s="155">
        <f t="shared" si="164"/>
        <v>7.4150294939459793E-2</v>
      </c>
      <c r="E188" s="155">
        <f t="shared" si="165"/>
        <v>4.4075908103073574E-2</v>
      </c>
      <c r="F188" s="155">
        <f t="shared" si="166"/>
        <v>3.3799689537410735E-2</v>
      </c>
      <c r="G188" s="155">
        <f t="shared" si="167"/>
        <v>2.9242067680844454E-2</v>
      </c>
      <c r="H188" s="155">
        <f t="shared" si="168"/>
        <v>2.572011797578392E-2</v>
      </c>
      <c r="I188" s="155">
        <f t="shared" si="169"/>
        <v>2.3714933250543309E-2</v>
      </c>
      <c r="J188" s="155">
        <f t="shared" si="170"/>
        <v>1.396584911518162E-2</v>
      </c>
      <c r="K188" s="155">
        <f t="shared" si="171"/>
        <v>8.4420676808444582E-3</v>
      </c>
      <c r="L188" s="155">
        <f t="shared" si="172"/>
        <v>6.2725551071095937E-3</v>
      </c>
      <c r="M188" s="155">
        <f t="shared" si="173"/>
        <v>4.9506054020490532E-3</v>
      </c>
      <c r="N188" s="155">
        <f>($AH188*AS188+$BM188*BX188)/$C188</f>
        <v>4.3948152747593913E-3</v>
      </c>
      <c r="O188" s="305">
        <f t="shared" si="139"/>
        <v>0.59441311917989625</v>
      </c>
      <c r="P188" s="305">
        <f t="shared" si="140"/>
        <v>0.31982250738052265</v>
      </c>
      <c r="Q188" s="300">
        <f>SUM(Q175:Q187)</f>
        <v>917</v>
      </c>
      <c r="R188" s="147">
        <f t="shared" si="174"/>
        <v>0.42525321701199564</v>
      </c>
      <c r="S188" s="147">
        <f t="shared" si="175"/>
        <v>0.2715728462377317</v>
      </c>
      <c r="T188" s="147">
        <f t="shared" si="176"/>
        <v>0.20066390403489642</v>
      </c>
      <c r="U188" s="147">
        <f t="shared" si="177"/>
        <v>0.17010948745910578</v>
      </c>
      <c r="V188" s="147">
        <f t="shared" si="178"/>
        <v>0.14394754634678297</v>
      </c>
      <c r="W188" s="147">
        <f t="shared" si="179"/>
        <v>0.12650926935659759</v>
      </c>
      <c r="X188" s="147">
        <f t="shared" si="180"/>
        <v>7.959770992366412E-2</v>
      </c>
      <c r="Y188" s="147">
        <f t="shared" si="181"/>
        <v>6.1104689203925845E-2</v>
      </c>
      <c r="Z188" s="147">
        <f t="shared" si="182"/>
        <v>5.1230534351145031E-2</v>
      </c>
      <c r="AA188" s="147">
        <f t="shared" si="183"/>
        <v>4.0376772082878952E-2</v>
      </c>
      <c r="AB188" s="147">
        <f>($AV188*BG188+$CA188*CL188)/$Q188</f>
        <v>3.2627480916030537E-2</v>
      </c>
      <c r="AC188" s="148">
        <f t="shared" si="152"/>
        <v>0.63861444281577562</v>
      </c>
      <c r="AD188" s="150">
        <f t="shared" si="153"/>
        <v>0.29749162215750852</v>
      </c>
      <c r="AE188" s="1"/>
      <c r="AG188" s="250" t="s">
        <v>35</v>
      </c>
      <c r="AH188" s="174">
        <f>SUM(AH175:AH187)</f>
        <v>20416</v>
      </c>
      <c r="AI188" s="294">
        <v>7.8600000000000003E-2</v>
      </c>
      <c r="AJ188" s="294">
        <v>4.7E-2</v>
      </c>
      <c r="AK188" s="294">
        <v>3.6299999999999999E-2</v>
      </c>
      <c r="AL188" s="294">
        <v>3.1699999999999999E-2</v>
      </c>
      <c r="AM188" s="294">
        <v>2.75E-2</v>
      </c>
      <c r="AN188" s="294">
        <v>2.63E-2</v>
      </c>
      <c r="AO188" s="294">
        <v>1.6E-2</v>
      </c>
      <c r="AP188" s="294">
        <v>1.09E-2</v>
      </c>
      <c r="AQ188" s="294">
        <v>8.8999999999999999E-3</v>
      </c>
      <c r="AR188" s="294">
        <v>6.8999999999999999E-3</v>
      </c>
      <c r="AS188" s="294">
        <v>5.1999999999999998E-3</v>
      </c>
      <c r="AT188" s="305">
        <f t="shared" si="154"/>
        <v>0.59796437659033075</v>
      </c>
      <c r="AU188" s="305">
        <f t="shared" si="155"/>
        <v>0.33460559796437656</v>
      </c>
      <c r="AV188" s="451">
        <f>SUM(AV175:AV187)</f>
        <v>495</v>
      </c>
      <c r="AW188" s="155">
        <v>0.46460000000000001</v>
      </c>
      <c r="AX188" s="155">
        <v>0.30709999999999998</v>
      </c>
      <c r="AY188" s="155">
        <v>0.2384</v>
      </c>
      <c r="AZ188" s="155">
        <v>0.21820000000000001</v>
      </c>
      <c r="BA188" s="155">
        <v>0.19189999999999999</v>
      </c>
      <c r="BB188" s="155">
        <v>0.17979999999999999</v>
      </c>
      <c r="BC188" s="155">
        <v>0.11310000000000001</v>
      </c>
      <c r="BD188" s="155">
        <v>9.7000000000000003E-2</v>
      </c>
      <c r="BE188" s="155">
        <v>8.2799999999999999E-2</v>
      </c>
      <c r="BF188" s="155">
        <v>6.6699999999999995E-2</v>
      </c>
      <c r="BG188" s="155">
        <v>5.2600000000000001E-2</v>
      </c>
      <c r="BH188" s="172">
        <f t="shared" si="156"/>
        <v>0.66099870856650877</v>
      </c>
      <c r="BI188" s="227">
        <f t="shared" si="157"/>
        <v>0.38699956952216957</v>
      </c>
      <c r="BK188" s="41"/>
      <c r="BL188" s="403" t="s">
        <v>35</v>
      </c>
      <c r="BM188" s="174">
        <f>SUM(BM175:BM187)</f>
        <v>15015</v>
      </c>
      <c r="BN188" s="294">
        <v>6.8099999999999994E-2</v>
      </c>
      <c r="BO188" s="294">
        <v>4.0099999999999997E-2</v>
      </c>
      <c r="BP188" s="294">
        <v>3.04E-2</v>
      </c>
      <c r="BQ188" s="294">
        <v>2.5899999999999999E-2</v>
      </c>
      <c r="BR188" s="294">
        <v>2.3300000000000001E-2</v>
      </c>
      <c r="BS188" s="294">
        <v>2.0199999999999999E-2</v>
      </c>
      <c r="BT188" s="294">
        <v>1.12E-2</v>
      </c>
      <c r="BU188" s="294">
        <v>5.1000000000000004E-3</v>
      </c>
      <c r="BV188" s="294">
        <v>2.7000000000000001E-3</v>
      </c>
      <c r="BW188" s="294">
        <v>2.3E-3</v>
      </c>
      <c r="BX188" s="294">
        <v>3.3E-3</v>
      </c>
      <c r="BY188" s="305">
        <f t="shared" si="158"/>
        <v>0.58883994126284878</v>
      </c>
      <c r="BZ188" s="306">
        <f t="shared" si="159"/>
        <v>0.29662261380323057</v>
      </c>
      <c r="CA188" s="174">
        <f>SUM(CA175:CA187)</f>
        <v>422</v>
      </c>
      <c r="CB188" s="294">
        <v>0.37909999999999999</v>
      </c>
      <c r="CC188" s="294">
        <v>0.22989999999999999</v>
      </c>
      <c r="CD188" s="294">
        <v>0.15640000000000001</v>
      </c>
      <c r="CE188" s="294">
        <v>0.1137</v>
      </c>
      <c r="CF188" s="294">
        <v>8.77E-2</v>
      </c>
      <c r="CG188" s="294">
        <v>6.4000000000000001E-2</v>
      </c>
      <c r="CH188" s="294">
        <v>4.0300000000000002E-2</v>
      </c>
      <c r="CI188" s="294">
        <v>1.9E-2</v>
      </c>
      <c r="CJ188" s="294">
        <v>1.4200000000000001E-2</v>
      </c>
      <c r="CK188" s="294">
        <v>9.4999999999999998E-3</v>
      </c>
      <c r="CL188" s="294">
        <v>9.1999999999999998E-3</v>
      </c>
      <c r="CM188" s="305">
        <f t="shared" si="160"/>
        <v>0.60643629649169084</v>
      </c>
      <c r="CN188" s="306">
        <f t="shared" si="161"/>
        <v>0.1688208915853337</v>
      </c>
    </row>
    <row r="189" spans="1:92" ht="14.25" hidden="1" customHeight="1">
      <c r="B189" s="383">
        <v>46036</v>
      </c>
      <c r="C189" s="385">
        <f t="shared" ref="C189:C220" si="184">AH189+BM189</f>
        <v>3161</v>
      </c>
      <c r="D189" s="160">
        <f t="shared" si="164"/>
        <v>9.9985352736475797E-2</v>
      </c>
      <c r="E189" s="160">
        <f t="shared" si="165"/>
        <v>4.5198702942106928E-2</v>
      </c>
      <c r="F189" s="160">
        <f t="shared" si="166"/>
        <v>3.9531667193925972E-2</v>
      </c>
      <c r="G189" s="160">
        <f t="shared" si="167"/>
        <v>2.7810945903195185E-2</v>
      </c>
      <c r="H189" s="160">
        <f t="shared" si="168"/>
        <v>2.5290192976906038E-2</v>
      </c>
      <c r="I189" s="160">
        <f t="shared" si="169"/>
        <v>2.2479215438152487E-2</v>
      </c>
      <c r="J189" s="160">
        <f t="shared" si="170"/>
        <v>7.6072761784245499E-3</v>
      </c>
      <c r="K189" s="160">
        <f t="shared" si="171"/>
        <v>8.5694716861752594E-3</v>
      </c>
      <c r="L189" s="160">
        <f t="shared" si="172"/>
        <v>3.7682695349572919E-3</v>
      </c>
      <c r="M189" s="160">
        <f t="shared" si="173"/>
        <v>5.6963302752293579E-3</v>
      </c>
      <c r="N189" s="160" t="s">
        <v>22</v>
      </c>
      <c r="O189" s="189">
        <f t="shared" si="139"/>
        <v>0.45205324285081933</v>
      </c>
      <c r="P189" s="202">
        <f t="shared" si="140"/>
        <v>0.22482508510420859</v>
      </c>
      <c r="Q189" s="170">
        <f t="shared" ref="Q189:Q220" si="185">AV189+CA189</f>
        <v>113</v>
      </c>
      <c r="R189" s="105">
        <f t="shared" si="174"/>
        <v>0.38054070796460177</v>
      </c>
      <c r="S189" s="105">
        <f t="shared" si="175"/>
        <v>0.20358141592920354</v>
      </c>
      <c r="T189" s="105">
        <f t="shared" si="176"/>
        <v>0.14157522123893806</v>
      </c>
      <c r="U189" s="105">
        <f t="shared" si="177"/>
        <v>0.10616814159292036</v>
      </c>
      <c r="V189" s="105">
        <f t="shared" si="178"/>
        <v>0.10619823008849558</v>
      </c>
      <c r="W189" s="105">
        <f t="shared" si="179"/>
        <v>8.8479646017699115E-2</v>
      </c>
      <c r="X189" s="105">
        <f t="shared" si="180"/>
        <v>3.5395575221238942E-2</v>
      </c>
      <c r="Y189" s="105">
        <f t="shared" si="181"/>
        <v>3.5395575221238942E-2</v>
      </c>
      <c r="Z189" s="105">
        <f t="shared" si="182"/>
        <v>4.4273451327433634E-2</v>
      </c>
      <c r="AA189" s="105">
        <f t="shared" si="183"/>
        <v>3.5395575221238942E-2</v>
      </c>
      <c r="AB189" s="105" t="s">
        <v>22</v>
      </c>
      <c r="AC189" s="104">
        <f t="shared" si="152"/>
        <v>0.53497933773787176</v>
      </c>
      <c r="AD189" s="203">
        <f t="shared" si="153"/>
        <v>0.23251033113106409</v>
      </c>
      <c r="AE189" s="1"/>
      <c r="AG189" s="269">
        <v>46036</v>
      </c>
      <c r="AH189" s="287">
        <v>1195</v>
      </c>
      <c r="AI189" s="160">
        <v>0.1021</v>
      </c>
      <c r="AJ189" s="160">
        <v>5.7700000000000001E-2</v>
      </c>
      <c r="AK189" s="160">
        <v>4.5999999999999999E-2</v>
      </c>
      <c r="AL189" s="160">
        <v>3.2599999999999997E-2</v>
      </c>
      <c r="AM189" s="160">
        <v>3.3500000000000002E-2</v>
      </c>
      <c r="AN189" s="160">
        <v>3.1E-2</v>
      </c>
      <c r="AO189" s="160">
        <v>1.4200000000000001E-2</v>
      </c>
      <c r="AP189" s="142">
        <v>1.5100000000000001E-2</v>
      </c>
      <c r="AQ189" s="142">
        <v>7.4999999999999997E-3</v>
      </c>
      <c r="AR189" s="142">
        <v>7.4999999999999997E-3</v>
      </c>
      <c r="AS189" s="142" t="s">
        <v>22</v>
      </c>
      <c r="AT189" s="189">
        <f t="shared" si="154"/>
        <v>0.56513222331047996</v>
      </c>
      <c r="AU189" s="189">
        <f t="shared" si="155"/>
        <v>0.30362389813907936</v>
      </c>
      <c r="AV189" s="195">
        <v>37</v>
      </c>
      <c r="AW189" s="160">
        <v>0.45950000000000002</v>
      </c>
      <c r="AX189" s="160">
        <v>0.27029999999999998</v>
      </c>
      <c r="AY189" s="160">
        <v>0.2432</v>
      </c>
      <c r="AZ189" s="160">
        <v>0.2162</v>
      </c>
      <c r="BA189" s="160">
        <v>0.2432</v>
      </c>
      <c r="BB189" s="160">
        <v>0.2162</v>
      </c>
      <c r="BC189" s="160">
        <v>0.1081</v>
      </c>
      <c r="BD189" s="142">
        <v>0.1081</v>
      </c>
      <c r="BE189" s="142">
        <v>0.1081</v>
      </c>
      <c r="BF189" s="142">
        <v>0.1081</v>
      </c>
      <c r="BG189" s="142" t="s">
        <v>22</v>
      </c>
      <c r="BH189" s="189">
        <f t="shared" si="156"/>
        <v>0.58824809575625669</v>
      </c>
      <c r="BI189" s="202">
        <f t="shared" si="157"/>
        <v>0.47051142546245917</v>
      </c>
      <c r="BK189" s="41"/>
      <c r="BL189" s="383">
        <v>46036</v>
      </c>
      <c r="BM189" s="287">
        <v>1966</v>
      </c>
      <c r="BN189" s="160">
        <v>9.8699999999999996E-2</v>
      </c>
      <c r="BO189" s="160">
        <v>3.7600000000000001E-2</v>
      </c>
      <c r="BP189" s="160">
        <v>3.56E-2</v>
      </c>
      <c r="BQ189" s="160">
        <v>2.4899999999999999E-2</v>
      </c>
      <c r="BR189" s="160">
        <v>2.0299999999999999E-2</v>
      </c>
      <c r="BS189" s="160">
        <v>1.7299999999999999E-2</v>
      </c>
      <c r="BT189" s="160">
        <v>3.5999999999999999E-3</v>
      </c>
      <c r="BU189" s="142">
        <v>4.5999999999999999E-3</v>
      </c>
      <c r="BV189" s="142">
        <v>1.5E-3</v>
      </c>
      <c r="BW189" s="142">
        <v>4.5999999999999999E-3</v>
      </c>
      <c r="BX189" s="142" t="s">
        <v>22</v>
      </c>
      <c r="BY189" s="189">
        <f t="shared" si="158"/>
        <v>0.38095238095238099</v>
      </c>
      <c r="BZ189" s="189">
        <f t="shared" si="159"/>
        <v>0.17527862208713271</v>
      </c>
      <c r="CA189" s="195">
        <v>76</v>
      </c>
      <c r="CB189" s="160">
        <v>0.34210000000000002</v>
      </c>
      <c r="CC189" s="160">
        <v>0.1711</v>
      </c>
      <c r="CD189" s="160">
        <v>9.2100000000000001E-2</v>
      </c>
      <c r="CE189" s="160">
        <v>5.2600000000000001E-2</v>
      </c>
      <c r="CF189" s="160">
        <v>3.95E-2</v>
      </c>
      <c r="CG189" s="160">
        <v>2.63E-2</v>
      </c>
      <c r="CH189" s="160">
        <v>0</v>
      </c>
      <c r="CI189" s="142">
        <v>0</v>
      </c>
      <c r="CJ189" s="142">
        <v>1.32E-2</v>
      </c>
      <c r="CK189" s="142">
        <v>0</v>
      </c>
      <c r="CL189" s="142" t="s">
        <v>22</v>
      </c>
      <c r="CM189" s="189">
        <f t="shared" si="160"/>
        <v>0.50014615609470914</v>
      </c>
      <c r="CN189" s="202">
        <f t="shared" si="161"/>
        <v>7.6878105817012571E-2</v>
      </c>
    </row>
    <row r="190" spans="1:92" ht="14.25" hidden="1" customHeight="1">
      <c r="B190" s="269">
        <v>46037</v>
      </c>
      <c r="C190" s="315">
        <f t="shared" si="184"/>
        <v>3073</v>
      </c>
      <c r="D190" s="105">
        <f t="shared" si="164"/>
        <v>8.1382329970712652E-2</v>
      </c>
      <c r="E190" s="105">
        <f t="shared" si="165"/>
        <v>4.1689944679466323E-2</v>
      </c>
      <c r="F190" s="105">
        <f t="shared" si="166"/>
        <v>3.6428766677513831E-2</v>
      </c>
      <c r="G190" s="105">
        <f t="shared" si="167"/>
        <v>2.7663520989261309E-2</v>
      </c>
      <c r="H190" s="105">
        <f t="shared" si="168"/>
        <v>2.1802440611780018E-2</v>
      </c>
      <c r="I190" s="105">
        <f t="shared" si="169"/>
        <v>1.9518808981451353E-2</v>
      </c>
      <c r="J190" s="105">
        <f t="shared" si="170"/>
        <v>9.4660592255125294E-3</v>
      </c>
      <c r="K190" s="105">
        <f t="shared" si="171"/>
        <v>6.5222583794337782E-3</v>
      </c>
      <c r="L190" s="105">
        <f t="shared" si="172"/>
        <v>2.29502115196876E-3</v>
      </c>
      <c r="M190" s="105">
        <f t="shared" si="173"/>
        <v>3.8768304588350142E-3</v>
      </c>
      <c r="N190" s="105" t="s">
        <v>22</v>
      </c>
      <c r="O190" s="104">
        <f t="shared" si="139"/>
        <v>0.51227268492398081</v>
      </c>
      <c r="P190" s="203">
        <f t="shared" si="140"/>
        <v>0.23984087194942263</v>
      </c>
      <c r="Q190" s="170">
        <f t="shared" si="185"/>
        <v>117</v>
      </c>
      <c r="R190" s="105">
        <f t="shared" si="174"/>
        <v>0.29058632478632479</v>
      </c>
      <c r="S190" s="105">
        <f t="shared" si="175"/>
        <v>0.21365128205128206</v>
      </c>
      <c r="T190" s="105">
        <f t="shared" si="176"/>
        <v>0.17092136752136752</v>
      </c>
      <c r="U190" s="105">
        <f t="shared" si="177"/>
        <v>0.17947264957264958</v>
      </c>
      <c r="V190" s="105">
        <f t="shared" si="178"/>
        <v>0.13676752136752141</v>
      </c>
      <c r="W190" s="105">
        <f t="shared" si="179"/>
        <v>0.11108888888888889</v>
      </c>
      <c r="X190" s="105">
        <f t="shared" si="180"/>
        <v>4.271794871794872E-2</v>
      </c>
      <c r="Y190" s="105">
        <f t="shared" si="181"/>
        <v>3.4191452991452993E-2</v>
      </c>
      <c r="Z190" s="105">
        <f t="shared" si="182"/>
        <v>1.7089743589743592E-2</v>
      </c>
      <c r="AA190" s="105">
        <f t="shared" si="183"/>
        <v>2.5652991452991453E-2</v>
      </c>
      <c r="AB190" s="105" t="s">
        <v>22</v>
      </c>
      <c r="AC190" s="104">
        <f t="shared" si="152"/>
        <v>0.73524203937809207</v>
      </c>
      <c r="AD190" s="203">
        <f t="shared" si="153"/>
        <v>0.38229221203226016</v>
      </c>
      <c r="AE190" s="1"/>
      <c r="AG190" s="269">
        <v>46037</v>
      </c>
      <c r="AH190" s="200">
        <v>1346</v>
      </c>
      <c r="AI190" s="105">
        <v>0.1033</v>
      </c>
      <c r="AJ190" s="105">
        <v>5.1299999999999998E-2</v>
      </c>
      <c r="AK190" s="105">
        <v>4.7500000000000001E-2</v>
      </c>
      <c r="AL190" s="105">
        <v>3.5700000000000003E-2</v>
      </c>
      <c r="AM190" s="105">
        <v>2.4500000000000001E-2</v>
      </c>
      <c r="AN190" s="105">
        <v>3.3399999999999999E-2</v>
      </c>
      <c r="AO190" s="105">
        <v>1.34E-2</v>
      </c>
      <c r="AP190" s="26">
        <v>1.04E-2</v>
      </c>
      <c r="AQ190" s="26">
        <v>3.7000000000000002E-3</v>
      </c>
      <c r="AR190" s="26">
        <v>5.8999999999999999E-3</v>
      </c>
      <c r="AS190" s="26" t="s">
        <v>22</v>
      </c>
      <c r="AT190" s="104">
        <f t="shared" si="154"/>
        <v>0.49661181026137463</v>
      </c>
      <c r="AU190" s="104">
        <f t="shared" si="155"/>
        <v>0.32333010648596322</v>
      </c>
      <c r="AV190" s="196">
        <v>43</v>
      </c>
      <c r="AW190" s="105">
        <v>0.41860000000000003</v>
      </c>
      <c r="AX190" s="105">
        <v>0.3256</v>
      </c>
      <c r="AY190" s="105">
        <v>0.25580000000000003</v>
      </c>
      <c r="AZ190" s="105">
        <v>0.30230000000000001</v>
      </c>
      <c r="BA190" s="105">
        <v>0.25580000000000003</v>
      </c>
      <c r="BB190" s="105">
        <v>0.25580000000000003</v>
      </c>
      <c r="BC190" s="105">
        <v>9.2999999999999999E-2</v>
      </c>
      <c r="BD190" s="26">
        <v>6.9800000000000001E-2</v>
      </c>
      <c r="BE190" s="26">
        <v>4.65E-2</v>
      </c>
      <c r="BF190" s="26">
        <v>6.9800000000000001E-2</v>
      </c>
      <c r="BG190" s="26" t="s">
        <v>22</v>
      </c>
      <c r="BH190" s="104">
        <f t="shared" si="156"/>
        <v>0.7778308647873865</v>
      </c>
      <c r="BI190" s="203">
        <f t="shared" si="157"/>
        <v>0.61108456760630681</v>
      </c>
      <c r="BK190" s="41"/>
      <c r="BL190" s="269">
        <v>46037</v>
      </c>
      <c r="BM190" s="200">
        <v>1727</v>
      </c>
      <c r="BN190" s="105">
        <v>6.4299999999999996E-2</v>
      </c>
      <c r="BO190" s="105">
        <v>3.4200000000000001E-2</v>
      </c>
      <c r="BP190" s="105">
        <v>2.7799999999999998E-2</v>
      </c>
      <c r="BQ190" s="105">
        <v>2.1399999999999999E-2</v>
      </c>
      <c r="BR190" s="105">
        <v>1.9699999999999999E-2</v>
      </c>
      <c r="BS190" s="105">
        <v>8.6999999999999994E-3</v>
      </c>
      <c r="BT190" s="105">
        <v>6.4000000000000003E-3</v>
      </c>
      <c r="BU190" s="26">
        <v>3.5000000000000001E-3</v>
      </c>
      <c r="BV190" s="26">
        <v>1.1999999999999999E-3</v>
      </c>
      <c r="BW190" s="26">
        <v>2.3E-3</v>
      </c>
      <c r="BX190" s="26" t="s">
        <v>22</v>
      </c>
      <c r="BY190" s="104">
        <f t="shared" si="158"/>
        <v>0.5318818040435459</v>
      </c>
      <c r="BZ190" s="104">
        <f t="shared" si="159"/>
        <v>0.13530326594090203</v>
      </c>
      <c r="CA190" s="196">
        <v>74</v>
      </c>
      <c r="CB190" s="105">
        <v>0.2162</v>
      </c>
      <c r="CC190" s="105">
        <v>0.14860000000000001</v>
      </c>
      <c r="CD190" s="105">
        <v>0.1216</v>
      </c>
      <c r="CE190" s="105">
        <v>0.1081</v>
      </c>
      <c r="CF190" s="105">
        <v>6.7599999999999993E-2</v>
      </c>
      <c r="CG190" s="105">
        <v>2.7E-2</v>
      </c>
      <c r="CH190" s="105">
        <v>1.35E-2</v>
      </c>
      <c r="CI190" s="26">
        <v>1.35E-2</v>
      </c>
      <c r="CJ190" s="26">
        <v>0</v>
      </c>
      <c r="CK190" s="26">
        <v>0</v>
      </c>
      <c r="CL190" s="26" t="s">
        <v>22</v>
      </c>
      <c r="CM190" s="104">
        <f t="shared" si="160"/>
        <v>0.68732654949121186</v>
      </c>
      <c r="CN190" s="203">
        <f t="shared" si="161"/>
        <v>0.12488436632747456</v>
      </c>
    </row>
    <row r="191" spans="1:92" ht="14.25" hidden="1" customHeight="1">
      <c r="A191" s="624" t="s">
        <v>24</v>
      </c>
      <c r="B191" s="271">
        <v>46038</v>
      </c>
      <c r="C191" s="240">
        <f t="shared" si="184"/>
        <v>2888</v>
      </c>
      <c r="D191" s="105">
        <f t="shared" si="164"/>
        <v>7.2724342105263171E-2</v>
      </c>
      <c r="E191" s="105">
        <f t="shared" si="165"/>
        <v>4.0142382271468144E-2</v>
      </c>
      <c r="F191" s="105">
        <f t="shared" si="166"/>
        <v>2.4546156509695289E-2</v>
      </c>
      <c r="G191" s="105">
        <f t="shared" si="167"/>
        <v>2.491762465373961E-2</v>
      </c>
      <c r="H191" s="105">
        <f t="shared" si="168"/>
        <v>1.9074411357340719E-2</v>
      </c>
      <c r="I191" s="105">
        <f t="shared" si="169"/>
        <v>2.4225034626038783E-2</v>
      </c>
      <c r="J191" s="105">
        <f t="shared" si="170"/>
        <v>1.2806717451523545E-2</v>
      </c>
      <c r="K191" s="105">
        <f t="shared" si="171"/>
        <v>7.6065789473684199E-3</v>
      </c>
      <c r="L191" s="105">
        <f t="shared" si="172"/>
        <v>6.2138504155124646E-3</v>
      </c>
      <c r="M191" s="105">
        <f t="shared" si="173"/>
        <v>6.9641966759002773E-3</v>
      </c>
      <c r="N191" s="105" t="s">
        <v>22</v>
      </c>
      <c r="O191" s="104">
        <f t="shared" si="139"/>
        <v>0.55197999884777205</v>
      </c>
      <c r="P191" s="203">
        <f t="shared" si="140"/>
        <v>0.33310764903139056</v>
      </c>
      <c r="Q191" s="157">
        <f t="shared" si="185"/>
        <v>120</v>
      </c>
      <c r="R191" s="105">
        <f t="shared" si="174"/>
        <v>0.30002333333333336</v>
      </c>
      <c r="S191" s="105">
        <f t="shared" si="175"/>
        <v>0.17499999999999999</v>
      </c>
      <c r="T191" s="105">
        <f t="shared" si="176"/>
        <v>0.141655</v>
      </c>
      <c r="U191" s="105">
        <f t="shared" si="177"/>
        <v>0.12498666666666666</v>
      </c>
      <c r="V191" s="105">
        <f t="shared" si="178"/>
        <v>0.10000666666666666</v>
      </c>
      <c r="W191" s="105">
        <f t="shared" si="179"/>
        <v>0.1083325</v>
      </c>
      <c r="X191" s="105">
        <f t="shared" si="180"/>
        <v>2.4988333333333331E-2</v>
      </c>
      <c r="Y191" s="105">
        <f t="shared" si="181"/>
        <v>1.6684999999999998E-2</v>
      </c>
      <c r="Z191" s="105">
        <f t="shared" si="182"/>
        <v>1.6684999999999998E-2</v>
      </c>
      <c r="AA191" s="105">
        <f t="shared" si="183"/>
        <v>2.4988333333333331E-2</v>
      </c>
      <c r="AB191" s="105" t="s">
        <v>22</v>
      </c>
      <c r="AC191" s="104">
        <f t="shared" si="152"/>
        <v>0.58328796649149506</v>
      </c>
      <c r="AD191" s="203">
        <f t="shared" si="153"/>
        <v>0.36108024931394223</v>
      </c>
      <c r="AE191" s="1"/>
      <c r="AF191" s="537" t="s">
        <v>24</v>
      </c>
      <c r="AG191" s="271">
        <v>46038</v>
      </c>
      <c r="AH191" s="198">
        <v>1547</v>
      </c>
      <c r="AI191" s="105">
        <v>7.8899999999999998E-2</v>
      </c>
      <c r="AJ191" s="105">
        <v>4.4600000000000001E-2</v>
      </c>
      <c r="AK191" s="105">
        <v>2.7099999999999999E-2</v>
      </c>
      <c r="AL191" s="105">
        <v>2.7099999999999999E-2</v>
      </c>
      <c r="AM191" s="105">
        <v>2.46E-2</v>
      </c>
      <c r="AN191" s="105">
        <v>2.3900000000000001E-2</v>
      </c>
      <c r="AO191" s="105">
        <v>1.6799999999999999E-2</v>
      </c>
      <c r="AP191" s="26">
        <v>1.29E-2</v>
      </c>
      <c r="AQ191" s="26">
        <v>1.03E-2</v>
      </c>
      <c r="AR191" s="26">
        <v>7.7999999999999996E-3</v>
      </c>
      <c r="AS191" s="26" t="s">
        <v>22</v>
      </c>
      <c r="AT191" s="104">
        <f t="shared" si="154"/>
        <v>0.56527249683143221</v>
      </c>
      <c r="AU191" s="104">
        <f t="shared" si="155"/>
        <v>0.30291508238276299</v>
      </c>
      <c r="AV191" s="197">
        <v>47</v>
      </c>
      <c r="AW191" s="105">
        <v>0.38300000000000001</v>
      </c>
      <c r="AX191" s="105">
        <v>0.25530000000000003</v>
      </c>
      <c r="AY191" s="105">
        <v>0.23400000000000001</v>
      </c>
      <c r="AZ191" s="105">
        <v>0.23400000000000001</v>
      </c>
      <c r="BA191" s="105">
        <v>0.1915</v>
      </c>
      <c r="BB191" s="105">
        <v>0.17019999999999999</v>
      </c>
      <c r="BC191" s="105">
        <v>6.3799999999999996E-2</v>
      </c>
      <c r="BD191" s="26">
        <v>4.2599999999999999E-2</v>
      </c>
      <c r="BE191" s="26">
        <v>4.2599999999999999E-2</v>
      </c>
      <c r="BF191" s="26">
        <v>6.3799999999999996E-2</v>
      </c>
      <c r="BG191" s="26" t="s">
        <v>22</v>
      </c>
      <c r="BH191" s="104">
        <f t="shared" si="156"/>
        <v>0.66657963446475199</v>
      </c>
      <c r="BI191" s="203">
        <f t="shared" si="157"/>
        <v>0.44438642297650127</v>
      </c>
      <c r="BK191" s="516" t="s">
        <v>24</v>
      </c>
      <c r="BL191" s="271">
        <v>46038</v>
      </c>
      <c r="BM191" s="198">
        <v>1341</v>
      </c>
      <c r="BN191" s="105">
        <v>6.5600000000000006E-2</v>
      </c>
      <c r="BO191" s="105">
        <v>3.5000000000000003E-2</v>
      </c>
      <c r="BP191" s="105">
        <v>2.1600000000000001E-2</v>
      </c>
      <c r="BQ191" s="105">
        <v>2.24E-2</v>
      </c>
      <c r="BR191" s="105">
        <v>1.2699999999999999E-2</v>
      </c>
      <c r="BS191" s="105">
        <v>2.46E-2</v>
      </c>
      <c r="BT191" s="105">
        <v>8.2000000000000007E-3</v>
      </c>
      <c r="BU191" s="26">
        <v>1.5E-3</v>
      </c>
      <c r="BV191" s="26">
        <v>1.5E-3</v>
      </c>
      <c r="BW191" s="26">
        <v>6.0000000000000001E-3</v>
      </c>
      <c r="BX191" s="26" t="s">
        <v>22</v>
      </c>
      <c r="BY191" s="104">
        <f t="shared" si="158"/>
        <v>0.53353658536585369</v>
      </c>
      <c r="BZ191" s="104">
        <f t="shared" si="159"/>
        <v>0.375</v>
      </c>
      <c r="CA191" s="197">
        <v>73</v>
      </c>
      <c r="CB191" s="105">
        <v>0.24660000000000001</v>
      </c>
      <c r="CC191" s="105">
        <v>0.12330000000000001</v>
      </c>
      <c r="CD191" s="105">
        <v>8.2199999999999995E-2</v>
      </c>
      <c r="CE191" s="105">
        <v>5.4800000000000001E-2</v>
      </c>
      <c r="CF191" s="105">
        <v>4.1099999999999998E-2</v>
      </c>
      <c r="CG191" s="105">
        <v>6.8500000000000005E-2</v>
      </c>
      <c r="CH191" s="105">
        <v>0</v>
      </c>
      <c r="CI191" s="26">
        <v>0</v>
      </c>
      <c r="CJ191" s="26">
        <v>0</v>
      </c>
      <c r="CK191" s="26">
        <v>0</v>
      </c>
      <c r="CL191" s="26" t="s">
        <v>22</v>
      </c>
      <c r="CM191" s="104">
        <f t="shared" si="160"/>
        <v>0.5</v>
      </c>
      <c r="CN191" s="203">
        <f t="shared" si="161"/>
        <v>0.27777777777777779</v>
      </c>
    </row>
    <row r="192" spans="1:92" ht="14.25" hidden="1" customHeight="1">
      <c r="A192" s="513"/>
      <c r="B192" s="271">
        <v>46039</v>
      </c>
      <c r="C192" s="240">
        <f t="shared" si="184"/>
        <v>3246</v>
      </c>
      <c r="D192" s="105">
        <f t="shared" si="164"/>
        <v>7.2073752310536046E-2</v>
      </c>
      <c r="E192" s="105">
        <f t="shared" si="165"/>
        <v>3.5711460258780033E-2</v>
      </c>
      <c r="F192" s="105">
        <f t="shared" si="166"/>
        <v>2.2757239679605669E-2</v>
      </c>
      <c r="G192" s="105">
        <f t="shared" si="167"/>
        <v>2.3403142329020334E-2</v>
      </c>
      <c r="H192" s="105">
        <f t="shared" si="168"/>
        <v>2.496229205175601E-2</v>
      </c>
      <c r="I192" s="105">
        <f t="shared" si="169"/>
        <v>1.5993468884781269E-2</v>
      </c>
      <c r="J192" s="105">
        <f t="shared" si="170"/>
        <v>1.6640911891558842E-2</v>
      </c>
      <c r="K192" s="105">
        <f t="shared" si="171"/>
        <v>7.1327171903881699E-3</v>
      </c>
      <c r="L192" s="105">
        <f t="shared" si="172"/>
        <v>4.0016019716574243E-3</v>
      </c>
      <c r="M192" s="105">
        <f t="shared" si="173"/>
        <v>6.7573629081947011E-3</v>
      </c>
      <c r="N192" s="105" t="s">
        <v>22</v>
      </c>
      <c r="O192" s="104">
        <f t="shared" si="139"/>
        <v>0.49548495969675743</v>
      </c>
      <c r="P192" s="203">
        <f t="shared" si="140"/>
        <v>0.22190420745505263</v>
      </c>
      <c r="Q192" s="157">
        <f t="shared" si="185"/>
        <v>82</v>
      </c>
      <c r="R192" s="105">
        <f t="shared" si="174"/>
        <v>0.29269999999999996</v>
      </c>
      <c r="S192" s="105">
        <f t="shared" si="175"/>
        <v>0.19511707317073171</v>
      </c>
      <c r="T192" s="105">
        <f t="shared" si="176"/>
        <v>0.10977317073170732</v>
      </c>
      <c r="U192" s="105">
        <f t="shared" si="177"/>
        <v>9.7590243902439019E-2</v>
      </c>
      <c r="V192" s="105">
        <f t="shared" si="178"/>
        <v>0.10977317073170732</v>
      </c>
      <c r="W192" s="105">
        <f t="shared" si="179"/>
        <v>8.5351219512195112E-2</v>
      </c>
      <c r="X192" s="105">
        <f t="shared" si="180"/>
        <v>9.7534146341463415E-2</v>
      </c>
      <c r="Y192" s="105">
        <f t="shared" si="181"/>
        <v>6.0999999999999999E-2</v>
      </c>
      <c r="Z192" s="105">
        <f t="shared" si="182"/>
        <v>4.8760975609756098E-2</v>
      </c>
      <c r="AA192" s="105">
        <f t="shared" si="183"/>
        <v>4.8760975609756098E-2</v>
      </c>
      <c r="AB192" s="105" t="s">
        <v>22</v>
      </c>
      <c r="AC192" s="104">
        <f t="shared" si="152"/>
        <v>0.66661111435166287</v>
      </c>
      <c r="AD192" s="203">
        <f t="shared" si="153"/>
        <v>0.2915996566866933</v>
      </c>
      <c r="AE192" s="1"/>
      <c r="AF192" s="513"/>
      <c r="AG192" s="271">
        <v>46039</v>
      </c>
      <c r="AH192" s="198">
        <v>1756</v>
      </c>
      <c r="AI192" s="105">
        <v>7.2900000000000006E-2</v>
      </c>
      <c r="AJ192" s="105">
        <v>3.6400000000000002E-2</v>
      </c>
      <c r="AK192" s="105">
        <v>2.9000000000000001E-2</v>
      </c>
      <c r="AL192" s="105">
        <v>2.9600000000000001E-2</v>
      </c>
      <c r="AM192" s="105">
        <v>2.5100000000000001E-2</v>
      </c>
      <c r="AN192" s="105">
        <v>1.4800000000000001E-2</v>
      </c>
      <c r="AO192" s="105">
        <v>1.9900000000000001E-2</v>
      </c>
      <c r="AP192" s="26">
        <v>1.03E-2</v>
      </c>
      <c r="AQ192" s="26">
        <v>5.7000000000000002E-3</v>
      </c>
      <c r="AR192" s="26">
        <v>7.4000000000000003E-3</v>
      </c>
      <c r="AS192" s="26" t="s">
        <v>22</v>
      </c>
      <c r="AT192" s="104">
        <f t="shared" si="154"/>
        <v>0.49931412894375854</v>
      </c>
      <c r="AU192" s="104">
        <f t="shared" si="155"/>
        <v>0.20301783264746226</v>
      </c>
      <c r="AV192" s="197">
        <v>30</v>
      </c>
      <c r="AW192" s="105">
        <v>0.26669999999999999</v>
      </c>
      <c r="AX192" s="105">
        <v>0.2</v>
      </c>
      <c r="AY192" s="105">
        <v>0.1333</v>
      </c>
      <c r="AZ192" s="105">
        <v>0.1</v>
      </c>
      <c r="BA192" s="105">
        <v>0.1333</v>
      </c>
      <c r="BB192" s="105">
        <v>0.1</v>
      </c>
      <c r="BC192" s="105">
        <v>0.1333</v>
      </c>
      <c r="BD192" s="26">
        <v>0.1</v>
      </c>
      <c r="BE192" s="26">
        <v>0.1</v>
      </c>
      <c r="BF192" s="26">
        <v>0.1</v>
      </c>
      <c r="BG192" s="26" t="s">
        <v>22</v>
      </c>
      <c r="BH192" s="104">
        <f t="shared" si="156"/>
        <v>0.74990626171728536</v>
      </c>
      <c r="BI192" s="203">
        <f t="shared" si="157"/>
        <v>0.37495313085864268</v>
      </c>
      <c r="BK192" s="513"/>
      <c r="BL192" s="271">
        <v>46039</v>
      </c>
      <c r="BM192" s="198">
        <v>1490</v>
      </c>
      <c r="BN192" s="105">
        <v>7.1099999999999997E-2</v>
      </c>
      <c r="BO192" s="105">
        <v>3.49E-2</v>
      </c>
      <c r="BP192" s="105">
        <v>1.54E-2</v>
      </c>
      <c r="BQ192" s="105">
        <v>1.61E-2</v>
      </c>
      <c r="BR192" s="105">
        <v>2.4799999999999999E-2</v>
      </c>
      <c r="BS192" s="105">
        <v>1.7399999999999999E-2</v>
      </c>
      <c r="BT192" s="105">
        <v>1.2800000000000001E-2</v>
      </c>
      <c r="BU192" s="26">
        <v>3.3999999999999998E-3</v>
      </c>
      <c r="BV192" s="26">
        <v>2E-3</v>
      </c>
      <c r="BW192" s="26">
        <v>6.0000000000000001E-3</v>
      </c>
      <c r="BX192" s="26" t="s">
        <v>22</v>
      </c>
      <c r="BY192" s="104">
        <f t="shared" si="158"/>
        <v>0.4908579465541491</v>
      </c>
      <c r="BZ192" s="104">
        <f t="shared" si="159"/>
        <v>0.24472573839662448</v>
      </c>
      <c r="CA192" s="197">
        <v>52</v>
      </c>
      <c r="CB192" s="105">
        <v>0.30769999999999997</v>
      </c>
      <c r="CC192" s="105">
        <v>0.1923</v>
      </c>
      <c r="CD192" s="105">
        <v>9.6199999999999994E-2</v>
      </c>
      <c r="CE192" s="105">
        <v>9.6199999999999994E-2</v>
      </c>
      <c r="CF192" s="105">
        <v>9.6199999999999994E-2</v>
      </c>
      <c r="CG192" s="105">
        <v>7.6899999999999996E-2</v>
      </c>
      <c r="CH192" s="105">
        <v>7.6899999999999996E-2</v>
      </c>
      <c r="CI192" s="26">
        <v>3.85E-2</v>
      </c>
      <c r="CJ192" s="26">
        <v>1.9199999999999998E-2</v>
      </c>
      <c r="CK192" s="26">
        <v>1.9199999999999998E-2</v>
      </c>
      <c r="CL192" s="26" t="s">
        <v>22</v>
      </c>
      <c r="CM192" s="104">
        <f t="shared" si="160"/>
        <v>0.6249593760155997</v>
      </c>
      <c r="CN192" s="203">
        <f t="shared" si="161"/>
        <v>0.24991875203119923</v>
      </c>
    </row>
    <row r="193" spans="1:92" ht="14.25" hidden="1" customHeight="1">
      <c r="B193" s="269">
        <v>46040</v>
      </c>
      <c r="C193" s="315">
        <f t="shared" si="184"/>
        <v>3087</v>
      </c>
      <c r="D193" s="105">
        <f t="shared" si="164"/>
        <v>6.9617589893100087E-2</v>
      </c>
      <c r="E193" s="105">
        <f t="shared" si="165"/>
        <v>4.598134110787172E-2</v>
      </c>
      <c r="F193" s="105">
        <f t="shared" si="166"/>
        <v>2.81955296404276E-2</v>
      </c>
      <c r="G193" s="105">
        <f t="shared" si="167"/>
        <v>2.7531972789115643E-2</v>
      </c>
      <c r="H193" s="105">
        <f t="shared" si="168"/>
        <v>2.5940233236151605E-2</v>
      </c>
      <c r="I193" s="105">
        <f t="shared" si="169"/>
        <v>2.7187074829931976E-2</v>
      </c>
      <c r="J193" s="105">
        <f t="shared" si="170"/>
        <v>1.0702526724975705E-2</v>
      </c>
      <c r="K193" s="105">
        <f t="shared" si="171"/>
        <v>7.8095238095238096E-3</v>
      </c>
      <c r="L193" s="105">
        <f t="shared" si="172"/>
        <v>5.4612244897959189E-3</v>
      </c>
      <c r="M193" s="105">
        <f t="shared" si="173"/>
        <v>5.1917395529640416E-3</v>
      </c>
      <c r="N193" s="105" t="s">
        <v>22</v>
      </c>
      <c r="O193" s="104">
        <f t="shared" si="139"/>
        <v>0.66048452953452508</v>
      </c>
      <c r="P193" s="203">
        <f t="shared" si="140"/>
        <v>0.39052019571028745</v>
      </c>
      <c r="Q193" s="170">
        <f t="shared" si="185"/>
        <v>86</v>
      </c>
      <c r="R193" s="105">
        <f t="shared" si="174"/>
        <v>0.5116325581395349</v>
      </c>
      <c r="S193" s="105">
        <f t="shared" si="175"/>
        <v>0.3256</v>
      </c>
      <c r="T193" s="105">
        <f t="shared" si="176"/>
        <v>0.23258372093023255</v>
      </c>
      <c r="U193" s="105">
        <f t="shared" si="177"/>
        <v>0.19770232558139536</v>
      </c>
      <c r="V193" s="105">
        <f t="shared" si="178"/>
        <v>0.20931860465116278</v>
      </c>
      <c r="W193" s="105">
        <f t="shared" si="179"/>
        <v>0.1860325581395349</v>
      </c>
      <c r="X193" s="105">
        <f t="shared" si="180"/>
        <v>9.3039534883720937E-2</v>
      </c>
      <c r="Y193" s="105">
        <f t="shared" si="181"/>
        <v>6.9813953488372091E-2</v>
      </c>
      <c r="Z193" s="105">
        <f t="shared" si="182"/>
        <v>6.9813953488372091E-2</v>
      </c>
      <c r="AA193" s="105">
        <f t="shared" si="183"/>
        <v>4.6558139534883719E-2</v>
      </c>
      <c r="AB193" s="105" t="s">
        <v>22</v>
      </c>
      <c r="AC193" s="104">
        <f t="shared" si="152"/>
        <v>0.63639421459804912</v>
      </c>
      <c r="AD193" s="203">
        <f t="shared" si="153"/>
        <v>0.36360578540195093</v>
      </c>
      <c r="AE193" s="1"/>
      <c r="AG193" s="269">
        <v>46040</v>
      </c>
      <c r="AH193" s="200">
        <v>1707</v>
      </c>
      <c r="AI193" s="105">
        <v>6.8500000000000005E-2</v>
      </c>
      <c r="AJ193" s="105">
        <v>4.9200000000000001E-2</v>
      </c>
      <c r="AK193" s="105">
        <v>3.2800000000000003E-2</v>
      </c>
      <c r="AL193" s="105">
        <v>3.1600000000000003E-2</v>
      </c>
      <c r="AM193" s="105">
        <v>3.0499999999999999E-2</v>
      </c>
      <c r="AN193" s="105">
        <v>2.75E-2</v>
      </c>
      <c r="AO193" s="105">
        <v>1.41E-2</v>
      </c>
      <c r="AP193" s="26">
        <v>0.01</v>
      </c>
      <c r="AQ193" s="26">
        <v>6.4000000000000003E-3</v>
      </c>
      <c r="AR193" s="26">
        <v>4.7000000000000002E-3</v>
      </c>
      <c r="AS193" s="26" t="s">
        <v>22</v>
      </c>
      <c r="AT193" s="104">
        <f t="shared" si="154"/>
        <v>0.71824817518248174</v>
      </c>
      <c r="AU193" s="104">
        <f t="shared" si="155"/>
        <v>0.40145985401459849</v>
      </c>
      <c r="AV193" s="196">
        <v>32</v>
      </c>
      <c r="AW193" s="105">
        <v>0.375</v>
      </c>
      <c r="AX193" s="105">
        <v>0.25</v>
      </c>
      <c r="AY193" s="105">
        <v>0.1875</v>
      </c>
      <c r="AZ193" s="105">
        <v>0.21879999999999999</v>
      </c>
      <c r="BA193" s="105">
        <v>0.21879999999999999</v>
      </c>
      <c r="BB193" s="105">
        <v>0.125</v>
      </c>
      <c r="BC193" s="105">
        <v>0.125</v>
      </c>
      <c r="BD193" s="26">
        <v>9.3799999999999994E-2</v>
      </c>
      <c r="BE193" s="26">
        <v>9.3799999999999994E-2</v>
      </c>
      <c r="BF193" s="26">
        <v>3.1300000000000001E-2</v>
      </c>
      <c r="BG193" s="26" t="s">
        <v>22</v>
      </c>
      <c r="BH193" s="104">
        <f t="shared" si="156"/>
        <v>0.66666666666666663</v>
      </c>
      <c r="BI193" s="203">
        <f t="shared" si="157"/>
        <v>0.33333333333333331</v>
      </c>
      <c r="BK193" s="41"/>
      <c r="BL193" s="269">
        <v>46040</v>
      </c>
      <c r="BM193" s="200">
        <v>1380</v>
      </c>
      <c r="BN193" s="105">
        <v>7.0999999999999994E-2</v>
      </c>
      <c r="BO193" s="105">
        <v>4.2000000000000003E-2</v>
      </c>
      <c r="BP193" s="105">
        <v>2.2499999999999999E-2</v>
      </c>
      <c r="BQ193" s="105">
        <v>2.2499999999999999E-2</v>
      </c>
      <c r="BR193" s="105">
        <v>2.0299999999999999E-2</v>
      </c>
      <c r="BS193" s="105">
        <v>2.6800000000000001E-2</v>
      </c>
      <c r="BT193" s="105">
        <v>6.4999999999999997E-3</v>
      </c>
      <c r="BU193" s="26">
        <v>5.1000000000000004E-3</v>
      </c>
      <c r="BV193" s="26">
        <v>4.3E-3</v>
      </c>
      <c r="BW193" s="26">
        <v>5.7999999999999996E-3</v>
      </c>
      <c r="BX193" s="26" t="s">
        <v>22</v>
      </c>
      <c r="BY193" s="104">
        <f t="shared" si="158"/>
        <v>0.59154929577464799</v>
      </c>
      <c r="BZ193" s="104">
        <f t="shared" si="159"/>
        <v>0.37746478873239442</v>
      </c>
      <c r="CA193" s="196">
        <v>54</v>
      </c>
      <c r="CB193" s="105">
        <v>0.59260000000000002</v>
      </c>
      <c r="CC193" s="105">
        <v>0.37040000000000001</v>
      </c>
      <c r="CD193" s="105">
        <v>0.25929999999999997</v>
      </c>
      <c r="CE193" s="105">
        <v>0.1852</v>
      </c>
      <c r="CF193" s="105">
        <v>0.20369999999999999</v>
      </c>
      <c r="CG193" s="105">
        <v>0.22220000000000001</v>
      </c>
      <c r="CH193" s="105">
        <v>7.4099999999999999E-2</v>
      </c>
      <c r="CI193" s="26">
        <v>5.5599999999999997E-2</v>
      </c>
      <c r="CJ193" s="26">
        <v>5.5599999999999997E-2</v>
      </c>
      <c r="CK193" s="26">
        <v>5.5599999999999997E-2</v>
      </c>
      <c r="CL193" s="26" t="s">
        <v>22</v>
      </c>
      <c r="CM193" s="104">
        <f t="shared" si="160"/>
        <v>0.62504218697266278</v>
      </c>
      <c r="CN193" s="203">
        <f t="shared" si="161"/>
        <v>0.37495781302733716</v>
      </c>
    </row>
    <row r="194" spans="1:92" ht="14.25" hidden="1" customHeight="1">
      <c r="A194" s="623" t="s">
        <v>25</v>
      </c>
      <c r="B194" s="271">
        <v>46041</v>
      </c>
      <c r="C194" s="240">
        <f t="shared" si="184"/>
        <v>2460</v>
      </c>
      <c r="D194" s="105">
        <f t="shared" si="164"/>
        <v>6.8681178861788608E-2</v>
      </c>
      <c r="E194" s="105">
        <f t="shared" si="165"/>
        <v>3.3727682926829268E-2</v>
      </c>
      <c r="F194" s="105">
        <f t="shared" si="166"/>
        <v>2.7244390243902437E-2</v>
      </c>
      <c r="G194" s="105">
        <f t="shared" si="167"/>
        <v>2.0735934959349594E-2</v>
      </c>
      <c r="H194" s="105">
        <f t="shared" si="168"/>
        <v>1.707378048780488E-2</v>
      </c>
      <c r="I194" s="105">
        <f t="shared" si="169"/>
        <v>2.3160040650406503E-2</v>
      </c>
      <c r="J194" s="105">
        <f t="shared" si="170"/>
        <v>1.0979065040650406E-2</v>
      </c>
      <c r="K194" s="105">
        <f t="shared" si="171"/>
        <v>8.98329268292683E-3</v>
      </c>
      <c r="L194" s="105">
        <f t="shared" si="172"/>
        <v>5.2706097560975612E-3</v>
      </c>
      <c r="M194" s="105">
        <f t="shared" si="173"/>
        <v>6.8947154471544723E-3</v>
      </c>
      <c r="N194" s="105" t="s">
        <v>22</v>
      </c>
      <c r="O194" s="104">
        <f t="shared" si="139"/>
        <v>0.49107606313370905</v>
      </c>
      <c r="P194" s="203">
        <f t="shared" si="140"/>
        <v>0.33721087835450358</v>
      </c>
      <c r="Q194" s="157">
        <f t="shared" si="185"/>
        <v>80</v>
      </c>
      <c r="R194" s="105">
        <f t="shared" si="174"/>
        <v>0.36249000000000003</v>
      </c>
      <c r="S194" s="105">
        <f t="shared" si="175"/>
        <v>0.21249125000000002</v>
      </c>
      <c r="T194" s="105">
        <f t="shared" si="176"/>
        <v>0.15001625000000002</v>
      </c>
      <c r="U194" s="105">
        <f t="shared" si="177"/>
        <v>0.12499499999999999</v>
      </c>
      <c r="V194" s="105">
        <f t="shared" si="178"/>
        <v>0.10000125</v>
      </c>
      <c r="W194" s="105">
        <f t="shared" si="179"/>
        <v>0.13749249999999999</v>
      </c>
      <c r="X194" s="105">
        <f t="shared" si="180"/>
        <v>8.7513750000000001E-2</v>
      </c>
      <c r="Y194" s="105">
        <f t="shared" si="181"/>
        <v>7.4990000000000001E-2</v>
      </c>
      <c r="Z194" s="105">
        <f t="shared" si="182"/>
        <v>6.2502500000000003E-2</v>
      </c>
      <c r="AA194" s="105">
        <f t="shared" si="183"/>
        <v>5.0032500000000001E-2</v>
      </c>
      <c r="AB194" s="105" t="s">
        <v>22</v>
      </c>
      <c r="AC194" s="104">
        <f t="shared" si="152"/>
        <v>0.58619892962564479</v>
      </c>
      <c r="AD194" s="203">
        <f t="shared" si="153"/>
        <v>0.37930011862396196</v>
      </c>
      <c r="AE194" s="1"/>
      <c r="AF194" s="536" t="s">
        <v>25</v>
      </c>
      <c r="AG194" s="271">
        <v>46041</v>
      </c>
      <c r="AH194" s="198">
        <v>1243</v>
      </c>
      <c r="AI194" s="105">
        <v>7.1599999999999997E-2</v>
      </c>
      <c r="AJ194" s="105">
        <v>4.1000000000000002E-2</v>
      </c>
      <c r="AK194" s="105">
        <v>3.1399999999999997E-2</v>
      </c>
      <c r="AL194" s="105">
        <v>2.41E-2</v>
      </c>
      <c r="AM194" s="105">
        <v>1.9300000000000001E-2</v>
      </c>
      <c r="AN194" s="105">
        <v>2.41E-2</v>
      </c>
      <c r="AO194" s="105">
        <v>1.37E-2</v>
      </c>
      <c r="AP194" s="26">
        <v>1.21E-2</v>
      </c>
      <c r="AQ194" s="26">
        <v>7.1999999999999998E-3</v>
      </c>
      <c r="AR194" s="26">
        <v>6.4000000000000003E-3</v>
      </c>
      <c r="AS194" s="26" t="s">
        <v>22</v>
      </c>
      <c r="AT194" s="104">
        <f t="shared" si="154"/>
        <v>0.57262569832402244</v>
      </c>
      <c r="AU194" s="104">
        <f t="shared" si="155"/>
        <v>0.33659217877094971</v>
      </c>
      <c r="AV194" s="197">
        <v>37</v>
      </c>
      <c r="AW194" s="105">
        <v>0.37840000000000001</v>
      </c>
      <c r="AX194" s="105">
        <v>0.2162</v>
      </c>
      <c r="AY194" s="105">
        <v>0.18920000000000001</v>
      </c>
      <c r="AZ194" s="105">
        <v>0.1351</v>
      </c>
      <c r="BA194" s="105">
        <v>0.1351</v>
      </c>
      <c r="BB194" s="105">
        <v>0.18920000000000001</v>
      </c>
      <c r="BC194" s="105">
        <v>0.1081</v>
      </c>
      <c r="BD194" s="26">
        <v>0.1081</v>
      </c>
      <c r="BE194" s="26">
        <v>8.1100000000000005E-2</v>
      </c>
      <c r="BF194" s="26">
        <v>8.1100000000000005E-2</v>
      </c>
      <c r="BG194" s="26" t="s">
        <v>22</v>
      </c>
      <c r="BH194" s="104">
        <f t="shared" si="156"/>
        <v>0.57135306553911203</v>
      </c>
      <c r="BI194" s="203">
        <f t="shared" si="157"/>
        <v>0.5</v>
      </c>
      <c r="BK194" s="512" t="s">
        <v>25</v>
      </c>
      <c r="BL194" s="271">
        <v>46041</v>
      </c>
      <c r="BM194" s="198">
        <v>1217</v>
      </c>
      <c r="BN194" s="105">
        <v>6.5699999999999995E-2</v>
      </c>
      <c r="BO194" s="105">
        <v>2.63E-2</v>
      </c>
      <c r="BP194" s="105">
        <v>2.3E-2</v>
      </c>
      <c r="BQ194" s="105">
        <v>1.7299999999999999E-2</v>
      </c>
      <c r="BR194" s="105">
        <v>1.4800000000000001E-2</v>
      </c>
      <c r="BS194" s="105">
        <v>2.2200000000000001E-2</v>
      </c>
      <c r="BT194" s="105">
        <v>8.2000000000000007E-3</v>
      </c>
      <c r="BU194" s="26">
        <v>5.7999999999999996E-3</v>
      </c>
      <c r="BV194" s="26">
        <v>3.3E-3</v>
      </c>
      <c r="BW194" s="26">
        <v>7.4000000000000003E-3</v>
      </c>
      <c r="BX194" s="26" t="s">
        <v>22</v>
      </c>
      <c r="BY194" s="104">
        <f t="shared" si="158"/>
        <v>0.40030441400304417</v>
      </c>
      <c r="BZ194" s="104">
        <f t="shared" si="159"/>
        <v>0.33789954337899547</v>
      </c>
      <c r="CA194" s="197">
        <v>43</v>
      </c>
      <c r="CB194" s="105">
        <v>0.3488</v>
      </c>
      <c r="CC194" s="105">
        <v>0.20930000000000001</v>
      </c>
      <c r="CD194" s="105">
        <v>0.1163</v>
      </c>
      <c r="CE194" s="105">
        <v>0.1163</v>
      </c>
      <c r="CF194" s="105">
        <v>6.9800000000000001E-2</v>
      </c>
      <c r="CG194" s="105">
        <v>9.2999999999999999E-2</v>
      </c>
      <c r="CH194" s="105">
        <v>6.9800000000000001E-2</v>
      </c>
      <c r="CI194" s="26">
        <v>4.65E-2</v>
      </c>
      <c r="CJ194" s="26">
        <v>4.65E-2</v>
      </c>
      <c r="CK194" s="26">
        <v>2.3300000000000001E-2</v>
      </c>
      <c r="CL194" s="26" t="s">
        <v>22</v>
      </c>
      <c r="CM194" s="104">
        <f t="shared" si="160"/>
        <v>0.60005733944954132</v>
      </c>
      <c r="CN194" s="203">
        <f t="shared" si="161"/>
        <v>0.26662844036697247</v>
      </c>
    </row>
    <row r="195" spans="1:92" ht="14.25" hidden="1" customHeight="1">
      <c r="A195" s="513"/>
      <c r="B195" s="271">
        <v>46042</v>
      </c>
      <c r="C195" s="240">
        <f t="shared" si="184"/>
        <v>2340</v>
      </c>
      <c r="D195" s="105">
        <f t="shared" si="164"/>
        <v>8.2481410256410259E-2</v>
      </c>
      <c r="E195" s="105">
        <f t="shared" si="165"/>
        <v>5.213525641025641E-2</v>
      </c>
      <c r="F195" s="105">
        <f t="shared" si="166"/>
        <v>3.5870512820512825E-2</v>
      </c>
      <c r="G195" s="105">
        <f t="shared" si="167"/>
        <v>2.9896153846153843E-2</v>
      </c>
      <c r="H195" s="105">
        <f t="shared" si="168"/>
        <v>2.3509615384615386E-2</v>
      </c>
      <c r="I195" s="105">
        <f t="shared" si="169"/>
        <v>2.0940384615384614E-2</v>
      </c>
      <c r="J195" s="105">
        <f t="shared" si="170"/>
        <v>1.1560897435897435E-2</v>
      </c>
      <c r="K195" s="105">
        <f t="shared" si="171"/>
        <v>6.404487179487179E-3</v>
      </c>
      <c r="L195" s="105">
        <f t="shared" si="172"/>
        <v>2.1237179487179486E-3</v>
      </c>
      <c r="M195" s="105">
        <f t="shared" si="173"/>
        <v>3.0083333333333329E-3</v>
      </c>
      <c r="N195" s="105" t="s">
        <v>22</v>
      </c>
      <c r="O195" s="104">
        <f t="shared" si="139"/>
        <v>0.63208492978215758</v>
      </c>
      <c r="P195" s="203">
        <f t="shared" si="140"/>
        <v>0.25388005067186853</v>
      </c>
      <c r="Q195" s="157">
        <f t="shared" si="185"/>
        <v>96</v>
      </c>
      <c r="R195" s="105">
        <f t="shared" si="174"/>
        <v>0.38541770833333339</v>
      </c>
      <c r="S195" s="105">
        <f t="shared" si="175"/>
        <v>0.291659375</v>
      </c>
      <c r="T195" s="105">
        <f t="shared" si="176"/>
        <v>0.20832291666666669</v>
      </c>
      <c r="U195" s="105">
        <f t="shared" si="177"/>
        <v>0.177115625</v>
      </c>
      <c r="V195" s="105">
        <f t="shared" si="178"/>
        <v>0.11456041666666666</v>
      </c>
      <c r="W195" s="105">
        <f t="shared" si="179"/>
        <v>0.11456041666666666</v>
      </c>
      <c r="X195" s="105">
        <f t="shared" si="180"/>
        <v>6.2484375000000009E-2</v>
      </c>
      <c r="Y195" s="105">
        <f t="shared" si="181"/>
        <v>3.1264583333333332E-2</v>
      </c>
      <c r="Z195" s="105">
        <f t="shared" si="182"/>
        <v>1.0436458333333334E-2</v>
      </c>
      <c r="AA195" s="105">
        <f t="shared" si="183"/>
        <v>2.0870833333333335E-2</v>
      </c>
      <c r="AB195" s="105" t="s">
        <v>22</v>
      </c>
      <c r="AC195" s="104">
        <f t="shared" si="152"/>
        <v>0.7567357926059658</v>
      </c>
      <c r="AD195" s="203">
        <f t="shared" si="153"/>
        <v>0.29723703449450134</v>
      </c>
      <c r="AE195" s="1"/>
      <c r="AF195" s="513"/>
      <c r="AG195" s="271">
        <v>46042</v>
      </c>
      <c r="AH195" s="198">
        <v>1245</v>
      </c>
      <c r="AI195" s="105">
        <v>7.7100000000000002E-2</v>
      </c>
      <c r="AJ195" s="105">
        <v>4.9000000000000002E-2</v>
      </c>
      <c r="AK195" s="105">
        <v>3.6900000000000002E-2</v>
      </c>
      <c r="AL195" s="105">
        <v>3.1300000000000001E-2</v>
      </c>
      <c r="AM195" s="105">
        <v>2.7300000000000001E-2</v>
      </c>
      <c r="AN195" s="105">
        <v>2.81E-2</v>
      </c>
      <c r="AO195" s="105">
        <v>1.61E-2</v>
      </c>
      <c r="AP195" s="26">
        <v>7.1999999999999998E-3</v>
      </c>
      <c r="AQ195" s="26">
        <v>3.2000000000000002E-3</v>
      </c>
      <c r="AR195" s="26">
        <v>2.3999999999999998E-3</v>
      </c>
      <c r="AS195" s="26" t="s">
        <v>22</v>
      </c>
      <c r="AT195" s="104">
        <f t="shared" si="154"/>
        <v>0.63553826199740593</v>
      </c>
      <c r="AU195" s="104">
        <f t="shared" si="155"/>
        <v>0.36446173800259402</v>
      </c>
      <c r="AV195" s="197">
        <v>43</v>
      </c>
      <c r="AW195" s="105">
        <v>0.39529999999999998</v>
      </c>
      <c r="AX195" s="105">
        <v>0.3488</v>
      </c>
      <c r="AY195" s="105">
        <v>0.27910000000000001</v>
      </c>
      <c r="AZ195" s="105">
        <v>0.2326</v>
      </c>
      <c r="BA195" s="105">
        <v>0.186</v>
      </c>
      <c r="BB195" s="105">
        <v>0.186</v>
      </c>
      <c r="BC195" s="105">
        <v>0.13950000000000001</v>
      </c>
      <c r="BD195" s="26">
        <v>6.9800000000000001E-2</v>
      </c>
      <c r="BE195" s="26">
        <v>2.3300000000000001E-2</v>
      </c>
      <c r="BF195" s="26">
        <v>2.3300000000000001E-2</v>
      </c>
      <c r="BG195" s="26" t="s">
        <v>22</v>
      </c>
      <c r="BH195" s="104">
        <f t="shared" si="156"/>
        <v>0.88236782190741214</v>
      </c>
      <c r="BI195" s="203">
        <f t="shared" si="157"/>
        <v>0.47052871237035165</v>
      </c>
      <c r="BK195" s="513"/>
      <c r="BL195" s="271">
        <v>46042</v>
      </c>
      <c r="BM195" s="198">
        <v>1095</v>
      </c>
      <c r="BN195" s="105">
        <v>8.8599999999999998E-2</v>
      </c>
      <c r="BO195" s="105">
        <v>5.57E-2</v>
      </c>
      <c r="BP195" s="105">
        <v>3.4700000000000002E-2</v>
      </c>
      <c r="BQ195" s="105">
        <v>2.8299999999999999E-2</v>
      </c>
      <c r="BR195" s="105">
        <v>1.9199999999999998E-2</v>
      </c>
      <c r="BS195" s="105">
        <v>1.2800000000000001E-2</v>
      </c>
      <c r="BT195" s="105">
        <v>6.4000000000000003E-3</v>
      </c>
      <c r="BU195" s="26">
        <v>5.4999999999999997E-3</v>
      </c>
      <c r="BV195" s="26">
        <v>8.9999999999999998E-4</v>
      </c>
      <c r="BW195" s="26">
        <v>3.7000000000000002E-3</v>
      </c>
      <c r="BX195" s="26" t="s">
        <v>22</v>
      </c>
      <c r="BY195" s="104">
        <f t="shared" si="158"/>
        <v>0.62866817155756205</v>
      </c>
      <c r="BZ195" s="104">
        <f t="shared" si="159"/>
        <v>0.14446952595936796</v>
      </c>
      <c r="CA195" s="197">
        <v>53</v>
      </c>
      <c r="CB195" s="105">
        <v>0.37740000000000001</v>
      </c>
      <c r="CC195" s="105">
        <v>0.24529999999999999</v>
      </c>
      <c r="CD195" s="105">
        <v>0.15090000000000001</v>
      </c>
      <c r="CE195" s="105">
        <v>0.1321</v>
      </c>
      <c r="CF195" s="105">
        <v>5.6599999999999998E-2</v>
      </c>
      <c r="CG195" s="105">
        <v>5.6599999999999998E-2</v>
      </c>
      <c r="CH195" s="105">
        <v>0</v>
      </c>
      <c r="CI195" s="26">
        <v>0</v>
      </c>
      <c r="CJ195" s="26">
        <v>0</v>
      </c>
      <c r="CK195" s="26">
        <v>1.89E-2</v>
      </c>
      <c r="CL195" s="26" t="s">
        <v>22</v>
      </c>
      <c r="CM195" s="104">
        <f t="shared" si="160"/>
        <v>0.64997350291467937</v>
      </c>
      <c r="CN195" s="203">
        <f t="shared" si="161"/>
        <v>0.14997350291467937</v>
      </c>
    </row>
    <row r="196" spans="1:92" ht="14.25" hidden="1" customHeight="1">
      <c r="A196" s="513"/>
      <c r="B196" s="271">
        <v>46043</v>
      </c>
      <c r="C196" s="240">
        <f t="shared" si="184"/>
        <v>1853</v>
      </c>
      <c r="D196" s="105">
        <f t="shared" si="164"/>
        <v>0.10198731786292499</v>
      </c>
      <c r="E196" s="105">
        <f t="shared" si="165"/>
        <v>5.505812196438209E-2</v>
      </c>
      <c r="F196" s="105">
        <f t="shared" si="166"/>
        <v>3.3983378305450618E-2</v>
      </c>
      <c r="G196" s="105">
        <f t="shared" si="167"/>
        <v>2.9147220723151644E-2</v>
      </c>
      <c r="H196" s="105">
        <f t="shared" si="168"/>
        <v>2.4256988667026445E-2</v>
      </c>
      <c r="I196" s="105">
        <f t="shared" si="169"/>
        <v>1.7770372369131138E-2</v>
      </c>
      <c r="J196" s="105">
        <f t="shared" si="170"/>
        <v>1.3499622234214788E-2</v>
      </c>
      <c r="K196" s="105">
        <f t="shared" si="171"/>
        <v>8.0904479222881822E-3</v>
      </c>
      <c r="L196" s="105">
        <f t="shared" si="172"/>
        <v>7.5749595250944419E-3</v>
      </c>
      <c r="M196" s="105">
        <f t="shared" si="173"/>
        <v>5.9246627091203456E-3</v>
      </c>
      <c r="N196" s="105" t="s">
        <v>22</v>
      </c>
      <c r="O196" s="104">
        <f t="shared" si="139"/>
        <v>0.53985263185744714</v>
      </c>
      <c r="P196" s="203">
        <f t="shared" si="140"/>
        <v>0.17424100115090022</v>
      </c>
      <c r="Q196" s="157">
        <f t="shared" si="185"/>
        <v>61</v>
      </c>
      <c r="R196" s="105">
        <f t="shared" si="174"/>
        <v>0.4098360655737705</v>
      </c>
      <c r="S196" s="105">
        <f t="shared" si="175"/>
        <v>0.32785737704918028</v>
      </c>
      <c r="T196" s="105">
        <f t="shared" si="176"/>
        <v>0.21310163934426229</v>
      </c>
      <c r="U196" s="105">
        <f t="shared" si="177"/>
        <v>0.19669999999999999</v>
      </c>
      <c r="V196" s="105">
        <f t="shared" si="178"/>
        <v>0.18031639344262296</v>
      </c>
      <c r="W196" s="105">
        <f t="shared" si="179"/>
        <v>0.1147655737704918</v>
      </c>
      <c r="X196" s="105">
        <f t="shared" si="180"/>
        <v>6.5552459016393436E-2</v>
      </c>
      <c r="Y196" s="105">
        <f t="shared" si="181"/>
        <v>3.2767213114754098E-2</v>
      </c>
      <c r="Z196" s="105">
        <f t="shared" si="182"/>
        <v>3.2767213114754098E-2</v>
      </c>
      <c r="AA196" s="105">
        <f t="shared" si="183"/>
        <v>3.2767213114754098E-2</v>
      </c>
      <c r="AB196" s="105" t="s">
        <v>22</v>
      </c>
      <c r="AC196" s="104">
        <f t="shared" si="152"/>
        <v>0.79997199999999991</v>
      </c>
      <c r="AD196" s="203">
        <f t="shared" si="153"/>
        <v>0.280028</v>
      </c>
      <c r="AE196" s="1"/>
      <c r="AF196" s="513"/>
      <c r="AG196" s="271">
        <v>46043</v>
      </c>
      <c r="AH196" s="198">
        <v>1194</v>
      </c>
      <c r="AI196" s="105">
        <v>8.0399999999999999E-2</v>
      </c>
      <c r="AJ196" s="105">
        <v>5.3600000000000002E-2</v>
      </c>
      <c r="AK196" s="105">
        <v>3.85E-2</v>
      </c>
      <c r="AL196" s="105">
        <v>2.6800000000000001E-2</v>
      </c>
      <c r="AM196" s="105">
        <v>2.76E-2</v>
      </c>
      <c r="AN196" s="105">
        <v>2.0899999999999998E-2</v>
      </c>
      <c r="AO196" s="105">
        <v>1.5100000000000001E-2</v>
      </c>
      <c r="AP196" s="26">
        <v>1.09E-2</v>
      </c>
      <c r="AQ196" s="26">
        <v>1.01E-2</v>
      </c>
      <c r="AR196" s="26">
        <v>5.0000000000000001E-3</v>
      </c>
      <c r="AS196" s="26" t="s">
        <v>22</v>
      </c>
      <c r="AT196" s="104">
        <f t="shared" si="154"/>
        <v>0.66666666666666674</v>
      </c>
      <c r="AU196" s="104">
        <f t="shared" si="155"/>
        <v>0.25995024875621892</v>
      </c>
      <c r="AV196" s="198">
        <v>38</v>
      </c>
      <c r="AW196" s="105">
        <v>0.31580000000000003</v>
      </c>
      <c r="AX196" s="105">
        <v>0.23680000000000001</v>
      </c>
      <c r="AY196" s="105">
        <v>0.21049999999999999</v>
      </c>
      <c r="AZ196" s="105">
        <v>0.21049999999999999</v>
      </c>
      <c r="BA196" s="105">
        <v>0.1842</v>
      </c>
      <c r="BB196" s="105">
        <v>0.15790000000000001</v>
      </c>
      <c r="BC196" s="105">
        <v>7.8899999999999998E-2</v>
      </c>
      <c r="BD196" s="26">
        <v>5.2600000000000001E-2</v>
      </c>
      <c r="BE196" s="26">
        <v>5.2600000000000001E-2</v>
      </c>
      <c r="BF196" s="26">
        <v>5.2600000000000001E-2</v>
      </c>
      <c r="BG196" s="26" t="s">
        <v>22</v>
      </c>
      <c r="BH196" s="104">
        <f t="shared" si="156"/>
        <v>0.74984167194426854</v>
      </c>
      <c r="BI196" s="203">
        <f t="shared" si="157"/>
        <v>0.5</v>
      </c>
      <c r="BK196" s="513"/>
      <c r="BL196" s="271">
        <v>46043</v>
      </c>
      <c r="BM196" s="198">
        <v>659</v>
      </c>
      <c r="BN196" s="105">
        <v>0.1411</v>
      </c>
      <c r="BO196" s="105">
        <v>5.7700000000000001E-2</v>
      </c>
      <c r="BP196" s="105">
        <v>2.58E-2</v>
      </c>
      <c r="BQ196" s="105">
        <v>3.3399999999999999E-2</v>
      </c>
      <c r="BR196" s="105">
        <v>1.8200000000000001E-2</v>
      </c>
      <c r="BS196" s="105">
        <v>1.21E-2</v>
      </c>
      <c r="BT196" s="105">
        <v>1.06E-2</v>
      </c>
      <c r="BU196" s="26">
        <v>3.0000000000000001E-3</v>
      </c>
      <c r="BV196" s="26">
        <v>3.0000000000000001E-3</v>
      </c>
      <c r="BW196" s="26">
        <v>7.6E-3</v>
      </c>
      <c r="BX196" s="26" t="s">
        <v>22</v>
      </c>
      <c r="BY196" s="104">
        <f t="shared" si="158"/>
        <v>0.40892983699503899</v>
      </c>
      <c r="BZ196" s="104">
        <f t="shared" si="159"/>
        <v>8.5754783841247337E-2</v>
      </c>
      <c r="CA196" s="198">
        <v>23</v>
      </c>
      <c r="CB196" s="105">
        <v>0.56520000000000004</v>
      </c>
      <c r="CC196" s="105">
        <v>0.4783</v>
      </c>
      <c r="CD196" s="105">
        <v>0.21740000000000001</v>
      </c>
      <c r="CE196" s="105">
        <v>0.1739</v>
      </c>
      <c r="CF196" s="105">
        <v>0.1739</v>
      </c>
      <c r="CG196" s="105">
        <v>4.3499999999999997E-2</v>
      </c>
      <c r="CH196" s="105">
        <v>4.3499999999999997E-2</v>
      </c>
      <c r="CI196" s="26">
        <v>0</v>
      </c>
      <c r="CJ196" s="26">
        <v>0</v>
      </c>
      <c r="CK196" s="26">
        <v>0</v>
      </c>
      <c r="CL196" s="26" t="s">
        <v>22</v>
      </c>
      <c r="CM196" s="104">
        <f t="shared" si="160"/>
        <v>0.84624911535739555</v>
      </c>
      <c r="CN196" s="203">
        <f t="shared" si="161"/>
        <v>7.696390658174096E-2</v>
      </c>
    </row>
    <row r="197" spans="1:92" ht="14.25" hidden="1" customHeight="1">
      <c r="A197" s="622" t="s">
        <v>26</v>
      </c>
      <c r="B197" s="272">
        <v>46044</v>
      </c>
      <c r="C197" s="241">
        <f t="shared" si="184"/>
        <v>2248</v>
      </c>
      <c r="D197" s="105">
        <f t="shared" si="164"/>
        <v>7.964421708185053E-2</v>
      </c>
      <c r="E197" s="105">
        <f t="shared" si="165"/>
        <v>4.0938345195729538E-2</v>
      </c>
      <c r="F197" s="105">
        <f t="shared" si="166"/>
        <v>3.2458896797153025E-2</v>
      </c>
      <c r="G197" s="105">
        <f t="shared" si="167"/>
        <v>2.6695862989323842E-2</v>
      </c>
      <c r="H197" s="105">
        <f t="shared" si="168"/>
        <v>2.1767704626334521E-2</v>
      </c>
      <c r="I197" s="105">
        <f t="shared" si="169"/>
        <v>2.4873754448398577E-2</v>
      </c>
      <c r="J197" s="105">
        <f t="shared" si="170"/>
        <v>1.3334030249110319E-2</v>
      </c>
      <c r="K197" s="105">
        <f t="shared" si="171"/>
        <v>9.3516459074733105E-3</v>
      </c>
      <c r="L197" s="105">
        <f t="shared" si="172"/>
        <v>6.2455960854092525E-3</v>
      </c>
      <c r="M197" s="105">
        <f t="shared" si="173"/>
        <v>7.1205516014234867E-3</v>
      </c>
      <c r="N197" s="105" t="s">
        <v>22</v>
      </c>
      <c r="O197" s="104">
        <f t="shared" si="139"/>
        <v>0.51401528818667541</v>
      </c>
      <c r="P197" s="203">
        <f t="shared" si="140"/>
        <v>0.31231086649813844</v>
      </c>
      <c r="Q197" s="158">
        <f t="shared" si="185"/>
        <v>99</v>
      </c>
      <c r="R197" s="105">
        <f t="shared" si="174"/>
        <v>0.4040292929292929</v>
      </c>
      <c r="S197" s="105">
        <f t="shared" si="175"/>
        <v>0.20203737373737374</v>
      </c>
      <c r="T197" s="105">
        <f t="shared" si="176"/>
        <v>0.131279797979798</v>
      </c>
      <c r="U197" s="105">
        <f t="shared" si="177"/>
        <v>0.13132525252525254</v>
      </c>
      <c r="V197" s="105">
        <f t="shared" si="178"/>
        <v>0.13133434343434344</v>
      </c>
      <c r="W197" s="105">
        <f t="shared" si="179"/>
        <v>0.14141616161616161</v>
      </c>
      <c r="X197" s="105">
        <f t="shared" si="180"/>
        <v>9.087777777777778E-2</v>
      </c>
      <c r="Y197" s="105">
        <f t="shared" si="181"/>
        <v>6.0613131313131313E-2</v>
      </c>
      <c r="Z197" s="105">
        <f t="shared" si="182"/>
        <v>4.0447474747474753E-2</v>
      </c>
      <c r="AA197" s="105">
        <f t="shared" si="183"/>
        <v>3.0319191919191923E-2</v>
      </c>
      <c r="AB197" s="105" t="s">
        <v>22</v>
      </c>
      <c r="AC197" s="104">
        <f t="shared" si="152"/>
        <v>0.50005625154691757</v>
      </c>
      <c r="AD197" s="203">
        <f t="shared" si="153"/>
        <v>0.35001462540219858</v>
      </c>
      <c r="AE197" s="1"/>
      <c r="AF197" s="535" t="s">
        <v>26</v>
      </c>
      <c r="AG197" s="272">
        <v>46044</v>
      </c>
      <c r="AH197" s="125">
        <v>1091</v>
      </c>
      <c r="AI197" s="105">
        <v>8.1600000000000006E-2</v>
      </c>
      <c r="AJ197" s="105">
        <v>4.3099999999999999E-2</v>
      </c>
      <c r="AK197" s="105">
        <v>3.39E-2</v>
      </c>
      <c r="AL197" s="105">
        <v>3.2099999999999997E-2</v>
      </c>
      <c r="AM197" s="105">
        <v>2.29E-2</v>
      </c>
      <c r="AN197" s="105">
        <v>2.93E-2</v>
      </c>
      <c r="AO197" s="105">
        <v>1.7399999999999999E-2</v>
      </c>
      <c r="AP197" s="26">
        <v>1.2800000000000001E-2</v>
      </c>
      <c r="AQ197" s="26">
        <v>6.4000000000000003E-3</v>
      </c>
      <c r="AR197" s="26">
        <v>6.4000000000000003E-3</v>
      </c>
      <c r="AS197" s="26" t="s">
        <v>22</v>
      </c>
      <c r="AT197" s="104">
        <f t="shared" si="154"/>
        <v>0.52818627450980382</v>
      </c>
      <c r="AU197" s="104">
        <f t="shared" si="155"/>
        <v>0.35906862745098034</v>
      </c>
      <c r="AV197" s="199">
        <v>37</v>
      </c>
      <c r="AW197" s="105">
        <v>0.51349999999999996</v>
      </c>
      <c r="AX197" s="105">
        <v>0.27029999999999998</v>
      </c>
      <c r="AY197" s="105">
        <v>0.1351</v>
      </c>
      <c r="AZ197" s="105">
        <v>0.16220000000000001</v>
      </c>
      <c r="BA197" s="105">
        <v>0.1081</v>
      </c>
      <c r="BB197" s="105">
        <v>0.18920000000000001</v>
      </c>
      <c r="BC197" s="105">
        <v>0.1081</v>
      </c>
      <c r="BD197" s="26">
        <v>5.4100000000000002E-2</v>
      </c>
      <c r="BE197" s="26">
        <v>5.4100000000000002E-2</v>
      </c>
      <c r="BF197" s="26">
        <v>2.7E-2</v>
      </c>
      <c r="BG197" s="26" t="s">
        <v>22</v>
      </c>
      <c r="BH197" s="104">
        <f t="shared" si="156"/>
        <v>0.52638753651411885</v>
      </c>
      <c r="BI197" s="203">
        <f t="shared" si="157"/>
        <v>0.36845180136319383</v>
      </c>
      <c r="BK197" s="515" t="s">
        <v>26</v>
      </c>
      <c r="BL197" s="272">
        <v>46044</v>
      </c>
      <c r="BM197" s="125">
        <v>1157</v>
      </c>
      <c r="BN197" s="105">
        <v>7.7799999999999994E-2</v>
      </c>
      <c r="BO197" s="105">
        <v>3.8899999999999997E-2</v>
      </c>
      <c r="BP197" s="105">
        <v>3.1099999999999999E-2</v>
      </c>
      <c r="BQ197" s="105">
        <v>2.1600000000000001E-2</v>
      </c>
      <c r="BR197" s="105">
        <v>2.07E-2</v>
      </c>
      <c r="BS197" s="105">
        <v>2.07E-2</v>
      </c>
      <c r="BT197" s="105">
        <v>9.4999999999999998E-3</v>
      </c>
      <c r="BU197" s="26">
        <v>6.1000000000000004E-3</v>
      </c>
      <c r="BV197" s="26">
        <v>6.1000000000000004E-3</v>
      </c>
      <c r="BW197" s="26">
        <v>7.7999999999999996E-3</v>
      </c>
      <c r="BX197" s="26" t="s">
        <v>22</v>
      </c>
      <c r="BY197" s="104">
        <f t="shared" si="158"/>
        <v>0.5</v>
      </c>
      <c r="BZ197" s="104">
        <f t="shared" si="159"/>
        <v>0.26606683804627251</v>
      </c>
      <c r="CA197" s="199">
        <v>62</v>
      </c>
      <c r="CB197" s="105">
        <v>0.3387</v>
      </c>
      <c r="CC197" s="105">
        <v>0.1613</v>
      </c>
      <c r="CD197" s="105">
        <v>0.129</v>
      </c>
      <c r="CE197" s="105">
        <v>0.1129</v>
      </c>
      <c r="CF197" s="105">
        <v>0.1452</v>
      </c>
      <c r="CG197" s="105">
        <v>0.1129</v>
      </c>
      <c r="CH197" s="105">
        <v>8.0600000000000005E-2</v>
      </c>
      <c r="CI197" s="26">
        <v>6.4500000000000002E-2</v>
      </c>
      <c r="CJ197" s="26">
        <v>3.2300000000000002E-2</v>
      </c>
      <c r="CK197" s="26">
        <v>3.2300000000000002E-2</v>
      </c>
      <c r="CL197" s="26" t="s">
        <v>22</v>
      </c>
      <c r="CM197" s="104">
        <f t="shared" si="160"/>
        <v>0.47623265426631234</v>
      </c>
      <c r="CN197" s="203">
        <f t="shared" si="161"/>
        <v>0.33333333333333331</v>
      </c>
    </row>
    <row r="198" spans="1:92" ht="14.25" hidden="1" customHeight="1">
      <c r="A198" s="504"/>
      <c r="B198" s="272">
        <v>46045</v>
      </c>
      <c r="C198" s="241">
        <f t="shared" si="184"/>
        <v>2196</v>
      </c>
      <c r="D198" s="105">
        <f t="shared" si="164"/>
        <v>6.6479508196721313E-2</v>
      </c>
      <c r="E198" s="105">
        <f t="shared" si="165"/>
        <v>4.2793442622950824E-2</v>
      </c>
      <c r="F198" s="105">
        <f t="shared" si="166"/>
        <v>3.1854918032786887E-2</v>
      </c>
      <c r="G198" s="105">
        <f t="shared" si="167"/>
        <v>2.5532786885245903E-2</v>
      </c>
      <c r="H198" s="105">
        <f t="shared" si="168"/>
        <v>1.8249999999999999E-2</v>
      </c>
      <c r="I198" s="105">
        <f t="shared" si="169"/>
        <v>1.8685245901639346E-2</v>
      </c>
      <c r="J198" s="105">
        <f t="shared" si="170"/>
        <v>1.4099180327868853E-2</v>
      </c>
      <c r="K198" s="105">
        <f t="shared" si="171"/>
        <v>1.092704918032787E-2</v>
      </c>
      <c r="L198" s="105">
        <f t="shared" si="172"/>
        <v>7.7172131147540983E-3</v>
      </c>
      <c r="M198" s="105">
        <f t="shared" si="173"/>
        <v>5.4336065573770496E-3</v>
      </c>
      <c r="N198" s="105" t="s">
        <v>22</v>
      </c>
      <c r="O198" s="104">
        <f t="shared" si="139"/>
        <v>0.64370877257875603</v>
      </c>
      <c r="P198" s="203">
        <f t="shared" si="140"/>
        <v>0.2810677516799211</v>
      </c>
      <c r="Q198" s="158">
        <f t="shared" si="185"/>
        <v>83</v>
      </c>
      <c r="R198" s="105">
        <f t="shared" si="174"/>
        <v>0.33736987951807229</v>
      </c>
      <c r="S198" s="105">
        <f t="shared" si="175"/>
        <v>0.26502530120481926</v>
      </c>
      <c r="T198" s="105">
        <f t="shared" si="176"/>
        <v>0.16869277108433736</v>
      </c>
      <c r="U198" s="105">
        <f t="shared" si="177"/>
        <v>0.19274698795180722</v>
      </c>
      <c r="V198" s="105">
        <f t="shared" si="178"/>
        <v>0.14457228915662651</v>
      </c>
      <c r="W198" s="105">
        <f t="shared" si="179"/>
        <v>0.10842530120481927</v>
      </c>
      <c r="X198" s="105">
        <f t="shared" si="180"/>
        <v>9.6365060240963862E-2</v>
      </c>
      <c r="Y198" s="105">
        <f t="shared" si="181"/>
        <v>4.8207228915662662E-2</v>
      </c>
      <c r="Z198" s="105">
        <f t="shared" si="182"/>
        <v>2.4103614457831331E-2</v>
      </c>
      <c r="AA198" s="105">
        <f t="shared" si="183"/>
        <v>2.4103614457831331E-2</v>
      </c>
      <c r="AB198" s="105" t="s">
        <v>22</v>
      </c>
      <c r="AC198" s="104">
        <f t="shared" si="152"/>
        <v>0.78556301938810857</v>
      </c>
      <c r="AD198" s="203">
        <f t="shared" si="153"/>
        <v>0.32138405882499987</v>
      </c>
      <c r="AE198" s="1"/>
      <c r="AF198" s="504"/>
      <c r="AG198" s="272">
        <v>46045</v>
      </c>
      <c r="AH198" s="125">
        <v>1134</v>
      </c>
      <c r="AI198" s="105">
        <v>6.4399999999999999E-2</v>
      </c>
      <c r="AJ198" s="105">
        <v>4.8500000000000001E-2</v>
      </c>
      <c r="AK198" s="105">
        <v>3.7900000000000003E-2</v>
      </c>
      <c r="AL198" s="105">
        <v>2.6499999999999999E-2</v>
      </c>
      <c r="AM198" s="105">
        <v>2.12E-2</v>
      </c>
      <c r="AN198" s="105">
        <v>2.12E-2</v>
      </c>
      <c r="AO198" s="105">
        <v>1.8499999999999999E-2</v>
      </c>
      <c r="AP198" s="26">
        <v>1.32E-2</v>
      </c>
      <c r="AQ198" s="26">
        <v>9.7000000000000003E-3</v>
      </c>
      <c r="AR198" s="26">
        <v>7.9000000000000008E-3</v>
      </c>
      <c r="AS198" s="26" t="s">
        <v>22</v>
      </c>
      <c r="AT198" s="104">
        <f t="shared" si="154"/>
        <v>0.75310559006211186</v>
      </c>
      <c r="AU198" s="104">
        <f t="shared" si="155"/>
        <v>0.32919254658385094</v>
      </c>
      <c r="AV198" s="199">
        <v>28</v>
      </c>
      <c r="AW198" s="105">
        <v>0.39290000000000003</v>
      </c>
      <c r="AX198" s="105">
        <v>0.28570000000000001</v>
      </c>
      <c r="AY198" s="105">
        <v>0.25</v>
      </c>
      <c r="AZ198" s="105">
        <v>0.25</v>
      </c>
      <c r="BA198" s="105">
        <v>0.25</v>
      </c>
      <c r="BB198" s="105">
        <v>0.17860000000000001</v>
      </c>
      <c r="BC198" s="105">
        <v>0.17860000000000001</v>
      </c>
      <c r="BD198" s="26">
        <v>7.1400000000000005E-2</v>
      </c>
      <c r="BE198" s="26">
        <v>3.5700000000000003E-2</v>
      </c>
      <c r="BF198" s="26">
        <v>3.5700000000000003E-2</v>
      </c>
      <c r="BG198" s="26" t="s">
        <v>22</v>
      </c>
      <c r="BH198" s="104">
        <f t="shared" si="156"/>
        <v>0.7271570374141002</v>
      </c>
      <c r="BI198" s="203">
        <f t="shared" si="157"/>
        <v>0.45456859251717996</v>
      </c>
      <c r="BK198" s="504"/>
      <c r="BL198" s="272">
        <v>46045</v>
      </c>
      <c r="BM198" s="125">
        <v>1062</v>
      </c>
      <c r="BN198" s="105">
        <v>6.8699999999999997E-2</v>
      </c>
      <c r="BO198" s="105">
        <v>3.6700000000000003E-2</v>
      </c>
      <c r="BP198" s="105">
        <v>2.5399999999999999E-2</v>
      </c>
      <c r="BQ198" s="105">
        <v>2.4500000000000001E-2</v>
      </c>
      <c r="BR198" s="105">
        <v>1.5100000000000001E-2</v>
      </c>
      <c r="BS198" s="105">
        <v>1.6E-2</v>
      </c>
      <c r="BT198" s="105">
        <v>9.4000000000000004E-3</v>
      </c>
      <c r="BU198" s="26">
        <v>8.5000000000000006E-3</v>
      </c>
      <c r="BV198" s="26">
        <v>5.5999999999999999E-3</v>
      </c>
      <c r="BW198" s="26">
        <v>2.8E-3</v>
      </c>
      <c r="BX198" s="26" t="s">
        <v>22</v>
      </c>
      <c r="BY198" s="104">
        <f t="shared" si="158"/>
        <v>0.53420669577874824</v>
      </c>
      <c r="BZ198" s="104">
        <f t="shared" si="159"/>
        <v>0.23289665211062593</v>
      </c>
      <c r="CA198" s="199">
        <v>55</v>
      </c>
      <c r="CB198" s="105">
        <v>0.30909999999999999</v>
      </c>
      <c r="CC198" s="105">
        <v>0.2545</v>
      </c>
      <c r="CD198" s="105">
        <v>0.1273</v>
      </c>
      <c r="CE198" s="105">
        <v>0.1636</v>
      </c>
      <c r="CF198" s="105">
        <v>9.0899999999999995E-2</v>
      </c>
      <c r="CG198" s="105">
        <v>7.2700000000000001E-2</v>
      </c>
      <c r="CH198" s="105">
        <v>5.45E-2</v>
      </c>
      <c r="CI198" s="26">
        <v>3.6400000000000002E-2</v>
      </c>
      <c r="CJ198" s="26">
        <v>1.8200000000000001E-2</v>
      </c>
      <c r="CK198" s="26">
        <v>1.8200000000000001E-2</v>
      </c>
      <c r="CL198" s="26" t="s">
        <v>22</v>
      </c>
      <c r="CM198" s="104">
        <f t="shared" si="160"/>
        <v>0.82335813652539636</v>
      </c>
      <c r="CN198" s="203">
        <f t="shared" si="161"/>
        <v>0.23519896473633128</v>
      </c>
    </row>
    <row r="199" spans="1:92" ht="14.25" hidden="1" customHeight="1">
      <c r="A199" s="504"/>
      <c r="B199" s="272">
        <v>46046</v>
      </c>
      <c r="C199" s="241">
        <f t="shared" si="184"/>
        <v>2317</v>
      </c>
      <c r="D199" s="105">
        <f t="shared" si="164"/>
        <v>6.7731635735865339E-2</v>
      </c>
      <c r="E199" s="105">
        <f t="shared" si="165"/>
        <v>3.755666810530859E-2</v>
      </c>
      <c r="F199" s="105">
        <f t="shared" si="166"/>
        <v>2.8043116098403105E-2</v>
      </c>
      <c r="G199" s="105">
        <f t="shared" si="167"/>
        <v>2.5037160120845919E-2</v>
      </c>
      <c r="H199" s="105">
        <f t="shared" si="168"/>
        <v>2.3732024169184289E-2</v>
      </c>
      <c r="I199" s="105">
        <f t="shared" si="169"/>
        <v>2.3708200258955547E-2</v>
      </c>
      <c r="J199" s="105">
        <f t="shared" si="170"/>
        <v>1.2976176089771257E-2</v>
      </c>
      <c r="K199" s="105">
        <f t="shared" si="171"/>
        <v>6.4685800604229607E-3</v>
      </c>
      <c r="L199" s="105">
        <f t="shared" si="172"/>
        <v>5.6143720328010356E-3</v>
      </c>
      <c r="M199" s="105">
        <f t="shared" si="173"/>
        <v>5.6457919723780746E-3</v>
      </c>
      <c r="N199" s="105" t="s">
        <v>22</v>
      </c>
      <c r="O199" s="104">
        <f t="shared" si="139"/>
        <v>0.55449226491102643</v>
      </c>
      <c r="P199" s="203">
        <f t="shared" si="140"/>
        <v>0.35003141443993729</v>
      </c>
      <c r="Q199" s="158">
        <f t="shared" si="185"/>
        <v>69</v>
      </c>
      <c r="R199" s="105">
        <f t="shared" si="174"/>
        <v>0.44930579710144924</v>
      </c>
      <c r="S199" s="105">
        <f t="shared" si="175"/>
        <v>0.31886521739130436</v>
      </c>
      <c r="T199" s="105">
        <f t="shared" si="176"/>
        <v>0.27537681159420291</v>
      </c>
      <c r="U199" s="105">
        <f t="shared" si="177"/>
        <v>0.20291884057971016</v>
      </c>
      <c r="V199" s="105">
        <f t="shared" si="178"/>
        <v>0.20290289855072463</v>
      </c>
      <c r="W199" s="105">
        <f t="shared" si="179"/>
        <v>0.21743478260869564</v>
      </c>
      <c r="X199" s="105">
        <f t="shared" si="180"/>
        <v>0.13045362318840581</v>
      </c>
      <c r="Y199" s="105">
        <f t="shared" si="181"/>
        <v>7.2511594202898544E-2</v>
      </c>
      <c r="Z199" s="105">
        <f t="shared" si="182"/>
        <v>5.7995652173913038E-2</v>
      </c>
      <c r="AA199" s="105">
        <f t="shared" si="183"/>
        <v>5.8004347826086954E-2</v>
      </c>
      <c r="AB199" s="105" t="s">
        <v>22</v>
      </c>
      <c r="AC199" s="104">
        <f t="shared" si="152"/>
        <v>0.70968418268439881</v>
      </c>
      <c r="AD199" s="203">
        <f t="shared" si="153"/>
        <v>0.48393495924469632</v>
      </c>
      <c r="AE199" s="1"/>
      <c r="AF199" s="504"/>
      <c r="AG199" s="272">
        <v>46046</v>
      </c>
      <c r="AH199" s="125">
        <v>1237</v>
      </c>
      <c r="AI199" s="105">
        <v>6.0600000000000001E-2</v>
      </c>
      <c r="AJ199" s="105">
        <v>4.0399999999999998E-2</v>
      </c>
      <c r="AK199" s="105">
        <v>3.0700000000000002E-2</v>
      </c>
      <c r="AL199" s="105">
        <v>2.8299999999999999E-2</v>
      </c>
      <c r="AM199" s="105">
        <v>2.8299999999999999E-2</v>
      </c>
      <c r="AN199" s="105">
        <v>3.0700000000000002E-2</v>
      </c>
      <c r="AO199" s="105">
        <v>1.54E-2</v>
      </c>
      <c r="AP199" s="26">
        <v>8.0999999999999996E-3</v>
      </c>
      <c r="AQ199" s="143">
        <v>6.4999999999999997E-3</v>
      </c>
      <c r="AR199" s="143">
        <v>4.8999999999999998E-3</v>
      </c>
      <c r="AS199" s="143" t="s">
        <v>22</v>
      </c>
      <c r="AT199" s="104">
        <f t="shared" si="154"/>
        <v>0.66666666666666663</v>
      </c>
      <c r="AU199" s="104">
        <f t="shared" si="155"/>
        <v>0.50660066006600657</v>
      </c>
      <c r="AV199" s="199">
        <v>32</v>
      </c>
      <c r="AW199" s="105">
        <v>0.40629999999999999</v>
      </c>
      <c r="AX199" s="105">
        <v>0.34379999999999999</v>
      </c>
      <c r="AY199" s="105">
        <v>0.34379999999999999</v>
      </c>
      <c r="AZ199" s="105">
        <v>0.25</v>
      </c>
      <c r="BA199" s="105">
        <v>0.28129999999999999</v>
      </c>
      <c r="BB199" s="105">
        <v>0.28129999999999999</v>
      </c>
      <c r="BC199" s="105">
        <v>0.15629999999999999</v>
      </c>
      <c r="BD199" s="26">
        <v>9.3799999999999994E-2</v>
      </c>
      <c r="BE199" s="26">
        <v>6.25E-2</v>
      </c>
      <c r="BF199" s="26">
        <v>3.1300000000000001E-2</v>
      </c>
      <c r="BG199" s="26" t="s">
        <v>22</v>
      </c>
      <c r="BH199" s="104">
        <f t="shared" si="156"/>
        <v>0.84617277873492491</v>
      </c>
      <c r="BI199" s="203">
        <f t="shared" si="157"/>
        <v>0.69234555746984983</v>
      </c>
      <c r="BK199" s="504"/>
      <c r="BL199" s="272">
        <v>46046</v>
      </c>
      <c r="BM199" s="125">
        <v>1080</v>
      </c>
      <c r="BN199" s="105">
        <v>7.5899999999999995E-2</v>
      </c>
      <c r="BO199" s="105">
        <v>3.4299999999999997E-2</v>
      </c>
      <c r="BP199" s="105">
        <v>2.5000000000000001E-2</v>
      </c>
      <c r="BQ199" s="105">
        <v>2.1299999999999999E-2</v>
      </c>
      <c r="BR199" s="105">
        <v>1.8499999999999999E-2</v>
      </c>
      <c r="BS199" s="105">
        <v>1.5699999999999999E-2</v>
      </c>
      <c r="BT199" s="105">
        <v>1.0200000000000001E-2</v>
      </c>
      <c r="BU199" s="26">
        <v>4.5999999999999999E-3</v>
      </c>
      <c r="BV199" s="143">
        <v>4.5999999999999999E-3</v>
      </c>
      <c r="BW199" s="143">
        <v>6.4999999999999997E-3</v>
      </c>
      <c r="BX199" s="143" t="s">
        <v>22</v>
      </c>
      <c r="BY199" s="104">
        <f t="shared" si="158"/>
        <v>0.45191040843214758</v>
      </c>
      <c r="BZ199" s="104">
        <f t="shared" si="159"/>
        <v>0.20685111989459815</v>
      </c>
      <c r="CA199" s="199">
        <v>37</v>
      </c>
      <c r="CB199" s="105">
        <v>0.48649999999999999</v>
      </c>
      <c r="CC199" s="105">
        <v>0.29730000000000001</v>
      </c>
      <c r="CD199" s="105">
        <v>0.2162</v>
      </c>
      <c r="CE199" s="105">
        <v>0.16220000000000001</v>
      </c>
      <c r="CF199" s="105">
        <v>0.1351</v>
      </c>
      <c r="CG199" s="105">
        <v>0.16220000000000001</v>
      </c>
      <c r="CH199" s="105">
        <v>0.1081</v>
      </c>
      <c r="CI199" s="26">
        <v>5.4100000000000002E-2</v>
      </c>
      <c r="CJ199" s="26">
        <v>5.4100000000000002E-2</v>
      </c>
      <c r="CK199" s="26">
        <v>8.1100000000000005E-2</v>
      </c>
      <c r="CL199" s="26" t="s">
        <v>22</v>
      </c>
      <c r="CM199" s="104">
        <f t="shared" si="160"/>
        <v>0.61109969167523126</v>
      </c>
      <c r="CN199" s="203">
        <f t="shared" si="161"/>
        <v>0.33340184994861255</v>
      </c>
    </row>
    <row r="200" spans="1:92" ht="14.25" hidden="1" customHeight="1">
      <c r="B200" s="269">
        <v>46047</v>
      </c>
      <c r="C200" s="315">
        <f t="shared" si="184"/>
        <v>2369</v>
      </c>
      <c r="D200" s="105">
        <f t="shared" si="164"/>
        <v>7.1366568172224573E-2</v>
      </c>
      <c r="E200" s="105">
        <f t="shared" si="165"/>
        <v>3.671857323765302E-2</v>
      </c>
      <c r="F200" s="105">
        <f t="shared" si="166"/>
        <v>2.7855170958210215E-2</v>
      </c>
      <c r="G200" s="105">
        <f t="shared" si="167"/>
        <v>2.3206120726044745E-2</v>
      </c>
      <c r="H200" s="105">
        <f t="shared" si="168"/>
        <v>2.1509708737864081E-2</v>
      </c>
      <c r="I200" s="105">
        <f t="shared" si="169"/>
        <v>2.4059603208104685E-2</v>
      </c>
      <c r="J200" s="105">
        <f t="shared" si="170"/>
        <v>1.1853482482059941E-2</v>
      </c>
      <c r="K200" s="105">
        <f t="shared" si="171"/>
        <v>6.3044322498944693E-3</v>
      </c>
      <c r="L200" s="105">
        <f t="shared" si="172"/>
        <v>5.901688476150275E-3</v>
      </c>
      <c r="M200" s="105">
        <f t="shared" si="173"/>
        <v>5.5008442380751373E-3</v>
      </c>
      <c r="N200" s="105" t="s">
        <v>22</v>
      </c>
      <c r="O200" s="104">
        <f t="shared" si="139"/>
        <v>0.51450664054690609</v>
      </c>
      <c r="P200" s="203">
        <f t="shared" si="140"/>
        <v>0.33712708659386725</v>
      </c>
      <c r="Q200" s="170">
        <f t="shared" si="185"/>
        <v>91</v>
      </c>
      <c r="R200" s="105">
        <f t="shared" si="174"/>
        <v>0.32968131868131867</v>
      </c>
      <c r="S200" s="105">
        <f t="shared" si="175"/>
        <v>0.17578901098901098</v>
      </c>
      <c r="T200" s="105">
        <f t="shared" si="176"/>
        <v>0.16487032967032966</v>
      </c>
      <c r="U200" s="105">
        <f t="shared" si="177"/>
        <v>0.13187692307692309</v>
      </c>
      <c r="V200" s="105">
        <f t="shared" si="178"/>
        <v>0.13183626373626375</v>
      </c>
      <c r="W200" s="105">
        <f t="shared" si="179"/>
        <v>0.12085824175824175</v>
      </c>
      <c r="X200" s="105">
        <f t="shared" si="180"/>
        <v>8.7924175824175832E-2</v>
      </c>
      <c r="Y200" s="105">
        <f t="shared" si="181"/>
        <v>7.6946153846153845E-2</v>
      </c>
      <c r="Z200" s="105">
        <f t="shared" si="182"/>
        <v>4.3952747252747254E-2</v>
      </c>
      <c r="AA200" s="105">
        <f t="shared" si="183"/>
        <v>5.4930769230769234E-2</v>
      </c>
      <c r="AB200" s="105" t="s">
        <v>22</v>
      </c>
      <c r="AC200" s="104">
        <f t="shared" si="152"/>
        <v>0.53320889303689878</v>
      </c>
      <c r="AD200" s="203">
        <f t="shared" si="153"/>
        <v>0.36659111362954566</v>
      </c>
      <c r="AE200" s="1"/>
      <c r="AG200" s="269">
        <v>46047</v>
      </c>
      <c r="AH200" s="200">
        <v>1187</v>
      </c>
      <c r="AI200" s="105">
        <v>7.9200000000000007E-2</v>
      </c>
      <c r="AJ200" s="105">
        <v>4.5499999999999999E-2</v>
      </c>
      <c r="AK200" s="105">
        <v>3.0300000000000001E-2</v>
      </c>
      <c r="AL200" s="105">
        <v>2.6100000000000002E-2</v>
      </c>
      <c r="AM200" s="105">
        <v>2.6100000000000002E-2</v>
      </c>
      <c r="AN200" s="105">
        <v>2.86E-2</v>
      </c>
      <c r="AO200" s="105">
        <v>1.35E-2</v>
      </c>
      <c r="AP200" s="26">
        <v>8.3999999999999995E-3</v>
      </c>
      <c r="AQ200" s="26">
        <v>6.7000000000000002E-3</v>
      </c>
      <c r="AR200" s="26">
        <v>5.8999999999999999E-3</v>
      </c>
      <c r="AS200" s="26" t="s">
        <v>22</v>
      </c>
      <c r="AT200" s="104">
        <f t="shared" si="154"/>
        <v>0.57449494949494939</v>
      </c>
      <c r="AU200" s="104">
        <f t="shared" si="155"/>
        <v>0.3611111111111111</v>
      </c>
      <c r="AV200" s="196">
        <v>37</v>
      </c>
      <c r="AW200" s="105">
        <v>0.40539999999999998</v>
      </c>
      <c r="AX200" s="105">
        <v>0.2162</v>
      </c>
      <c r="AY200" s="105">
        <v>0.16220000000000001</v>
      </c>
      <c r="AZ200" s="105">
        <v>0.16220000000000001</v>
      </c>
      <c r="BA200" s="105">
        <v>0.1081</v>
      </c>
      <c r="BB200" s="105">
        <v>0.1081</v>
      </c>
      <c r="BC200" s="105">
        <v>8.1100000000000005E-2</v>
      </c>
      <c r="BD200" s="26">
        <v>0.1081</v>
      </c>
      <c r="BE200" s="26">
        <v>5.4100000000000002E-2</v>
      </c>
      <c r="BF200" s="26">
        <v>8.1100000000000005E-2</v>
      </c>
      <c r="BG200" s="26" t="s">
        <v>22</v>
      </c>
      <c r="BH200" s="104">
        <f t="shared" si="156"/>
        <v>0.53330044400592014</v>
      </c>
      <c r="BI200" s="203">
        <f t="shared" si="157"/>
        <v>0.26665022200296007</v>
      </c>
      <c r="BK200" s="41"/>
      <c r="BL200" s="269">
        <v>46047</v>
      </c>
      <c r="BM200" s="200">
        <v>1182</v>
      </c>
      <c r="BN200" s="105">
        <v>6.3500000000000001E-2</v>
      </c>
      <c r="BO200" s="105">
        <v>2.7900000000000001E-2</v>
      </c>
      <c r="BP200" s="105">
        <v>2.5399999999999999E-2</v>
      </c>
      <c r="BQ200" s="105">
        <v>2.0299999999999999E-2</v>
      </c>
      <c r="BR200" s="105">
        <v>1.6899999999999998E-2</v>
      </c>
      <c r="BS200" s="105">
        <v>1.95E-2</v>
      </c>
      <c r="BT200" s="105">
        <v>1.0200000000000001E-2</v>
      </c>
      <c r="BU200" s="26">
        <v>4.1999999999999997E-3</v>
      </c>
      <c r="BV200" s="26">
        <v>5.1000000000000004E-3</v>
      </c>
      <c r="BW200" s="26">
        <v>5.1000000000000004E-3</v>
      </c>
      <c r="BX200" s="26" t="s">
        <v>22</v>
      </c>
      <c r="BY200" s="104">
        <f t="shared" si="158"/>
        <v>0.43937007874015749</v>
      </c>
      <c r="BZ200" s="104">
        <f t="shared" si="159"/>
        <v>0.30708661417322836</v>
      </c>
      <c r="CA200" s="196">
        <v>54</v>
      </c>
      <c r="CB200" s="105">
        <v>0.27779999999999999</v>
      </c>
      <c r="CC200" s="105">
        <v>0.14810000000000001</v>
      </c>
      <c r="CD200" s="105">
        <v>0.16669999999999999</v>
      </c>
      <c r="CE200" s="105">
        <v>0.1111</v>
      </c>
      <c r="CF200" s="105">
        <v>0.14810000000000001</v>
      </c>
      <c r="CG200" s="105">
        <v>0.12959999999999999</v>
      </c>
      <c r="CH200" s="105">
        <v>9.2600000000000002E-2</v>
      </c>
      <c r="CI200" s="26">
        <v>5.5599999999999997E-2</v>
      </c>
      <c r="CJ200" s="26">
        <v>3.6999999999999998E-2</v>
      </c>
      <c r="CK200" s="26">
        <v>3.6999999999999998E-2</v>
      </c>
      <c r="CL200" s="26" t="s">
        <v>22</v>
      </c>
      <c r="CM200" s="104">
        <f t="shared" si="160"/>
        <v>0.53311735061195109</v>
      </c>
      <c r="CN200" s="203">
        <f t="shared" si="161"/>
        <v>0.46652267818574511</v>
      </c>
    </row>
    <row r="201" spans="1:92" ht="14.25" hidden="1" customHeight="1">
      <c r="B201" s="269">
        <v>46048</v>
      </c>
      <c r="C201" s="315">
        <f t="shared" si="184"/>
        <v>2038</v>
      </c>
      <c r="D201" s="105">
        <f t="shared" ref="D201:D216" si="186">($AH201*AI201+$BM201*BN201)/$C201</f>
        <v>7.264582924435721E-2</v>
      </c>
      <c r="E201" s="105">
        <f t="shared" ref="E201:E216" si="187">($AH201*AJ201+$BM201*BO201)/$C201</f>
        <v>4.8605888125613346E-2</v>
      </c>
      <c r="F201" s="105">
        <f t="shared" ref="F201:F216" si="188">($AH201*AK201+$BM201*BP201)/$C201</f>
        <v>3.4375073601570168E-2</v>
      </c>
      <c r="G201" s="105">
        <f t="shared" ref="G201:G216" si="189">($AH201*AL201+$BM201*BQ201)/$C201</f>
        <v>3.0416290480863591E-2</v>
      </c>
      <c r="H201" s="105">
        <f t="shared" ref="H201:H216" si="190">($AH201*AM201+$BM201*BR201)/$C201</f>
        <v>2.9916879293424924E-2</v>
      </c>
      <c r="I201" s="105">
        <f t="shared" ref="I201:I216" si="191">($AH201*AN201+$BM201*BS201)/$C201</f>
        <v>2.8439941118743865E-2</v>
      </c>
      <c r="J201" s="105">
        <f t="shared" ref="J201:J216" si="192">($AH201*AO201+$BM201*BT201)/$C201</f>
        <v>1.518361138370952E-2</v>
      </c>
      <c r="K201" s="105">
        <f t="shared" ref="K201:K216" si="193">($AH201*AP201+$BM201*BU201)/$C201</f>
        <v>1.4230814524043178E-2</v>
      </c>
      <c r="L201" s="105">
        <f t="shared" ref="L201:L216" si="194">($AH201*AQ201+$BM201*BV201)/$C201</f>
        <v>1.0284200196270856E-2</v>
      </c>
      <c r="M201" s="105" t="s">
        <v>22</v>
      </c>
      <c r="N201" s="105" t="s">
        <v>22</v>
      </c>
      <c r="O201" s="104">
        <f t="shared" si="139"/>
        <v>0.66908022981083703</v>
      </c>
      <c r="P201" s="203">
        <f t="shared" si="140"/>
        <v>0.39148759694215957</v>
      </c>
      <c r="Q201" s="170">
        <f t="shared" si="185"/>
        <v>92</v>
      </c>
      <c r="R201" s="105">
        <f t="shared" ref="R201:R216" si="195">($AV201*AW201+$CA201*CB201)/$Q201</f>
        <v>0.47823695652173909</v>
      </c>
      <c r="S201" s="105">
        <f t="shared" ref="S201:S216" si="196">($AV201*AX201+$CA201*CC201)/$Q201</f>
        <v>0.35867065217391308</v>
      </c>
      <c r="T201" s="105">
        <f t="shared" ref="T201:T216" si="197">($AV201*AY201+$CA201*CD201)/$Q201</f>
        <v>0.26086521739130436</v>
      </c>
      <c r="U201" s="105">
        <f t="shared" ref="U201:U216" si="198">($AV201*AZ201+$CA201*CE201)/$Q201</f>
        <v>0.20651521739130435</v>
      </c>
      <c r="V201" s="105">
        <f t="shared" ref="V201:V216" si="199">($AV201*BA201+$CA201*CF201)/$Q201</f>
        <v>0.21738152173913045</v>
      </c>
      <c r="W201" s="105">
        <f t="shared" ref="W201:W216" si="200">($AV201*BB201+$CA201*CG201)/$Q201</f>
        <v>0.18476847826086956</v>
      </c>
      <c r="X201" s="105">
        <f t="shared" ref="X201:X216" si="201">($AV201*BC201+$CA201*CH201)/$Q201</f>
        <v>9.7805434782608711E-2</v>
      </c>
      <c r="Y201" s="105">
        <f t="shared" ref="Y201:Y216" si="202">($AV201*BD201+$CA201*CI201)/$Q201</f>
        <v>0.10870978260869565</v>
      </c>
      <c r="Z201" s="105">
        <f t="shared" ref="Z201:Z216" si="203">($AV201*BE201+$CA201*CJ201)/$Q201</f>
        <v>6.521630434782609E-2</v>
      </c>
      <c r="AA201" s="105" t="s">
        <v>22</v>
      </c>
      <c r="AB201" s="105" t="s">
        <v>22</v>
      </c>
      <c r="AC201" s="104">
        <f t="shared" si="152"/>
        <v>0.74998522653405408</v>
      </c>
      <c r="AD201" s="203">
        <f t="shared" si="153"/>
        <v>0.38635340857951989</v>
      </c>
      <c r="AE201" s="1"/>
      <c r="AG201" s="269">
        <v>46048</v>
      </c>
      <c r="AH201" s="200">
        <v>1124</v>
      </c>
      <c r="AI201" s="105">
        <v>5.5199999999999999E-2</v>
      </c>
      <c r="AJ201" s="105">
        <v>3.56E-2</v>
      </c>
      <c r="AK201" s="105">
        <v>2.8500000000000001E-2</v>
      </c>
      <c r="AL201" s="105">
        <v>2.4899999999999999E-2</v>
      </c>
      <c r="AM201" s="105">
        <v>2.3099999999999999E-2</v>
      </c>
      <c r="AN201" s="105">
        <v>2.4E-2</v>
      </c>
      <c r="AO201" s="105">
        <v>1.3299999999999999E-2</v>
      </c>
      <c r="AP201" s="26">
        <v>7.1000000000000004E-3</v>
      </c>
      <c r="AQ201" s="26">
        <v>7.1000000000000004E-3</v>
      </c>
      <c r="AR201" s="26" t="s">
        <v>22</v>
      </c>
      <c r="AS201" s="26" t="s">
        <v>22</v>
      </c>
      <c r="AT201" s="104">
        <f t="shared" si="154"/>
        <v>0.64492753623188404</v>
      </c>
      <c r="AU201" s="104">
        <f t="shared" si="155"/>
        <v>0.43478260869565222</v>
      </c>
      <c r="AV201" s="200">
        <v>35</v>
      </c>
      <c r="AW201" s="105">
        <v>0.31430000000000002</v>
      </c>
      <c r="AX201" s="105">
        <v>0.2</v>
      </c>
      <c r="AY201" s="105">
        <v>0.1714</v>
      </c>
      <c r="AZ201" s="105">
        <v>8.5699999999999998E-2</v>
      </c>
      <c r="BA201" s="105">
        <v>5.7099999999999998E-2</v>
      </c>
      <c r="BB201" s="105">
        <v>8.5699999999999998E-2</v>
      </c>
      <c r="BC201" s="105">
        <v>5.7099999999999998E-2</v>
      </c>
      <c r="BD201" s="26">
        <v>5.7099999999999998E-2</v>
      </c>
      <c r="BE201" s="26">
        <v>2.86E-2</v>
      </c>
      <c r="BF201" s="26" t="s">
        <v>22</v>
      </c>
      <c r="BG201" s="26" t="s">
        <v>22</v>
      </c>
      <c r="BH201" s="104">
        <f t="shared" si="156"/>
        <v>0.63633471205854275</v>
      </c>
      <c r="BI201" s="203">
        <f t="shared" si="157"/>
        <v>0.27266942411708556</v>
      </c>
      <c r="BK201" s="41"/>
      <c r="BL201" s="269">
        <v>46048</v>
      </c>
      <c r="BM201" s="200">
        <v>914</v>
      </c>
      <c r="BN201" s="105">
        <v>9.4100000000000003E-2</v>
      </c>
      <c r="BO201" s="105">
        <v>6.4600000000000005E-2</v>
      </c>
      <c r="BP201" s="105">
        <v>4.1599999999999998E-2</v>
      </c>
      <c r="BQ201" s="105">
        <v>3.7199999999999997E-2</v>
      </c>
      <c r="BR201" s="105">
        <v>3.8300000000000001E-2</v>
      </c>
      <c r="BS201" s="105">
        <v>3.39E-2</v>
      </c>
      <c r="BT201" s="105">
        <v>1.7500000000000002E-2</v>
      </c>
      <c r="BU201" s="26">
        <v>2.3E-2</v>
      </c>
      <c r="BV201" s="26">
        <v>1.4200000000000001E-2</v>
      </c>
      <c r="BW201" s="26" t="s">
        <v>22</v>
      </c>
      <c r="BX201" s="26" t="s">
        <v>22</v>
      </c>
      <c r="BY201" s="104">
        <f t="shared" si="158"/>
        <v>0.68650371944739641</v>
      </c>
      <c r="BZ201" s="104">
        <f t="shared" si="159"/>
        <v>0.3602550478214665</v>
      </c>
      <c r="CA201" s="200">
        <v>57</v>
      </c>
      <c r="CB201" s="105">
        <v>0.57889999999999997</v>
      </c>
      <c r="CC201" s="105">
        <v>0.45610000000000001</v>
      </c>
      <c r="CD201" s="105">
        <v>0.31580000000000003</v>
      </c>
      <c r="CE201" s="105">
        <v>0.28070000000000001</v>
      </c>
      <c r="CF201" s="105">
        <v>0.31580000000000003</v>
      </c>
      <c r="CG201" s="105">
        <v>0.24560000000000001</v>
      </c>
      <c r="CH201" s="105">
        <v>0.12280000000000001</v>
      </c>
      <c r="CI201" s="26">
        <v>0.1404</v>
      </c>
      <c r="CJ201" s="26">
        <v>8.77E-2</v>
      </c>
      <c r="CK201" s="26" t="s">
        <v>22</v>
      </c>
      <c r="CL201" s="26" t="s">
        <v>22</v>
      </c>
      <c r="CM201" s="104">
        <f t="shared" si="160"/>
        <v>0.78787355329072384</v>
      </c>
      <c r="CN201" s="203">
        <f t="shared" si="161"/>
        <v>0.42425289341855249</v>
      </c>
    </row>
    <row r="202" spans="1:92" ht="14.25" hidden="1" customHeight="1">
      <c r="A202" s="606" t="s">
        <v>27</v>
      </c>
      <c r="B202" s="271">
        <v>46049</v>
      </c>
      <c r="C202" s="240">
        <f t="shared" si="184"/>
        <v>1838</v>
      </c>
      <c r="D202" s="105">
        <f t="shared" si="186"/>
        <v>7.9988792165397171E-2</v>
      </c>
      <c r="E202" s="105">
        <f t="shared" si="187"/>
        <v>5.0607943416757353E-2</v>
      </c>
      <c r="F202" s="105">
        <f t="shared" si="188"/>
        <v>4.2475299238302504E-2</v>
      </c>
      <c r="G202" s="105">
        <f t="shared" si="189"/>
        <v>3.483373231773667E-2</v>
      </c>
      <c r="H202" s="105">
        <f t="shared" si="190"/>
        <v>2.5058433079434169E-2</v>
      </c>
      <c r="I202" s="105">
        <f t="shared" si="191"/>
        <v>2.3401196953210007E-2</v>
      </c>
      <c r="J202" s="105">
        <f t="shared" si="192"/>
        <v>1.4146028291621329E-2</v>
      </c>
      <c r="K202" s="105">
        <f t="shared" si="193"/>
        <v>1.3046137105549509E-2</v>
      </c>
      <c r="L202" s="105">
        <f t="shared" si="194"/>
        <v>1.1429270946681174E-2</v>
      </c>
      <c r="M202" s="105" t="s">
        <v>22</v>
      </c>
      <c r="N202" s="105" t="s">
        <v>22</v>
      </c>
      <c r="O202" s="104">
        <f t="shared" si="139"/>
        <v>0.63268793098053733</v>
      </c>
      <c r="P202" s="203">
        <f t="shared" si="140"/>
        <v>0.29255594839864668</v>
      </c>
      <c r="Q202" s="157">
        <f t="shared" si="185"/>
        <v>80</v>
      </c>
      <c r="R202" s="105">
        <f t="shared" si="195"/>
        <v>0.40001249999999999</v>
      </c>
      <c r="S202" s="105">
        <f t="shared" si="196"/>
        <v>0.43751250000000008</v>
      </c>
      <c r="T202" s="105">
        <f t="shared" si="197"/>
        <v>0.34998750000000001</v>
      </c>
      <c r="U202" s="105">
        <f t="shared" si="198"/>
        <v>0.35001249999999995</v>
      </c>
      <c r="V202" s="105">
        <f t="shared" si="199"/>
        <v>0.2250125</v>
      </c>
      <c r="W202" s="105">
        <f t="shared" si="200"/>
        <v>0.22500000000000001</v>
      </c>
      <c r="X202" s="105">
        <f t="shared" si="201"/>
        <v>9.9987500000000007E-2</v>
      </c>
      <c r="Y202" s="105">
        <f t="shared" si="202"/>
        <v>0.13748750000000001</v>
      </c>
      <c r="Z202" s="105">
        <f t="shared" si="203"/>
        <v>0.13748750000000001</v>
      </c>
      <c r="AA202" s="105" t="s">
        <v>22</v>
      </c>
      <c r="AB202" s="105" t="s">
        <v>22</v>
      </c>
      <c r="AC202" s="104">
        <f t="shared" si="152"/>
        <v>1.0937470704040502</v>
      </c>
      <c r="AD202" s="203">
        <f t="shared" si="153"/>
        <v>0.56248242242429924</v>
      </c>
      <c r="AE202" s="1"/>
      <c r="AF202" s="584" t="s">
        <v>27</v>
      </c>
      <c r="AG202" s="271">
        <v>46049</v>
      </c>
      <c r="AH202" s="198">
        <v>888</v>
      </c>
      <c r="AI202" s="105">
        <v>7.8799999999999995E-2</v>
      </c>
      <c r="AJ202" s="105">
        <v>4.7300000000000002E-2</v>
      </c>
      <c r="AK202" s="105">
        <v>4.1700000000000001E-2</v>
      </c>
      <c r="AL202" s="105">
        <v>3.3799999999999997E-2</v>
      </c>
      <c r="AM202" s="105">
        <v>2.4799999999999999E-2</v>
      </c>
      <c r="AN202" s="105">
        <v>2.0299999999999999E-2</v>
      </c>
      <c r="AO202" s="105">
        <v>1.5800000000000002E-2</v>
      </c>
      <c r="AP202" s="26">
        <v>1.01E-2</v>
      </c>
      <c r="AQ202" s="26">
        <v>8.9999999999999993E-3</v>
      </c>
      <c r="AR202" s="26" t="s">
        <v>22</v>
      </c>
      <c r="AS202" s="26" t="s">
        <v>22</v>
      </c>
      <c r="AT202" s="104">
        <f t="shared" si="154"/>
        <v>0.60025380710659904</v>
      </c>
      <c r="AU202" s="104">
        <f t="shared" si="155"/>
        <v>0.25761421319796957</v>
      </c>
      <c r="AV202" s="198">
        <v>30</v>
      </c>
      <c r="AW202" s="105">
        <v>0.26669999999999999</v>
      </c>
      <c r="AX202" s="105">
        <v>0.36670000000000003</v>
      </c>
      <c r="AY202" s="105">
        <v>0.23330000000000001</v>
      </c>
      <c r="AZ202" s="105">
        <v>0.16669999999999999</v>
      </c>
      <c r="BA202" s="105">
        <v>6.6699999999999995E-2</v>
      </c>
      <c r="BB202" s="105">
        <v>0.1</v>
      </c>
      <c r="BC202" s="105">
        <v>3.3300000000000003E-2</v>
      </c>
      <c r="BD202" s="26">
        <v>3.3300000000000003E-2</v>
      </c>
      <c r="BE202" s="26">
        <v>3.3300000000000003E-2</v>
      </c>
      <c r="BF202" s="26" t="s">
        <v>22</v>
      </c>
      <c r="BG202" s="26" t="s">
        <v>22</v>
      </c>
      <c r="BH202" s="104">
        <f t="shared" si="156"/>
        <v>1.3749531308586429</v>
      </c>
      <c r="BI202" s="203">
        <f t="shared" si="157"/>
        <v>0.37495313085864268</v>
      </c>
      <c r="BK202" s="519" t="s">
        <v>27</v>
      </c>
      <c r="BL202" s="271">
        <v>46049</v>
      </c>
      <c r="BM202" s="198">
        <v>950</v>
      </c>
      <c r="BN202" s="105">
        <v>8.1100000000000005E-2</v>
      </c>
      <c r="BO202" s="105">
        <v>5.3699999999999998E-2</v>
      </c>
      <c r="BP202" s="105">
        <v>4.3200000000000002E-2</v>
      </c>
      <c r="BQ202" s="105">
        <v>3.5799999999999998E-2</v>
      </c>
      <c r="BR202" s="105">
        <v>2.53E-2</v>
      </c>
      <c r="BS202" s="105">
        <v>2.63E-2</v>
      </c>
      <c r="BT202" s="105">
        <v>1.26E-2</v>
      </c>
      <c r="BU202" s="26">
        <v>1.5800000000000002E-2</v>
      </c>
      <c r="BV202" s="26">
        <v>1.37E-2</v>
      </c>
      <c r="BW202" s="26" t="s">
        <v>22</v>
      </c>
      <c r="BX202" s="26" t="s">
        <v>22</v>
      </c>
      <c r="BY202" s="104">
        <f t="shared" si="158"/>
        <v>0.66214549938347711</v>
      </c>
      <c r="BZ202" s="104">
        <f t="shared" si="159"/>
        <v>0.32429099876695439</v>
      </c>
      <c r="CA202" s="198">
        <v>50</v>
      </c>
      <c r="CB202" s="105">
        <v>0.48</v>
      </c>
      <c r="CC202" s="105">
        <v>0.48</v>
      </c>
      <c r="CD202" s="105">
        <v>0.42</v>
      </c>
      <c r="CE202" s="105">
        <v>0.46</v>
      </c>
      <c r="CF202" s="105">
        <v>0.32</v>
      </c>
      <c r="CG202" s="105">
        <v>0.3</v>
      </c>
      <c r="CH202" s="105">
        <v>0.14000000000000001</v>
      </c>
      <c r="CI202" s="26">
        <v>0.2</v>
      </c>
      <c r="CJ202" s="26">
        <v>0.2</v>
      </c>
      <c r="CK202" s="26" t="s">
        <v>22</v>
      </c>
      <c r="CL202" s="26" t="s">
        <v>22</v>
      </c>
      <c r="CM202" s="104">
        <f t="shared" si="160"/>
        <v>1</v>
      </c>
      <c r="CN202" s="203">
        <f t="shared" si="161"/>
        <v>0.625</v>
      </c>
    </row>
    <row r="203" spans="1:92" ht="14.25" hidden="1" customHeight="1">
      <c r="A203" s="502"/>
      <c r="B203" s="271">
        <v>46050</v>
      </c>
      <c r="C203" s="240">
        <f t="shared" si="184"/>
        <v>1754</v>
      </c>
      <c r="D203" s="105">
        <f t="shared" si="186"/>
        <v>7.3540136830102618E-2</v>
      </c>
      <c r="E203" s="105">
        <f t="shared" si="187"/>
        <v>4.1616533637400227E-2</v>
      </c>
      <c r="F203" s="105">
        <f t="shared" si="188"/>
        <v>2.9100342075256556E-2</v>
      </c>
      <c r="G203" s="105">
        <f t="shared" si="189"/>
        <v>2.219429874572406E-2</v>
      </c>
      <c r="H203" s="105">
        <f t="shared" si="190"/>
        <v>2.1066362599771953E-2</v>
      </c>
      <c r="I203" s="105">
        <f t="shared" si="191"/>
        <v>1.9953249714937286E-2</v>
      </c>
      <c r="J203" s="105">
        <f t="shared" si="192"/>
        <v>8.5310148232611172E-3</v>
      </c>
      <c r="K203" s="105">
        <f t="shared" si="193"/>
        <v>7.3839224629418465E-3</v>
      </c>
      <c r="L203" s="105">
        <f t="shared" si="194"/>
        <v>6.2750285062713792E-3</v>
      </c>
      <c r="M203" s="105" t="s">
        <v>22</v>
      </c>
      <c r="N203" s="105" t="s">
        <v>22</v>
      </c>
      <c r="O203" s="104">
        <f t="shared" si="139"/>
        <v>0.56590231445374584</v>
      </c>
      <c r="P203" s="203">
        <f t="shared" si="140"/>
        <v>0.27132462047269001</v>
      </c>
      <c r="Q203" s="157">
        <f t="shared" si="185"/>
        <v>64</v>
      </c>
      <c r="R203" s="105">
        <f t="shared" si="195"/>
        <v>0.37500624999999999</v>
      </c>
      <c r="S203" s="105">
        <f t="shared" si="196"/>
        <v>0.2344</v>
      </c>
      <c r="T203" s="105">
        <f t="shared" si="197"/>
        <v>0.12500624999999999</v>
      </c>
      <c r="U203" s="105">
        <f t="shared" si="198"/>
        <v>9.3731250000000002E-2</v>
      </c>
      <c r="V203" s="105">
        <f t="shared" si="199"/>
        <v>7.8112500000000001E-2</v>
      </c>
      <c r="W203" s="105">
        <f t="shared" si="200"/>
        <v>9.375E-2</v>
      </c>
      <c r="X203" s="105">
        <f t="shared" si="201"/>
        <v>1.5637499999999999E-2</v>
      </c>
      <c r="Y203" s="105">
        <f t="shared" si="202"/>
        <v>0</v>
      </c>
      <c r="Z203" s="105">
        <f t="shared" si="203"/>
        <v>0</v>
      </c>
      <c r="AA203" s="105" t="s">
        <v>22</v>
      </c>
      <c r="AB203" s="105" t="s">
        <v>22</v>
      </c>
      <c r="AC203" s="104">
        <f t="shared" si="152"/>
        <v>0.62505624906251567</v>
      </c>
      <c r="AD203" s="203">
        <f t="shared" si="153"/>
        <v>0.24999583340277662</v>
      </c>
      <c r="AE203" s="1"/>
      <c r="AF203" s="502"/>
      <c r="AG203" s="271">
        <v>46050</v>
      </c>
      <c r="AH203" s="198">
        <v>1006</v>
      </c>
      <c r="AI203" s="105">
        <v>8.4500000000000006E-2</v>
      </c>
      <c r="AJ203" s="105">
        <v>5.0700000000000002E-2</v>
      </c>
      <c r="AK203" s="105">
        <v>3.78E-2</v>
      </c>
      <c r="AL203" s="105">
        <v>2.6800000000000001E-2</v>
      </c>
      <c r="AM203" s="105">
        <v>2.58E-2</v>
      </c>
      <c r="AN203" s="105">
        <v>2.7799999999999998E-2</v>
      </c>
      <c r="AO203" s="105">
        <v>1.1900000000000001E-2</v>
      </c>
      <c r="AP203" s="26">
        <v>9.9000000000000008E-3</v>
      </c>
      <c r="AQ203" s="26">
        <v>7.0000000000000001E-3</v>
      </c>
      <c r="AR203" s="26" t="s">
        <v>22</v>
      </c>
      <c r="AS203" s="26" t="s">
        <v>22</v>
      </c>
      <c r="AT203" s="104">
        <f t="shared" si="154"/>
        <v>0.6</v>
      </c>
      <c r="AU203" s="104">
        <f t="shared" si="155"/>
        <v>0.32899408284023662</v>
      </c>
      <c r="AV203" s="198">
        <v>36</v>
      </c>
      <c r="AW203" s="105">
        <v>0.41670000000000001</v>
      </c>
      <c r="AX203" s="105">
        <v>0.27779999999999999</v>
      </c>
      <c r="AY203" s="105">
        <v>0.16669999999999999</v>
      </c>
      <c r="AZ203" s="105">
        <v>0.1111</v>
      </c>
      <c r="BA203" s="105">
        <v>0.1111</v>
      </c>
      <c r="BB203" s="105">
        <v>0.1389</v>
      </c>
      <c r="BC203" s="105">
        <v>2.7799999999999998E-2</v>
      </c>
      <c r="BD203" s="26">
        <v>0</v>
      </c>
      <c r="BE203" s="26">
        <v>0</v>
      </c>
      <c r="BF203" s="26" t="s">
        <v>22</v>
      </c>
      <c r="BG203" s="26" t="s">
        <v>22</v>
      </c>
      <c r="BH203" s="104">
        <f t="shared" si="156"/>
        <v>0.66666666666666663</v>
      </c>
      <c r="BI203" s="203">
        <f t="shared" si="157"/>
        <v>0.33333333333333331</v>
      </c>
      <c r="BK203" s="518"/>
      <c r="BL203" s="271">
        <v>46050</v>
      </c>
      <c r="BM203" s="198">
        <v>748</v>
      </c>
      <c r="BN203" s="105">
        <v>5.8799999999999998E-2</v>
      </c>
      <c r="BO203" s="105">
        <v>2.9399999999999999E-2</v>
      </c>
      <c r="BP203" s="105">
        <v>1.7399999999999999E-2</v>
      </c>
      <c r="BQ203" s="105">
        <v>1.6E-2</v>
      </c>
      <c r="BR203" s="105">
        <v>1.47E-2</v>
      </c>
      <c r="BS203" s="105">
        <v>9.4000000000000004E-3</v>
      </c>
      <c r="BT203" s="105">
        <v>4.0000000000000001E-3</v>
      </c>
      <c r="BU203" s="26">
        <v>4.0000000000000001E-3</v>
      </c>
      <c r="BV203" s="26">
        <v>5.3E-3</v>
      </c>
      <c r="BW203" s="26" t="s">
        <v>22</v>
      </c>
      <c r="BX203" s="26" t="s">
        <v>22</v>
      </c>
      <c r="BY203" s="104">
        <f t="shared" si="158"/>
        <v>0.5</v>
      </c>
      <c r="BZ203" s="104">
        <f t="shared" si="159"/>
        <v>0.1598639455782313</v>
      </c>
      <c r="CA203" s="198">
        <v>28</v>
      </c>
      <c r="CB203" s="105">
        <v>0.32140000000000002</v>
      </c>
      <c r="CC203" s="105">
        <v>0.17860000000000001</v>
      </c>
      <c r="CD203" s="105">
        <v>7.1400000000000005E-2</v>
      </c>
      <c r="CE203" s="105">
        <v>7.1400000000000005E-2</v>
      </c>
      <c r="CF203" s="105">
        <v>3.5700000000000003E-2</v>
      </c>
      <c r="CG203" s="105">
        <v>3.5700000000000003E-2</v>
      </c>
      <c r="CH203" s="105">
        <v>0</v>
      </c>
      <c r="CI203" s="26">
        <v>0</v>
      </c>
      <c r="CJ203" s="26">
        <v>0</v>
      </c>
      <c r="CK203" s="26" t="s">
        <v>22</v>
      </c>
      <c r="CL203" s="26" t="s">
        <v>22</v>
      </c>
      <c r="CM203" s="104">
        <f t="shared" si="160"/>
        <v>0.55569383945239581</v>
      </c>
      <c r="CN203" s="203">
        <f t="shared" si="161"/>
        <v>0.11107654013690106</v>
      </c>
    </row>
    <row r="204" spans="1:92" ht="14.25" hidden="1" customHeight="1">
      <c r="A204" s="502"/>
      <c r="B204" s="271">
        <v>46051</v>
      </c>
      <c r="C204" s="240">
        <f t="shared" si="184"/>
        <v>1963</v>
      </c>
      <c r="D204" s="105">
        <f t="shared" si="186"/>
        <v>6.9274375955170664E-2</v>
      </c>
      <c r="E204" s="105">
        <f t="shared" si="187"/>
        <v>3.9763270504330109E-2</v>
      </c>
      <c r="F204" s="105">
        <f t="shared" si="188"/>
        <v>3.0578909831889961E-2</v>
      </c>
      <c r="G204" s="105">
        <f t="shared" si="189"/>
        <v>2.6482424859908302E-2</v>
      </c>
      <c r="H204" s="105">
        <f t="shared" si="190"/>
        <v>2.9018135506877225E-2</v>
      </c>
      <c r="I204" s="105">
        <f t="shared" si="191"/>
        <v>2.3977890983188997E-2</v>
      </c>
      <c r="J204" s="105">
        <f t="shared" si="192"/>
        <v>1.9871879775853286E-2</v>
      </c>
      <c r="K204" s="105">
        <f t="shared" si="193"/>
        <v>1.4758278145695363E-2</v>
      </c>
      <c r="L204" s="105">
        <f t="shared" si="194"/>
        <v>9.7035150280183405E-3</v>
      </c>
      <c r="M204" s="105" t="s">
        <v>22</v>
      </c>
      <c r="N204" s="105" t="s">
        <v>22</v>
      </c>
      <c r="O204" s="104">
        <f t="shared" ref="O204:O235" si="204">E204/D204</f>
        <v>0.57399680554411636</v>
      </c>
      <c r="P204" s="203">
        <f t="shared" ref="P204:P239" si="205">I204/D204</f>
        <v>0.34612929604311043</v>
      </c>
      <c r="Q204" s="157">
        <f t="shared" si="185"/>
        <v>69</v>
      </c>
      <c r="R204" s="105">
        <f t="shared" si="195"/>
        <v>0.42028550724637681</v>
      </c>
      <c r="S204" s="105">
        <f t="shared" si="196"/>
        <v>0.28983623188405794</v>
      </c>
      <c r="T204" s="105">
        <f t="shared" si="197"/>
        <v>0.27534347826086958</v>
      </c>
      <c r="U204" s="105">
        <f t="shared" si="198"/>
        <v>0.23190000000000002</v>
      </c>
      <c r="V204" s="105">
        <f t="shared" si="199"/>
        <v>0.24639275362318841</v>
      </c>
      <c r="W204" s="105">
        <f t="shared" si="200"/>
        <v>0.2318927536231884</v>
      </c>
      <c r="X204" s="105">
        <f t="shared" si="201"/>
        <v>0.1739144927536232</v>
      </c>
      <c r="Y204" s="105">
        <f t="shared" si="202"/>
        <v>0.10143623188405798</v>
      </c>
      <c r="Z204" s="105">
        <f t="shared" si="203"/>
        <v>0.11593623188405797</v>
      </c>
      <c r="AA204" s="105" t="s">
        <v>22</v>
      </c>
      <c r="AB204" s="105" t="s">
        <v>22</v>
      </c>
      <c r="AC204" s="104">
        <f t="shared" ref="AC204:AC235" si="206">S204/R204</f>
        <v>0.68961747880150481</v>
      </c>
      <c r="AD204" s="203">
        <f t="shared" ref="AD204:AD239" si="207">W204/R204</f>
        <v>0.55175053535036567</v>
      </c>
      <c r="AE204" s="1"/>
      <c r="AF204" s="502"/>
      <c r="AG204" s="271">
        <v>46051</v>
      </c>
      <c r="AH204" s="198">
        <v>1164</v>
      </c>
      <c r="AI204" s="105">
        <v>6.9599999999999995E-2</v>
      </c>
      <c r="AJ204" s="105">
        <v>3.61E-2</v>
      </c>
      <c r="AK204" s="105">
        <v>3.1800000000000002E-2</v>
      </c>
      <c r="AL204" s="105">
        <v>2.75E-2</v>
      </c>
      <c r="AM204" s="105">
        <v>3.2599999999999997E-2</v>
      </c>
      <c r="AN204" s="105">
        <v>2.41E-2</v>
      </c>
      <c r="AO204" s="105">
        <v>2.1499999999999998E-2</v>
      </c>
      <c r="AP204" s="26">
        <v>1.37E-2</v>
      </c>
      <c r="AQ204" s="26">
        <v>9.4999999999999998E-3</v>
      </c>
      <c r="AR204" s="26" t="s">
        <v>22</v>
      </c>
      <c r="AS204" s="26" t="s">
        <v>22</v>
      </c>
      <c r="AT204" s="104">
        <f t="shared" ref="AT204:AT235" si="208">AJ204/AI204</f>
        <v>0.51867816091954022</v>
      </c>
      <c r="AU204" s="104">
        <f t="shared" ref="AU204:AU239" si="209">AN204/AI204</f>
        <v>0.34626436781609199</v>
      </c>
      <c r="AV204" s="197">
        <v>40</v>
      </c>
      <c r="AW204" s="105">
        <v>0.45</v>
      </c>
      <c r="AX204" s="105">
        <v>0.27500000000000002</v>
      </c>
      <c r="AY204" s="105">
        <v>0.25</v>
      </c>
      <c r="AZ204" s="105">
        <v>0.2</v>
      </c>
      <c r="BA204" s="105">
        <v>0.22500000000000001</v>
      </c>
      <c r="BB204" s="105">
        <v>0.22500000000000001</v>
      </c>
      <c r="BC204" s="105">
        <v>0.15</v>
      </c>
      <c r="BD204" s="26">
        <v>7.4999999999999997E-2</v>
      </c>
      <c r="BE204" s="26">
        <v>7.4999999999999997E-2</v>
      </c>
      <c r="BF204" s="26" t="s">
        <v>22</v>
      </c>
      <c r="BG204" s="26" t="s">
        <v>22</v>
      </c>
      <c r="BH204" s="104">
        <f t="shared" ref="BH204:BH235" si="210">AX204/AW204</f>
        <v>0.61111111111111116</v>
      </c>
      <c r="BI204" s="203">
        <f t="shared" ref="BI204:BI239" si="211">BB204/AW204</f>
        <v>0.5</v>
      </c>
      <c r="BK204" s="518"/>
      <c r="BL204" s="271">
        <v>46051</v>
      </c>
      <c r="BM204" s="198">
        <v>799</v>
      </c>
      <c r="BN204" s="105">
        <v>6.88E-2</v>
      </c>
      <c r="BO204" s="105">
        <v>4.5100000000000001E-2</v>
      </c>
      <c r="BP204" s="105">
        <v>2.8799999999999999E-2</v>
      </c>
      <c r="BQ204" s="105">
        <v>2.5000000000000001E-2</v>
      </c>
      <c r="BR204" s="105">
        <v>2.3800000000000002E-2</v>
      </c>
      <c r="BS204" s="105">
        <v>2.3800000000000002E-2</v>
      </c>
      <c r="BT204" s="105">
        <v>1.7500000000000002E-2</v>
      </c>
      <c r="BU204" s="26">
        <v>1.6299999999999999E-2</v>
      </c>
      <c r="BV204" s="26">
        <v>0.01</v>
      </c>
      <c r="BW204" s="26" t="s">
        <v>22</v>
      </c>
      <c r="BX204" s="26" t="s">
        <v>22</v>
      </c>
      <c r="BY204" s="104">
        <f t="shared" ref="BY204:BY235" si="212">BO204/BN204</f>
        <v>0.65552325581395354</v>
      </c>
      <c r="BZ204" s="104">
        <f t="shared" ref="BZ204:BZ239" si="213">BS204/BN204</f>
        <v>0.34593023255813954</v>
      </c>
      <c r="CA204" s="197">
        <v>29</v>
      </c>
      <c r="CB204" s="105">
        <v>0.37930000000000003</v>
      </c>
      <c r="CC204" s="105">
        <v>0.31030000000000002</v>
      </c>
      <c r="CD204" s="105">
        <v>0.31030000000000002</v>
      </c>
      <c r="CE204" s="105">
        <v>0.27589999999999998</v>
      </c>
      <c r="CF204" s="105">
        <v>0.27589999999999998</v>
      </c>
      <c r="CG204" s="105">
        <v>0.2414</v>
      </c>
      <c r="CH204" s="105">
        <v>0.2069</v>
      </c>
      <c r="CI204" s="26">
        <v>0.13789999999999999</v>
      </c>
      <c r="CJ204" s="26">
        <v>0.1724</v>
      </c>
      <c r="CK204" s="26" t="s">
        <v>22</v>
      </c>
      <c r="CL204" s="26" t="s">
        <v>22</v>
      </c>
      <c r="CM204" s="104">
        <f t="shared" ref="CM204:CM235" si="214">CC204/CB204</f>
        <v>0.81808594779857635</v>
      </c>
      <c r="CN204" s="203">
        <f t="shared" ref="CN204:CN239" si="215">CG204/CB204</f>
        <v>0.63643553915106776</v>
      </c>
    </row>
    <row r="205" spans="1:92" ht="14.25" hidden="1" customHeight="1">
      <c r="A205" s="601" t="s">
        <v>28</v>
      </c>
      <c r="B205" s="271">
        <v>46052</v>
      </c>
      <c r="C205" s="240">
        <f t="shared" si="184"/>
        <v>2081</v>
      </c>
      <c r="D205" s="105">
        <f t="shared" si="186"/>
        <v>6.6791878904372895E-2</v>
      </c>
      <c r="E205" s="105">
        <f t="shared" si="187"/>
        <v>4.3722537241710713E-2</v>
      </c>
      <c r="F205" s="105">
        <f t="shared" si="188"/>
        <v>2.98E-2</v>
      </c>
      <c r="G205" s="105">
        <f t="shared" si="189"/>
        <v>2.8835367611725133E-2</v>
      </c>
      <c r="H205" s="105">
        <f t="shared" si="190"/>
        <v>2.6927342623738585E-2</v>
      </c>
      <c r="I205" s="105">
        <f t="shared" si="191"/>
        <v>2.4495146564151853E-2</v>
      </c>
      <c r="J205" s="105">
        <f t="shared" si="192"/>
        <v>1.2480682364247956E-2</v>
      </c>
      <c r="K205" s="105">
        <f t="shared" si="193"/>
        <v>1.2501633829889476E-2</v>
      </c>
      <c r="L205" s="105">
        <f t="shared" si="194"/>
        <v>9.6032676597789524E-3</v>
      </c>
      <c r="M205" s="105" t="s">
        <v>22</v>
      </c>
      <c r="N205" s="105" t="s">
        <v>22</v>
      </c>
      <c r="O205" s="104">
        <f t="shared" si="204"/>
        <v>0.65460858354215545</v>
      </c>
      <c r="P205" s="203">
        <f t="shared" si="205"/>
        <v>0.36673839643322481</v>
      </c>
      <c r="Q205" s="157">
        <f t="shared" si="185"/>
        <v>65</v>
      </c>
      <c r="R205" s="105">
        <f t="shared" si="195"/>
        <v>0.3846369230769231</v>
      </c>
      <c r="S205" s="105">
        <f t="shared" si="196"/>
        <v>0.33844923076923078</v>
      </c>
      <c r="T205" s="105">
        <f t="shared" si="197"/>
        <v>0.2615523076923077</v>
      </c>
      <c r="U205" s="105">
        <f t="shared" si="198"/>
        <v>0.21541692307692306</v>
      </c>
      <c r="V205" s="105">
        <f t="shared" si="199"/>
        <v>0.21541692307692306</v>
      </c>
      <c r="W205" s="105">
        <f t="shared" si="200"/>
        <v>0.21541692307692306</v>
      </c>
      <c r="X205" s="105">
        <f t="shared" si="201"/>
        <v>0.1538723076923077</v>
      </c>
      <c r="Y205" s="105">
        <f t="shared" si="202"/>
        <v>0.10768</v>
      </c>
      <c r="Z205" s="105">
        <f t="shared" si="203"/>
        <v>0.12303692307692307</v>
      </c>
      <c r="AA205" s="105" t="s">
        <v>22</v>
      </c>
      <c r="AB205" s="105" t="s">
        <v>22</v>
      </c>
      <c r="AC205" s="104">
        <f t="shared" si="206"/>
        <v>0.87991872455142506</v>
      </c>
      <c r="AD205" s="203">
        <f t="shared" si="207"/>
        <v>0.560052637052325</v>
      </c>
      <c r="AE205" s="1"/>
      <c r="AF205" s="583" t="s">
        <v>28</v>
      </c>
      <c r="AG205" s="271">
        <v>46052</v>
      </c>
      <c r="AH205" s="198">
        <v>1309</v>
      </c>
      <c r="AI205" s="105">
        <v>6.9500000000000006E-2</v>
      </c>
      <c r="AJ205" s="105">
        <v>4.58E-2</v>
      </c>
      <c r="AK205" s="105">
        <v>2.98E-2</v>
      </c>
      <c r="AL205" s="105">
        <v>3.44E-2</v>
      </c>
      <c r="AM205" s="105">
        <v>3.0599999999999999E-2</v>
      </c>
      <c r="AN205" s="105">
        <v>2.52E-2</v>
      </c>
      <c r="AO205" s="105">
        <v>1.0699999999999999E-2</v>
      </c>
      <c r="AP205" s="26">
        <v>1.15E-2</v>
      </c>
      <c r="AQ205" s="26">
        <v>7.6E-3</v>
      </c>
      <c r="AR205" s="26" t="s">
        <v>22</v>
      </c>
      <c r="AS205" s="26" t="s">
        <v>22</v>
      </c>
      <c r="AT205" s="104">
        <f t="shared" si="208"/>
        <v>0.65899280575539565</v>
      </c>
      <c r="AU205" s="104">
        <f t="shared" si="209"/>
        <v>0.36258992805755391</v>
      </c>
      <c r="AV205" s="197">
        <v>31</v>
      </c>
      <c r="AW205" s="105">
        <v>0.3226</v>
      </c>
      <c r="AX205" s="105">
        <v>0.3226</v>
      </c>
      <c r="AY205" s="105">
        <v>0.2581</v>
      </c>
      <c r="AZ205" s="105">
        <v>0.2581</v>
      </c>
      <c r="BA205" s="105">
        <v>0.2581</v>
      </c>
      <c r="BB205" s="105">
        <v>0.2581</v>
      </c>
      <c r="BC205" s="105">
        <v>0.1613</v>
      </c>
      <c r="BD205" s="26">
        <v>9.6799999999999997E-2</v>
      </c>
      <c r="BE205" s="26">
        <v>0.129</v>
      </c>
      <c r="BF205" s="26" t="s">
        <v>22</v>
      </c>
      <c r="BG205" s="26" t="s">
        <v>22</v>
      </c>
      <c r="BH205" s="104">
        <f t="shared" si="210"/>
        <v>1</v>
      </c>
      <c r="BI205" s="203">
        <f t="shared" si="211"/>
        <v>0.80006199628022323</v>
      </c>
      <c r="BK205" s="517" t="s">
        <v>28</v>
      </c>
      <c r="BL205" s="271">
        <v>46052</v>
      </c>
      <c r="BM205" s="198">
        <v>772</v>
      </c>
      <c r="BN205" s="105">
        <v>6.2199999999999998E-2</v>
      </c>
      <c r="BO205" s="105">
        <v>4.02E-2</v>
      </c>
      <c r="BP205" s="105">
        <v>2.98E-2</v>
      </c>
      <c r="BQ205" s="105">
        <v>1.9400000000000001E-2</v>
      </c>
      <c r="BR205" s="105">
        <v>2.07E-2</v>
      </c>
      <c r="BS205" s="105">
        <v>2.3300000000000001E-2</v>
      </c>
      <c r="BT205" s="105">
        <v>1.55E-2</v>
      </c>
      <c r="BU205" s="26">
        <v>1.4200000000000001E-2</v>
      </c>
      <c r="BV205" s="26">
        <v>1.2999999999999999E-2</v>
      </c>
      <c r="BW205" s="26" t="s">
        <v>22</v>
      </c>
      <c r="BX205" s="26" t="s">
        <v>22</v>
      </c>
      <c r="BY205" s="104">
        <f t="shared" si="212"/>
        <v>0.6463022508038585</v>
      </c>
      <c r="BZ205" s="104">
        <f t="shared" si="213"/>
        <v>0.37459807073954987</v>
      </c>
      <c r="CA205" s="197">
        <v>34</v>
      </c>
      <c r="CB205" s="105">
        <v>0.44119999999999998</v>
      </c>
      <c r="CC205" s="105">
        <v>0.35289999999999999</v>
      </c>
      <c r="CD205" s="105">
        <v>0.26469999999999999</v>
      </c>
      <c r="CE205" s="105">
        <v>0.17649999999999999</v>
      </c>
      <c r="CF205" s="105">
        <v>0.17649999999999999</v>
      </c>
      <c r="CG205" s="105">
        <v>0.17649999999999999</v>
      </c>
      <c r="CH205" s="105">
        <v>0.14710000000000001</v>
      </c>
      <c r="CI205" s="26">
        <v>0.1176</v>
      </c>
      <c r="CJ205" s="26">
        <v>0.1176</v>
      </c>
      <c r="CK205" s="26" t="s">
        <v>22</v>
      </c>
      <c r="CL205" s="26" t="s">
        <v>22</v>
      </c>
      <c r="CM205" s="104">
        <f t="shared" si="214"/>
        <v>0.79986400725294649</v>
      </c>
      <c r="CN205" s="203">
        <f t="shared" si="215"/>
        <v>0.4000453309156845</v>
      </c>
    </row>
    <row r="206" spans="1:92" ht="14.25" hidden="1" customHeight="1">
      <c r="A206" s="502"/>
      <c r="B206" s="271">
        <v>46053</v>
      </c>
      <c r="C206" s="240">
        <f t="shared" si="184"/>
        <v>1845</v>
      </c>
      <c r="D206" s="105">
        <f t="shared" si="186"/>
        <v>8.1296693766937655E-2</v>
      </c>
      <c r="E206" s="105">
        <f t="shared" si="187"/>
        <v>4.0143197831978318E-2</v>
      </c>
      <c r="F206" s="105">
        <f t="shared" si="188"/>
        <v>3.1427208672086718E-2</v>
      </c>
      <c r="G206" s="105">
        <f t="shared" si="189"/>
        <v>3.090514905149052E-2</v>
      </c>
      <c r="H206" s="105">
        <f t="shared" si="190"/>
        <v>2.2225907859078589E-2</v>
      </c>
      <c r="I206" s="105">
        <f t="shared" si="191"/>
        <v>2.3857344173441736E-2</v>
      </c>
      <c r="J206" s="105">
        <f t="shared" si="192"/>
        <v>1.5764336043360434E-2</v>
      </c>
      <c r="K206" s="105">
        <f t="shared" si="193"/>
        <v>1.246710027100271E-2</v>
      </c>
      <c r="L206" s="105">
        <f t="shared" si="194"/>
        <v>1.031268292682927E-2</v>
      </c>
      <c r="M206" s="105" t="s">
        <v>22</v>
      </c>
      <c r="N206" s="105" t="s">
        <v>22</v>
      </c>
      <c r="O206" s="104">
        <f t="shared" si="204"/>
        <v>0.49378635184182673</v>
      </c>
      <c r="P206" s="203">
        <f t="shared" si="205"/>
        <v>0.29346020198356726</v>
      </c>
      <c r="Q206" s="157">
        <f t="shared" si="185"/>
        <v>75</v>
      </c>
      <c r="R206" s="105">
        <f t="shared" si="195"/>
        <v>0.5066586666666667</v>
      </c>
      <c r="S206" s="105">
        <f t="shared" si="196"/>
        <v>0.29332399999999997</v>
      </c>
      <c r="T206" s="105">
        <f t="shared" si="197"/>
        <v>0.26666800000000002</v>
      </c>
      <c r="U206" s="105">
        <f t="shared" si="198"/>
        <v>0.19999066666666668</v>
      </c>
      <c r="V206" s="105">
        <f t="shared" si="199"/>
        <v>0.21335599999999999</v>
      </c>
      <c r="W206" s="105">
        <f t="shared" si="200"/>
        <v>0.22666800000000001</v>
      </c>
      <c r="X206" s="105">
        <f t="shared" si="201"/>
        <v>0.21331866666666666</v>
      </c>
      <c r="Y206" s="105">
        <f t="shared" si="202"/>
        <v>0.13334799999999999</v>
      </c>
      <c r="Z206" s="105">
        <f t="shared" si="203"/>
        <v>0.106708</v>
      </c>
      <c r="AA206" s="105" t="s">
        <v>22</v>
      </c>
      <c r="AB206" s="105" t="s">
        <v>22</v>
      </c>
      <c r="AC206" s="104">
        <f t="shared" si="206"/>
        <v>0.57893808849613404</v>
      </c>
      <c r="AD206" s="203">
        <f t="shared" si="207"/>
        <v>0.44737811649657627</v>
      </c>
      <c r="AE206" s="1"/>
      <c r="AF206" s="502"/>
      <c r="AG206" s="271">
        <v>46053</v>
      </c>
      <c r="AH206" s="198">
        <v>1204</v>
      </c>
      <c r="AI206" s="105">
        <v>8.2199999999999995E-2</v>
      </c>
      <c r="AJ206" s="105">
        <v>3.9899999999999998E-2</v>
      </c>
      <c r="AK206" s="105">
        <v>3.2399999999999998E-2</v>
      </c>
      <c r="AL206" s="105">
        <v>3.1600000000000003E-2</v>
      </c>
      <c r="AM206" s="105">
        <v>1.83E-2</v>
      </c>
      <c r="AN206" s="105">
        <v>2.0799999999999999E-2</v>
      </c>
      <c r="AO206" s="105">
        <v>1.4999999999999999E-2</v>
      </c>
      <c r="AP206" s="26">
        <v>1.41E-2</v>
      </c>
      <c r="AQ206" s="26">
        <v>0.01</v>
      </c>
      <c r="AR206" s="26" t="s">
        <v>22</v>
      </c>
      <c r="AS206" s="26" t="s">
        <v>22</v>
      </c>
      <c r="AT206" s="104">
        <f t="shared" si="208"/>
        <v>0.48540145985401462</v>
      </c>
      <c r="AU206" s="104">
        <f t="shared" si="209"/>
        <v>0.25304136253041365</v>
      </c>
      <c r="AV206" s="197">
        <v>49</v>
      </c>
      <c r="AW206" s="105">
        <v>0.59179999999999999</v>
      </c>
      <c r="AX206" s="105">
        <v>0.32650000000000001</v>
      </c>
      <c r="AY206" s="105">
        <v>0.28570000000000001</v>
      </c>
      <c r="AZ206" s="105">
        <v>0.22450000000000001</v>
      </c>
      <c r="BA206" s="105">
        <v>0.2041</v>
      </c>
      <c r="BB206" s="105">
        <v>0.2041</v>
      </c>
      <c r="BC206" s="105">
        <v>0.24490000000000001</v>
      </c>
      <c r="BD206" s="26">
        <v>0.1633</v>
      </c>
      <c r="BE206" s="26">
        <v>0.1429</v>
      </c>
      <c r="BF206" s="26" t="s">
        <v>22</v>
      </c>
      <c r="BG206" s="26" t="s">
        <v>22</v>
      </c>
      <c r="BH206" s="104">
        <f t="shared" si="210"/>
        <v>0.55170665765461302</v>
      </c>
      <c r="BI206" s="203">
        <f t="shared" si="211"/>
        <v>0.34488002703616089</v>
      </c>
      <c r="BK206" s="518"/>
      <c r="BL206" s="271">
        <v>46053</v>
      </c>
      <c r="BM206" s="198">
        <v>641</v>
      </c>
      <c r="BN206" s="105">
        <v>7.9600000000000004E-2</v>
      </c>
      <c r="BO206" s="105">
        <v>4.0599999999999997E-2</v>
      </c>
      <c r="BP206" s="105">
        <v>2.9600000000000001E-2</v>
      </c>
      <c r="BQ206" s="105">
        <v>2.9600000000000001E-2</v>
      </c>
      <c r="BR206" s="105">
        <v>2.9600000000000001E-2</v>
      </c>
      <c r="BS206" s="105">
        <v>2.9600000000000001E-2</v>
      </c>
      <c r="BT206" s="105">
        <v>1.72E-2</v>
      </c>
      <c r="BU206" s="26">
        <v>9.4000000000000004E-3</v>
      </c>
      <c r="BV206" s="26">
        <v>1.09E-2</v>
      </c>
      <c r="BW206" s="26" t="s">
        <v>22</v>
      </c>
      <c r="BX206" s="26" t="s">
        <v>22</v>
      </c>
      <c r="BY206" s="104">
        <f t="shared" si="212"/>
        <v>0.51005025125628134</v>
      </c>
      <c r="BZ206" s="104">
        <f t="shared" si="213"/>
        <v>0.37185929648241206</v>
      </c>
      <c r="CA206" s="197">
        <v>26</v>
      </c>
      <c r="CB206" s="105">
        <v>0.34620000000000001</v>
      </c>
      <c r="CC206" s="105">
        <v>0.23080000000000001</v>
      </c>
      <c r="CD206" s="105">
        <v>0.23080000000000001</v>
      </c>
      <c r="CE206" s="105">
        <v>0.15379999999999999</v>
      </c>
      <c r="CF206" s="105">
        <v>0.23080000000000001</v>
      </c>
      <c r="CG206" s="105">
        <v>0.26919999999999999</v>
      </c>
      <c r="CH206" s="105">
        <v>0.15379999999999999</v>
      </c>
      <c r="CI206" s="26">
        <v>7.6899999999999996E-2</v>
      </c>
      <c r="CJ206" s="26">
        <v>3.85E-2</v>
      </c>
      <c r="CK206" s="26" t="s">
        <v>22</v>
      </c>
      <c r="CL206" s="26" t="s">
        <v>22</v>
      </c>
      <c r="CM206" s="104">
        <f t="shared" si="214"/>
        <v>0.66666666666666663</v>
      </c>
      <c r="CN206" s="203">
        <f t="shared" si="215"/>
        <v>0.77758521086077403</v>
      </c>
    </row>
    <row r="207" spans="1:92" ht="14.25" customHeight="1">
      <c r="A207" s="90"/>
      <c r="B207" s="163">
        <v>46054</v>
      </c>
      <c r="C207" s="315">
        <f t="shared" si="184"/>
        <v>1850</v>
      </c>
      <c r="D207" s="105">
        <f t="shared" si="186"/>
        <v>5.8361621621621618E-2</v>
      </c>
      <c r="E207" s="105">
        <f t="shared" si="187"/>
        <v>3.0815675675675676E-2</v>
      </c>
      <c r="F207" s="105">
        <f t="shared" si="188"/>
        <v>3.0782216216216216E-2</v>
      </c>
      <c r="G207" s="105">
        <f t="shared" si="189"/>
        <v>2.7579027027027022E-2</v>
      </c>
      <c r="H207" s="105">
        <f t="shared" si="190"/>
        <v>2.2690054054054054E-2</v>
      </c>
      <c r="I207" s="105">
        <f t="shared" si="191"/>
        <v>1.8905189189189191E-2</v>
      </c>
      <c r="J207" s="105">
        <f t="shared" si="192"/>
        <v>1.4603459459459458E-2</v>
      </c>
      <c r="K207" s="105">
        <f t="shared" si="193"/>
        <v>1.026654054054054E-2</v>
      </c>
      <c r="L207" s="105">
        <f t="shared" si="194"/>
        <v>7.03545945945946E-3</v>
      </c>
      <c r="M207" s="105" t="s">
        <v>22</v>
      </c>
      <c r="N207" s="105" t="s">
        <v>22</v>
      </c>
      <c r="O207" s="104">
        <f t="shared" si="204"/>
        <v>0.52801267030351307</v>
      </c>
      <c r="P207" s="203">
        <f t="shared" si="205"/>
        <v>0.32393186933286411</v>
      </c>
      <c r="Q207" s="170">
        <f t="shared" si="185"/>
        <v>62</v>
      </c>
      <c r="R207" s="105">
        <f t="shared" si="195"/>
        <v>0.37098387096774188</v>
      </c>
      <c r="S207" s="105">
        <f t="shared" si="196"/>
        <v>0.22579032258064513</v>
      </c>
      <c r="T207" s="105">
        <f t="shared" si="197"/>
        <v>0.17738064516129032</v>
      </c>
      <c r="U207" s="105">
        <f t="shared" si="198"/>
        <v>0.22584516129032259</v>
      </c>
      <c r="V207" s="105">
        <f t="shared" si="199"/>
        <v>0.19352258064516129</v>
      </c>
      <c r="W207" s="105">
        <f t="shared" si="200"/>
        <v>0.16126129032258066</v>
      </c>
      <c r="X207" s="105">
        <f t="shared" si="201"/>
        <v>0.11291935483870968</v>
      </c>
      <c r="Y207" s="105">
        <f t="shared" si="202"/>
        <v>0.11291935483870968</v>
      </c>
      <c r="Z207" s="105">
        <f t="shared" si="203"/>
        <v>9.6799999999999997E-2</v>
      </c>
      <c r="AA207" s="105" t="s">
        <v>22</v>
      </c>
      <c r="AB207" s="105" t="s">
        <v>22</v>
      </c>
      <c r="AC207" s="104">
        <f t="shared" si="206"/>
        <v>0.60862571192556847</v>
      </c>
      <c r="AD207" s="203">
        <f t="shared" si="207"/>
        <v>0.43468544845876278</v>
      </c>
      <c r="AE207" s="1"/>
      <c r="AF207" s="90"/>
      <c r="AG207" s="254">
        <v>46054</v>
      </c>
      <c r="AH207" s="200">
        <v>1167</v>
      </c>
      <c r="AI207" s="105">
        <v>5.91E-2</v>
      </c>
      <c r="AJ207" s="105">
        <v>3.3399999999999999E-2</v>
      </c>
      <c r="AK207" s="105">
        <v>3.6799999999999999E-2</v>
      </c>
      <c r="AL207" s="105">
        <v>3.2599999999999997E-2</v>
      </c>
      <c r="AM207" s="105">
        <v>0.03</v>
      </c>
      <c r="AN207" s="105">
        <v>2.4E-2</v>
      </c>
      <c r="AO207" s="105">
        <v>1.7999999999999999E-2</v>
      </c>
      <c r="AP207" s="26">
        <v>1.37E-2</v>
      </c>
      <c r="AQ207" s="26">
        <v>7.7000000000000002E-3</v>
      </c>
      <c r="AR207" s="26" t="s">
        <v>22</v>
      </c>
      <c r="AS207" s="26" t="s">
        <v>22</v>
      </c>
      <c r="AT207" s="104">
        <f t="shared" si="208"/>
        <v>0.56514382402707275</v>
      </c>
      <c r="AU207" s="104">
        <f t="shared" si="209"/>
        <v>0.40609137055837563</v>
      </c>
      <c r="AV207" s="196">
        <v>38</v>
      </c>
      <c r="AW207" s="105">
        <v>0.28949999999999998</v>
      </c>
      <c r="AX207" s="105">
        <v>0.21049999999999999</v>
      </c>
      <c r="AY207" s="105">
        <v>0.23680000000000001</v>
      </c>
      <c r="AZ207" s="105">
        <v>0.26319999999999999</v>
      </c>
      <c r="BA207" s="105">
        <v>0.23680000000000001</v>
      </c>
      <c r="BB207" s="105">
        <v>0.21049999999999999</v>
      </c>
      <c r="BC207" s="105">
        <v>0.15790000000000001</v>
      </c>
      <c r="BD207" s="26">
        <v>0.15790000000000001</v>
      </c>
      <c r="BE207" s="26">
        <v>0.13159999999999999</v>
      </c>
      <c r="BF207" s="26" t="s">
        <v>22</v>
      </c>
      <c r="BG207" s="26" t="s">
        <v>22</v>
      </c>
      <c r="BH207" s="104">
        <f t="shared" si="210"/>
        <v>0.72711571675302245</v>
      </c>
      <c r="BI207" s="203">
        <f t="shared" si="211"/>
        <v>0.72711571675302245</v>
      </c>
      <c r="BK207" s="90"/>
      <c r="BL207" s="254">
        <v>46054</v>
      </c>
      <c r="BM207" s="200">
        <v>683</v>
      </c>
      <c r="BN207" s="105">
        <v>5.7099999999999998E-2</v>
      </c>
      <c r="BO207" s="105">
        <v>2.64E-2</v>
      </c>
      <c r="BP207" s="105">
        <v>2.0500000000000001E-2</v>
      </c>
      <c r="BQ207" s="105">
        <v>1.9E-2</v>
      </c>
      <c r="BR207" s="105">
        <v>1.0200000000000001E-2</v>
      </c>
      <c r="BS207" s="105">
        <v>1.0200000000000001E-2</v>
      </c>
      <c r="BT207" s="105">
        <v>8.8000000000000005E-3</v>
      </c>
      <c r="BU207" s="26">
        <v>4.4000000000000003E-3</v>
      </c>
      <c r="BV207" s="26">
        <v>5.8999999999999999E-3</v>
      </c>
      <c r="BW207" s="26" t="s">
        <v>22</v>
      </c>
      <c r="BX207" s="26" t="s">
        <v>22</v>
      </c>
      <c r="BY207" s="104">
        <f t="shared" si="212"/>
        <v>0.46234676007005254</v>
      </c>
      <c r="BZ207" s="104">
        <f t="shared" si="213"/>
        <v>0.17863397548161122</v>
      </c>
      <c r="CA207" s="196">
        <v>24</v>
      </c>
      <c r="CB207" s="105">
        <v>0.5</v>
      </c>
      <c r="CC207" s="105">
        <v>0.25</v>
      </c>
      <c r="CD207" s="105">
        <v>8.3299999999999999E-2</v>
      </c>
      <c r="CE207" s="105">
        <v>0.16669999999999999</v>
      </c>
      <c r="CF207" s="105">
        <v>0.125</v>
      </c>
      <c r="CG207" s="105">
        <v>8.3299999999999999E-2</v>
      </c>
      <c r="CH207" s="105">
        <v>4.1700000000000001E-2</v>
      </c>
      <c r="CI207" s="26">
        <v>4.1700000000000001E-2</v>
      </c>
      <c r="CJ207" s="26">
        <v>4.1700000000000001E-2</v>
      </c>
      <c r="CK207" s="26" t="s">
        <v>22</v>
      </c>
      <c r="CL207" s="26" t="s">
        <v>22</v>
      </c>
      <c r="CM207" s="104">
        <f t="shared" si="214"/>
        <v>0.5</v>
      </c>
      <c r="CN207" s="203">
        <f t="shared" si="215"/>
        <v>0.1666</v>
      </c>
    </row>
    <row r="208" spans="1:92" ht="14.25" customHeight="1">
      <c r="A208" s="90"/>
      <c r="B208" s="163">
        <v>46055</v>
      </c>
      <c r="C208" s="315">
        <f t="shared" si="184"/>
        <v>1690</v>
      </c>
      <c r="D208" s="105">
        <f t="shared" si="186"/>
        <v>8.286396449704142E-2</v>
      </c>
      <c r="E208" s="105">
        <f t="shared" si="187"/>
        <v>5.5041775147928997E-2</v>
      </c>
      <c r="F208" s="105">
        <f t="shared" si="188"/>
        <v>4.4955976331360947E-2</v>
      </c>
      <c r="G208" s="105">
        <f t="shared" si="189"/>
        <v>4.1392899408284028E-2</v>
      </c>
      <c r="H208" s="105">
        <f t="shared" si="190"/>
        <v>3.3702603550295862E-2</v>
      </c>
      <c r="I208" s="105">
        <f t="shared" si="191"/>
        <v>3.5490295857988172E-2</v>
      </c>
      <c r="J208" s="105">
        <f t="shared" si="192"/>
        <v>1.8961538461538464E-2</v>
      </c>
      <c r="K208" s="105">
        <f t="shared" si="193"/>
        <v>1.0085798816568046E-2</v>
      </c>
      <c r="L208" s="105">
        <f t="shared" si="194"/>
        <v>1.1256153846153846E-2</v>
      </c>
      <c r="M208" s="105" t="s">
        <v>22</v>
      </c>
      <c r="N208" s="105" t="s">
        <v>22</v>
      </c>
      <c r="O208" s="104">
        <f t="shared" si="204"/>
        <v>0.66424259908411953</v>
      </c>
      <c r="P208" s="203">
        <f t="shared" si="205"/>
        <v>0.42829589524714712</v>
      </c>
      <c r="Q208" s="170">
        <f t="shared" si="185"/>
        <v>59</v>
      </c>
      <c r="R208" s="105">
        <f t="shared" si="195"/>
        <v>0.45763220338983057</v>
      </c>
      <c r="S208" s="105">
        <f t="shared" si="196"/>
        <v>0.33899491525423731</v>
      </c>
      <c r="T208" s="105">
        <f t="shared" si="197"/>
        <v>0.30510677966101696</v>
      </c>
      <c r="U208" s="105">
        <f t="shared" si="198"/>
        <v>0.30506271186440675</v>
      </c>
      <c r="V208" s="105">
        <f t="shared" si="199"/>
        <v>0.25421525423728814</v>
      </c>
      <c r="W208" s="105">
        <f t="shared" si="200"/>
        <v>0.25421525423728814</v>
      </c>
      <c r="X208" s="105">
        <f t="shared" si="201"/>
        <v>0.15257288135593219</v>
      </c>
      <c r="Y208" s="105">
        <f t="shared" si="202"/>
        <v>8.4767796610169491E-2</v>
      </c>
      <c r="Z208" s="105">
        <f t="shared" si="203"/>
        <v>6.7801694915254229E-2</v>
      </c>
      <c r="AA208" s="105" t="s">
        <v>22</v>
      </c>
      <c r="AB208" s="105" t="s">
        <v>22</v>
      </c>
      <c r="AC208" s="104">
        <f t="shared" si="206"/>
        <v>0.74075843601737756</v>
      </c>
      <c r="AD208" s="203">
        <f t="shared" si="207"/>
        <v>0.55550123517146099</v>
      </c>
      <c r="AE208" s="1"/>
      <c r="AF208" s="90"/>
      <c r="AG208" s="254">
        <v>46055</v>
      </c>
      <c r="AH208" s="200">
        <v>1113</v>
      </c>
      <c r="AI208" s="105">
        <v>8.72E-2</v>
      </c>
      <c r="AJ208" s="105">
        <v>5.7500000000000002E-2</v>
      </c>
      <c r="AK208" s="105">
        <v>4.3999999999999997E-2</v>
      </c>
      <c r="AL208" s="105">
        <v>4.3099999999999999E-2</v>
      </c>
      <c r="AM208" s="105">
        <v>3.5000000000000003E-2</v>
      </c>
      <c r="AN208" s="105">
        <v>3.5900000000000001E-2</v>
      </c>
      <c r="AO208" s="105">
        <v>2.3400000000000001E-2</v>
      </c>
      <c r="AP208" s="26">
        <v>1.35E-2</v>
      </c>
      <c r="AQ208" s="26">
        <v>1.17E-2</v>
      </c>
      <c r="AR208" s="26" t="s">
        <v>22</v>
      </c>
      <c r="AS208" s="26" t="s">
        <v>22</v>
      </c>
      <c r="AT208" s="104">
        <f t="shared" si="208"/>
        <v>0.65940366972477071</v>
      </c>
      <c r="AU208" s="104">
        <f t="shared" si="209"/>
        <v>0.41169724770642202</v>
      </c>
      <c r="AV208" s="196">
        <v>35</v>
      </c>
      <c r="AW208" s="105">
        <v>0.48570000000000002</v>
      </c>
      <c r="AX208" s="105">
        <v>0.34289999999999998</v>
      </c>
      <c r="AY208" s="105">
        <v>0.31430000000000002</v>
      </c>
      <c r="AZ208" s="105">
        <v>0.28570000000000001</v>
      </c>
      <c r="BA208" s="105">
        <v>0.28570000000000001</v>
      </c>
      <c r="BB208" s="105">
        <v>0.28570000000000001</v>
      </c>
      <c r="BC208" s="105">
        <v>0.2286</v>
      </c>
      <c r="BD208" s="26">
        <v>0.1143</v>
      </c>
      <c r="BE208" s="26">
        <v>8.5699999999999998E-2</v>
      </c>
      <c r="BF208" s="26" t="s">
        <v>22</v>
      </c>
      <c r="BG208" s="26" t="s">
        <v>22</v>
      </c>
      <c r="BH208" s="104">
        <f t="shared" si="210"/>
        <v>0.70599135268684365</v>
      </c>
      <c r="BI208" s="203">
        <f t="shared" si="211"/>
        <v>0.58822318303479515</v>
      </c>
      <c r="BK208" s="90"/>
      <c r="BL208" s="254">
        <v>46055</v>
      </c>
      <c r="BM208" s="200">
        <v>577</v>
      </c>
      <c r="BN208" s="105">
        <v>7.4499999999999997E-2</v>
      </c>
      <c r="BO208" s="105">
        <v>5.0299999999999997E-2</v>
      </c>
      <c r="BP208" s="105">
        <v>4.6800000000000001E-2</v>
      </c>
      <c r="BQ208" s="105">
        <v>3.8100000000000002E-2</v>
      </c>
      <c r="BR208" s="105">
        <v>3.1199999999999999E-2</v>
      </c>
      <c r="BS208" s="105">
        <v>3.4700000000000002E-2</v>
      </c>
      <c r="BT208" s="105">
        <v>1.04E-2</v>
      </c>
      <c r="BU208" s="26">
        <v>3.5000000000000001E-3</v>
      </c>
      <c r="BV208" s="26">
        <v>1.04E-2</v>
      </c>
      <c r="BW208" s="26" t="s">
        <v>22</v>
      </c>
      <c r="BX208" s="26" t="s">
        <v>22</v>
      </c>
      <c r="BY208" s="104">
        <f t="shared" si="212"/>
        <v>0.67516778523489929</v>
      </c>
      <c r="BZ208" s="104">
        <f t="shared" si="213"/>
        <v>0.46577181208053697</v>
      </c>
      <c r="CA208" s="196">
        <v>24</v>
      </c>
      <c r="CB208" s="105">
        <v>0.41670000000000001</v>
      </c>
      <c r="CC208" s="105">
        <v>0.33329999999999999</v>
      </c>
      <c r="CD208" s="105">
        <v>0.29170000000000001</v>
      </c>
      <c r="CE208" s="105">
        <v>0.33329999999999999</v>
      </c>
      <c r="CF208" s="105">
        <v>0.20830000000000001</v>
      </c>
      <c r="CG208" s="105">
        <v>0.20830000000000001</v>
      </c>
      <c r="CH208" s="105">
        <v>4.1700000000000001E-2</v>
      </c>
      <c r="CI208" s="26">
        <v>4.1700000000000001E-2</v>
      </c>
      <c r="CJ208" s="26">
        <v>4.1700000000000001E-2</v>
      </c>
      <c r="CK208" s="26" t="s">
        <v>22</v>
      </c>
      <c r="CL208" s="26" t="s">
        <v>22</v>
      </c>
      <c r="CM208" s="104">
        <f t="shared" si="214"/>
        <v>0.79985601151907837</v>
      </c>
      <c r="CN208" s="203">
        <f t="shared" si="215"/>
        <v>0.49988000959923207</v>
      </c>
    </row>
    <row r="209" spans="1:92" ht="14.25" customHeight="1">
      <c r="A209" s="587" t="s">
        <v>29</v>
      </c>
      <c r="B209" s="164">
        <v>46056</v>
      </c>
      <c r="C209" s="240">
        <f t="shared" si="184"/>
        <v>1673</v>
      </c>
      <c r="D209" s="105">
        <f t="shared" si="186"/>
        <v>8.0116736401673647E-2</v>
      </c>
      <c r="E209" s="105">
        <f t="shared" si="187"/>
        <v>5.4399163179916318E-2</v>
      </c>
      <c r="F209" s="105">
        <f t="shared" si="188"/>
        <v>3.6487866108786612E-2</v>
      </c>
      <c r="G209" s="105">
        <f t="shared" si="189"/>
        <v>3.1707949790794977E-2</v>
      </c>
      <c r="H209" s="105">
        <f t="shared" si="190"/>
        <v>2.8692050209205018E-2</v>
      </c>
      <c r="I209" s="105">
        <f t="shared" si="191"/>
        <v>2.9873640167364018E-2</v>
      </c>
      <c r="J209" s="105">
        <f t="shared" si="192"/>
        <v>1.5537656903765689E-2</v>
      </c>
      <c r="K209" s="105">
        <f t="shared" si="193"/>
        <v>1.199121338912134E-2</v>
      </c>
      <c r="L209" s="105">
        <f t="shared" si="194"/>
        <v>8.4129707112970704E-3</v>
      </c>
      <c r="M209" s="105" t="s">
        <v>22</v>
      </c>
      <c r="N209" s="105" t="s">
        <v>22</v>
      </c>
      <c r="O209" s="104">
        <f t="shared" si="204"/>
        <v>0.67899874137633887</v>
      </c>
      <c r="P209" s="203">
        <f t="shared" si="205"/>
        <v>0.37287639897847807</v>
      </c>
      <c r="Q209" s="157">
        <f t="shared" si="185"/>
        <v>56</v>
      </c>
      <c r="R209" s="105">
        <f t="shared" si="195"/>
        <v>0.44645000000000001</v>
      </c>
      <c r="S209" s="105">
        <f t="shared" si="196"/>
        <v>0.28569999999999995</v>
      </c>
      <c r="T209" s="105">
        <f t="shared" si="197"/>
        <v>0.21429999999999999</v>
      </c>
      <c r="U209" s="105">
        <f t="shared" si="198"/>
        <v>0.23215</v>
      </c>
      <c r="V209" s="105">
        <f t="shared" si="199"/>
        <v>0.23215</v>
      </c>
      <c r="W209" s="105">
        <f t="shared" si="200"/>
        <v>0.23215</v>
      </c>
      <c r="X209" s="105">
        <f t="shared" si="201"/>
        <v>0.1429</v>
      </c>
      <c r="Y209" s="105">
        <f t="shared" si="202"/>
        <v>8.925000000000001E-2</v>
      </c>
      <c r="Z209" s="105">
        <f t="shared" si="203"/>
        <v>5.355E-2</v>
      </c>
      <c r="AA209" s="105" t="s">
        <v>22</v>
      </c>
      <c r="AB209" s="105" t="s">
        <v>22</v>
      </c>
      <c r="AC209" s="104">
        <f t="shared" si="206"/>
        <v>0.63993728301041541</v>
      </c>
      <c r="AD209" s="203">
        <f t="shared" si="207"/>
        <v>0.51999104043005928</v>
      </c>
      <c r="AE209" s="1"/>
      <c r="AF209" s="585" t="s">
        <v>29</v>
      </c>
      <c r="AG209" s="88">
        <v>46056</v>
      </c>
      <c r="AH209" s="184">
        <v>1176</v>
      </c>
      <c r="AI209" s="105">
        <v>8.0799999999999997E-2</v>
      </c>
      <c r="AJ209" s="105">
        <v>6.0400000000000002E-2</v>
      </c>
      <c r="AK209" s="105">
        <v>3.8300000000000001E-2</v>
      </c>
      <c r="AL209" s="105">
        <v>3.15E-2</v>
      </c>
      <c r="AM209" s="105">
        <v>2.8899999999999999E-2</v>
      </c>
      <c r="AN209" s="105">
        <v>2.7199999999999998E-2</v>
      </c>
      <c r="AO209" s="105">
        <v>1.5299999999999999E-2</v>
      </c>
      <c r="AP209" s="26">
        <v>1.11E-2</v>
      </c>
      <c r="AQ209" s="26">
        <v>7.7000000000000002E-3</v>
      </c>
      <c r="AR209" s="26" t="s">
        <v>22</v>
      </c>
      <c r="AS209" s="26" t="s">
        <v>22</v>
      </c>
      <c r="AT209" s="104">
        <f t="shared" si="208"/>
        <v>0.74752475247524763</v>
      </c>
      <c r="AU209" s="104">
        <f t="shared" si="209"/>
        <v>0.33663366336633666</v>
      </c>
      <c r="AV209" s="197">
        <v>28</v>
      </c>
      <c r="AW209" s="105">
        <v>0.39290000000000003</v>
      </c>
      <c r="AX209" s="105">
        <v>0.21429999999999999</v>
      </c>
      <c r="AY209" s="105">
        <v>0.1429</v>
      </c>
      <c r="AZ209" s="105">
        <v>0.17860000000000001</v>
      </c>
      <c r="BA209" s="105">
        <v>0.17860000000000001</v>
      </c>
      <c r="BB209" s="105">
        <v>0.17860000000000001</v>
      </c>
      <c r="BC209" s="105">
        <v>0.1429</v>
      </c>
      <c r="BD209" s="26">
        <v>7.1400000000000005E-2</v>
      </c>
      <c r="BE209" s="26">
        <v>0</v>
      </c>
      <c r="BF209" s="26" t="s">
        <v>22</v>
      </c>
      <c r="BG209" s="26" t="s">
        <v>22</v>
      </c>
      <c r="BH209" s="104">
        <f t="shared" si="210"/>
        <v>0.54543140748282004</v>
      </c>
      <c r="BI209" s="203">
        <f t="shared" si="211"/>
        <v>0.45456859251717996</v>
      </c>
      <c r="BK209" s="520" t="s">
        <v>29</v>
      </c>
      <c r="BL209" s="88">
        <v>46056</v>
      </c>
      <c r="BM209" s="184">
        <v>497</v>
      </c>
      <c r="BN209" s="105">
        <v>7.85E-2</v>
      </c>
      <c r="BO209" s="105">
        <v>4.02E-2</v>
      </c>
      <c r="BP209" s="105">
        <v>3.2199999999999999E-2</v>
      </c>
      <c r="BQ209" s="105">
        <v>3.2199999999999999E-2</v>
      </c>
      <c r="BR209" s="105">
        <v>2.8199999999999999E-2</v>
      </c>
      <c r="BS209" s="105">
        <v>3.6200000000000003E-2</v>
      </c>
      <c r="BT209" s="105">
        <v>1.61E-2</v>
      </c>
      <c r="BU209" s="26">
        <v>1.41E-2</v>
      </c>
      <c r="BV209" s="26">
        <v>1.01E-2</v>
      </c>
      <c r="BW209" s="26" t="s">
        <v>22</v>
      </c>
      <c r="BX209" s="26" t="s">
        <v>22</v>
      </c>
      <c r="BY209" s="104">
        <f t="shared" si="212"/>
        <v>0.51210191082802548</v>
      </c>
      <c r="BZ209" s="104">
        <f t="shared" si="213"/>
        <v>0.46114649681528663</v>
      </c>
      <c r="CA209" s="197">
        <v>28</v>
      </c>
      <c r="CB209" s="105">
        <v>0.5</v>
      </c>
      <c r="CC209" s="105">
        <v>0.35709999999999997</v>
      </c>
      <c r="CD209" s="105">
        <v>0.28570000000000001</v>
      </c>
      <c r="CE209" s="105">
        <v>0.28570000000000001</v>
      </c>
      <c r="CF209" s="105">
        <v>0.28570000000000001</v>
      </c>
      <c r="CG209" s="105">
        <v>0.28570000000000001</v>
      </c>
      <c r="CH209" s="105">
        <v>0.1429</v>
      </c>
      <c r="CI209" s="26">
        <v>0.1071</v>
      </c>
      <c r="CJ209" s="26">
        <v>0.1071</v>
      </c>
      <c r="CK209" s="26" t="s">
        <v>22</v>
      </c>
      <c r="CL209" s="26" t="s">
        <v>22</v>
      </c>
      <c r="CM209" s="104">
        <f t="shared" si="214"/>
        <v>0.71419999999999995</v>
      </c>
      <c r="CN209" s="203">
        <f t="shared" si="215"/>
        <v>0.57140000000000002</v>
      </c>
    </row>
    <row r="210" spans="1:92" ht="14.25" customHeight="1">
      <c r="A210" s="502"/>
      <c r="B210" s="164">
        <v>46057</v>
      </c>
      <c r="C210" s="240">
        <f t="shared" si="184"/>
        <v>2069</v>
      </c>
      <c r="D210" s="105">
        <f t="shared" si="186"/>
        <v>9.8574577090381837E-2</v>
      </c>
      <c r="E210" s="105">
        <f t="shared" si="187"/>
        <v>5.3639246012566449E-2</v>
      </c>
      <c r="F210" s="105">
        <f t="shared" si="188"/>
        <v>4.0091251812469794E-2</v>
      </c>
      <c r="G210" s="105">
        <f t="shared" si="189"/>
        <v>3.5758724021266314E-2</v>
      </c>
      <c r="H210" s="105">
        <f t="shared" si="190"/>
        <v>2.6561237312711452E-2</v>
      </c>
      <c r="I210" s="105">
        <f t="shared" si="191"/>
        <v>2.5122281295311744E-2</v>
      </c>
      <c r="J210" s="105">
        <f t="shared" si="192"/>
        <v>1.4968970517158049E-2</v>
      </c>
      <c r="K210" s="105">
        <f t="shared" si="193"/>
        <v>1.3519574673755438E-2</v>
      </c>
      <c r="L210" s="105">
        <f t="shared" si="194"/>
        <v>1.0163750604156595E-2</v>
      </c>
      <c r="M210" s="105" t="s">
        <v>22</v>
      </c>
      <c r="N210" s="105" t="s">
        <v>22</v>
      </c>
      <c r="O210" s="104">
        <f t="shared" si="204"/>
        <v>0.54414888296589159</v>
      </c>
      <c r="P210" s="203">
        <f t="shared" si="205"/>
        <v>0.2548555828170323</v>
      </c>
      <c r="Q210" s="157">
        <f t="shared" si="185"/>
        <v>96</v>
      </c>
      <c r="R210" s="105">
        <f t="shared" si="195"/>
        <v>0.41668333333333329</v>
      </c>
      <c r="S210" s="105">
        <f t="shared" si="196"/>
        <v>0.35416666666666669</v>
      </c>
      <c r="T210" s="105">
        <f t="shared" si="197"/>
        <v>0.26045000000000001</v>
      </c>
      <c r="U210" s="105">
        <f t="shared" si="198"/>
        <v>0.26040000000000002</v>
      </c>
      <c r="V210" s="105">
        <f t="shared" si="199"/>
        <v>0.1874916666666667</v>
      </c>
      <c r="W210" s="105">
        <f t="shared" si="200"/>
        <v>0.15623333333333334</v>
      </c>
      <c r="X210" s="105">
        <f t="shared" si="201"/>
        <v>0.114575</v>
      </c>
      <c r="Y210" s="105">
        <f t="shared" si="202"/>
        <v>9.3770833333333317E-2</v>
      </c>
      <c r="Z210" s="105">
        <f t="shared" si="203"/>
        <v>5.2108333333333333E-2</v>
      </c>
      <c r="AA210" s="105" t="s">
        <v>22</v>
      </c>
      <c r="AB210" s="105" t="s">
        <v>22</v>
      </c>
      <c r="AC210" s="104">
        <f t="shared" si="206"/>
        <v>0.84996600135994571</v>
      </c>
      <c r="AD210" s="203">
        <f t="shared" si="207"/>
        <v>0.37494500219991206</v>
      </c>
      <c r="AE210" s="1"/>
      <c r="AF210" s="502"/>
      <c r="AG210" s="88">
        <v>46057</v>
      </c>
      <c r="AH210" s="184">
        <v>1236</v>
      </c>
      <c r="AI210" s="105">
        <v>8.09E-2</v>
      </c>
      <c r="AJ210" s="105">
        <v>4.4499999999999998E-2</v>
      </c>
      <c r="AK210" s="105">
        <v>2.9100000000000001E-2</v>
      </c>
      <c r="AL210" s="105">
        <v>2.6700000000000002E-2</v>
      </c>
      <c r="AM210" s="105">
        <v>2.0199999999999999E-2</v>
      </c>
      <c r="AN210" s="105">
        <v>1.8599999999999998E-2</v>
      </c>
      <c r="AO210" s="105">
        <v>1.0500000000000001E-2</v>
      </c>
      <c r="AP210" s="26">
        <v>1.0500000000000001E-2</v>
      </c>
      <c r="AQ210" s="26">
        <v>6.4999999999999997E-3</v>
      </c>
      <c r="AR210" s="26" t="s">
        <v>22</v>
      </c>
      <c r="AS210" s="26" t="s">
        <v>22</v>
      </c>
      <c r="AT210" s="104">
        <f t="shared" si="208"/>
        <v>0.55006180469715693</v>
      </c>
      <c r="AU210" s="104">
        <f t="shared" si="209"/>
        <v>0.22991347342398019</v>
      </c>
      <c r="AV210" s="197">
        <v>44</v>
      </c>
      <c r="AW210" s="105">
        <v>0.40910000000000002</v>
      </c>
      <c r="AX210" s="105">
        <v>0.31819999999999998</v>
      </c>
      <c r="AY210" s="105">
        <v>0.2273</v>
      </c>
      <c r="AZ210" s="105">
        <v>0.25</v>
      </c>
      <c r="BA210" s="105">
        <v>0.20449999999999999</v>
      </c>
      <c r="BB210" s="105">
        <v>0.18179999999999999</v>
      </c>
      <c r="BC210" s="105">
        <v>0.11360000000000001</v>
      </c>
      <c r="BD210" s="26">
        <v>9.0899999999999995E-2</v>
      </c>
      <c r="BE210" s="26">
        <v>4.5499999999999999E-2</v>
      </c>
      <c r="BF210" s="26" t="s">
        <v>22</v>
      </c>
      <c r="BG210" s="26" t="s">
        <v>22</v>
      </c>
      <c r="BH210" s="104">
        <f t="shared" si="210"/>
        <v>0.7778049376680517</v>
      </c>
      <c r="BI210" s="203">
        <f t="shared" si="211"/>
        <v>0.44439012466389632</v>
      </c>
      <c r="BK210" s="518"/>
      <c r="BL210" s="88">
        <v>46057</v>
      </c>
      <c r="BM210" s="184">
        <v>833</v>
      </c>
      <c r="BN210" s="105">
        <v>0.12479999999999999</v>
      </c>
      <c r="BO210" s="105">
        <v>6.7199999999999996E-2</v>
      </c>
      <c r="BP210" s="105">
        <v>5.6399999999999999E-2</v>
      </c>
      <c r="BQ210" s="105">
        <v>4.9200000000000001E-2</v>
      </c>
      <c r="BR210" s="105">
        <v>3.5999999999999997E-2</v>
      </c>
      <c r="BS210" s="105">
        <v>3.4799999999999998E-2</v>
      </c>
      <c r="BT210" s="105">
        <v>2.1600000000000001E-2</v>
      </c>
      <c r="BU210" s="26">
        <v>1.7999999999999999E-2</v>
      </c>
      <c r="BV210" s="26">
        <v>1.5599999999999999E-2</v>
      </c>
      <c r="BW210" s="26" t="s">
        <v>22</v>
      </c>
      <c r="BX210" s="26" t="s">
        <v>22</v>
      </c>
      <c r="BY210" s="104">
        <f t="shared" si="212"/>
        <v>0.53846153846153844</v>
      </c>
      <c r="BZ210" s="104">
        <f t="shared" si="213"/>
        <v>0.27884615384615385</v>
      </c>
      <c r="CA210" s="197">
        <v>52</v>
      </c>
      <c r="CB210" s="105">
        <v>0.42309999999999998</v>
      </c>
      <c r="CC210" s="105">
        <v>0.3846</v>
      </c>
      <c r="CD210" s="105">
        <v>0.28849999999999998</v>
      </c>
      <c r="CE210" s="105">
        <v>0.26919999999999999</v>
      </c>
      <c r="CF210" s="105">
        <v>0.1731</v>
      </c>
      <c r="CG210" s="105">
        <v>0.1346</v>
      </c>
      <c r="CH210" s="105">
        <v>0.1154</v>
      </c>
      <c r="CI210" s="26">
        <v>9.6199999999999994E-2</v>
      </c>
      <c r="CJ210" s="26">
        <v>5.7700000000000001E-2</v>
      </c>
      <c r="CK210" s="26" t="s">
        <v>22</v>
      </c>
      <c r="CL210" s="26" t="s">
        <v>22</v>
      </c>
      <c r="CM210" s="104">
        <f t="shared" si="214"/>
        <v>0.90900496336563463</v>
      </c>
      <c r="CN210" s="203">
        <f t="shared" si="215"/>
        <v>0.31812810210352166</v>
      </c>
    </row>
    <row r="211" spans="1:92" ht="14.25" customHeight="1">
      <c r="A211" s="502"/>
      <c r="B211" s="164">
        <v>46058</v>
      </c>
      <c r="C211" s="240">
        <f t="shared" si="184"/>
        <v>1925</v>
      </c>
      <c r="D211" s="105">
        <f t="shared" si="186"/>
        <v>7.2227740259740256E-2</v>
      </c>
      <c r="E211" s="105">
        <f t="shared" si="187"/>
        <v>4.4696987012987015E-2</v>
      </c>
      <c r="F211" s="105">
        <f t="shared" si="188"/>
        <v>3.1688103896103895E-2</v>
      </c>
      <c r="G211" s="105">
        <f t="shared" si="189"/>
        <v>2.962187012987013E-2</v>
      </c>
      <c r="H211" s="105">
        <f t="shared" si="190"/>
        <v>1.9727168831168831E-2</v>
      </c>
      <c r="I211" s="105">
        <f t="shared" si="191"/>
        <v>2.1315584415584416E-2</v>
      </c>
      <c r="J211" s="105">
        <f t="shared" si="192"/>
        <v>1.1960935064935065E-2</v>
      </c>
      <c r="K211" s="105">
        <f t="shared" si="193"/>
        <v>1.0362077922077922E-2</v>
      </c>
      <c r="L211" s="105">
        <f t="shared" si="194"/>
        <v>7.2679480519480524E-3</v>
      </c>
      <c r="M211" s="105" t="s">
        <v>22</v>
      </c>
      <c r="N211" s="105" t="s">
        <v>22</v>
      </c>
      <c r="O211" s="104">
        <f t="shared" si="204"/>
        <v>0.61883407749226116</v>
      </c>
      <c r="P211" s="203">
        <f t="shared" si="205"/>
        <v>0.29511631319117598</v>
      </c>
      <c r="Q211" s="157">
        <f t="shared" si="185"/>
        <v>45</v>
      </c>
      <c r="R211" s="105">
        <f t="shared" si="195"/>
        <v>0.44442000000000004</v>
      </c>
      <c r="S211" s="105">
        <f t="shared" si="196"/>
        <v>0.37778</v>
      </c>
      <c r="T211" s="105">
        <f t="shared" si="197"/>
        <v>0.35556666666666664</v>
      </c>
      <c r="U211" s="105">
        <f t="shared" si="198"/>
        <v>0.2444533333333333</v>
      </c>
      <c r="V211" s="105">
        <f t="shared" si="199"/>
        <v>0.22218666666666667</v>
      </c>
      <c r="W211" s="105">
        <f t="shared" si="200"/>
        <v>0.24444666666666667</v>
      </c>
      <c r="X211" s="105">
        <f t="shared" si="201"/>
        <v>0.13330666666666666</v>
      </c>
      <c r="Y211" s="105">
        <f t="shared" si="202"/>
        <v>0.11112</v>
      </c>
      <c r="Z211" s="105">
        <f t="shared" si="203"/>
        <v>6.6666666666666666E-2</v>
      </c>
      <c r="AA211" s="105" t="s">
        <v>22</v>
      </c>
      <c r="AB211" s="105" t="s">
        <v>22</v>
      </c>
      <c r="AC211" s="104">
        <f t="shared" si="206"/>
        <v>0.85005175284640644</v>
      </c>
      <c r="AD211" s="203">
        <f t="shared" si="207"/>
        <v>0.55003525193885661</v>
      </c>
      <c r="AE211" s="1"/>
      <c r="AF211" s="502"/>
      <c r="AG211" s="88">
        <v>46058</v>
      </c>
      <c r="AH211" s="184">
        <v>1399</v>
      </c>
      <c r="AI211" s="105">
        <v>6.7199999999999996E-2</v>
      </c>
      <c r="AJ211" s="105">
        <v>4.1500000000000002E-2</v>
      </c>
      <c r="AK211" s="105">
        <v>2.3599999999999999E-2</v>
      </c>
      <c r="AL211" s="105">
        <v>2.29E-2</v>
      </c>
      <c r="AM211" s="105">
        <v>1.4999999999999999E-2</v>
      </c>
      <c r="AN211" s="105">
        <v>1.7899999999999999E-2</v>
      </c>
      <c r="AO211" s="105">
        <v>8.6E-3</v>
      </c>
      <c r="AP211" s="26">
        <v>6.4000000000000003E-3</v>
      </c>
      <c r="AQ211" s="26">
        <v>5.0000000000000001E-3</v>
      </c>
      <c r="AR211" s="26" t="s">
        <v>22</v>
      </c>
      <c r="AS211" s="26" t="s">
        <v>22</v>
      </c>
      <c r="AT211" s="104">
        <f t="shared" si="208"/>
        <v>0.61755952380952384</v>
      </c>
      <c r="AU211" s="104">
        <f t="shared" si="209"/>
        <v>0.26636904761904762</v>
      </c>
      <c r="AV211" s="197">
        <v>21</v>
      </c>
      <c r="AW211" s="105">
        <v>0.28570000000000001</v>
      </c>
      <c r="AX211" s="105">
        <v>0.23810000000000001</v>
      </c>
      <c r="AY211" s="105">
        <v>0.1905</v>
      </c>
      <c r="AZ211" s="105">
        <v>4.7600000000000003E-2</v>
      </c>
      <c r="BA211" s="105">
        <v>9.5200000000000007E-2</v>
      </c>
      <c r="BB211" s="105">
        <v>0.1429</v>
      </c>
      <c r="BC211" s="105">
        <v>4.7600000000000003E-2</v>
      </c>
      <c r="BD211" s="26">
        <v>4.7600000000000003E-2</v>
      </c>
      <c r="BE211" s="26">
        <v>0</v>
      </c>
      <c r="BF211" s="26" t="s">
        <v>22</v>
      </c>
      <c r="BG211" s="26" t="s">
        <v>22</v>
      </c>
      <c r="BH211" s="104">
        <f t="shared" si="210"/>
        <v>0.83339166958347921</v>
      </c>
      <c r="BI211" s="203">
        <f t="shared" si="211"/>
        <v>0.50017500875043752</v>
      </c>
      <c r="BK211" s="518"/>
      <c r="BL211" s="88">
        <v>46058</v>
      </c>
      <c r="BM211" s="184">
        <v>526</v>
      </c>
      <c r="BN211" s="105">
        <v>8.5599999999999996E-2</v>
      </c>
      <c r="BO211" s="105">
        <v>5.3199999999999997E-2</v>
      </c>
      <c r="BP211" s="105">
        <v>5.3199999999999997E-2</v>
      </c>
      <c r="BQ211" s="105">
        <v>4.7500000000000001E-2</v>
      </c>
      <c r="BR211" s="105">
        <v>3.2300000000000002E-2</v>
      </c>
      <c r="BS211" s="105">
        <v>3.04E-2</v>
      </c>
      <c r="BT211" s="105">
        <v>2.0899999999999998E-2</v>
      </c>
      <c r="BU211" s="26">
        <v>2.0899999999999998E-2</v>
      </c>
      <c r="BV211" s="26">
        <v>1.3299999999999999E-2</v>
      </c>
      <c r="BW211" s="26" t="s">
        <v>22</v>
      </c>
      <c r="BX211" s="26" t="s">
        <v>22</v>
      </c>
      <c r="BY211" s="104">
        <f t="shared" si="212"/>
        <v>0.62149532710280375</v>
      </c>
      <c r="BZ211" s="104">
        <f t="shared" si="213"/>
        <v>0.35514018691588789</v>
      </c>
      <c r="CA211" s="197">
        <v>24</v>
      </c>
      <c r="CB211" s="105">
        <v>0.58330000000000004</v>
      </c>
      <c r="CC211" s="105">
        <v>0.5</v>
      </c>
      <c r="CD211" s="105">
        <v>0.5</v>
      </c>
      <c r="CE211" s="105">
        <v>0.41670000000000001</v>
      </c>
      <c r="CF211" s="105">
        <v>0.33329999999999999</v>
      </c>
      <c r="CG211" s="105">
        <v>0.33329999999999999</v>
      </c>
      <c r="CH211" s="105">
        <v>0.20830000000000001</v>
      </c>
      <c r="CI211" s="26">
        <v>0.16669999999999999</v>
      </c>
      <c r="CJ211" s="26">
        <v>0.125</v>
      </c>
      <c r="CK211" s="26" t="s">
        <v>22</v>
      </c>
      <c r="CL211" s="26" t="s">
        <v>22</v>
      </c>
      <c r="CM211" s="104">
        <f t="shared" si="214"/>
        <v>0.85719183953368761</v>
      </c>
      <c r="CN211" s="203">
        <f t="shared" si="215"/>
        <v>0.57140408023315614</v>
      </c>
    </row>
    <row r="212" spans="1:92" ht="14.25" customHeight="1">
      <c r="A212" s="588" t="s">
        <v>30</v>
      </c>
      <c r="B212" s="168">
        <v>46059</v>
      </c>
      <c r="C212" s="241">
        <f t="shared" si="184"/>
        <v>1759</v>
      </c>
      <c r="D212" s="105">
        <f t="shared" si="186"/>
        <v>6.9899374644684473E-2</v>
      </c>
      <c r="E212" s="105">
        <f t="shared" si="187"/>
        <v>4.5485844229675956E-2</v>
      </c>
      <c r="F212" s="105">
        <f t="shared" si="188"/>
        <v>3.1820466173962482E-2</v>
      </c>
      <c r="G212" s="105">
        <f t="shared" si="189"/>
        <v>2.840699260943718E-2</v>
      </c>
      <c r="H212" s="105">
        <f t="shared" si="190"/>
        <v>2.213200682205799E-2</v>
      </c>
      <c r="I212" s="105">
        <f t="shared" si="191"/>
        <v>2.2149914724275157E-2</v>
      </c>
      <c r="J212" s="105">
        <f t="shared" si="192"/>
        <v>1.140380898237635E-2</v>
      </c>
      <c r="K212" s="105">
        <f t="shared" si="193"/>
        <v>5.7051165434906194E-3</v>
      </c>
      <c r="L212" s="105">
        <f t="shared" si="194"/>
        <v>3.9890847072200112E-3</v>
      </c>
      <c r="M212" s="105" t="s">
        <v>22</v>
      </c>
      <c r="N212" s="105" t="s">
        <v>22</v>
      </c>
      <c r="O212" s="104">
        <f t="shared" si="204"/>
        <v>0.65073320699779602</v>
      </c>
      <c r="P212" s="203">
        <f t="shared" si="205"/>
        <v>0.31688287394370213</v>
      </c>
      <c r="Q212" s="158">
        <f t="shared" si="185"/>
        <v>57</v>
      </c>
      <c r="R212" s="105">
        <f t="shared" si="195"/>
        <v>0.36844736842105263</v>
      </c>
      <c r="S212" s="105">
        <f t="shared" si="196"/>
        <v>0.38594736842105259</v>
      </c>
      <c r="T212" s="105">
        <f t="shared" si="197"/>
        <v>0.17542280701754384</v>
      </c>
      <c r="U212" s="105">
        <f t="shared" si="198"/>
        <v>0.15787192982456139</v>
      </c>
      <c r="V212" s="105">
        <f t="shared" si="199"/>
        <v>0.14032807017543858</v>
      </c>
      <c r="W212" s="105">
        <f t="shared" si="200"/>
        <v>0.14032807017543858</v>
      </c>
      <c r="X212" s="105">
        <f t="shared" si="201"/>
        <v>3.5094736842105262E-2</v>
      </c>
      <c r="Y212" s="105">
        <f t="shared" si="202"/>
        <v>1.7550877192982456E-2</v>
      </c>
      <c r="Z212" s="105">
        <f t="shared" si="203"/>
        <v>0</v>
      </c>
      <c r="AA212" s="105" t="s">
        <v>22</v>
      </c>
      <c r="AB212" s="105" t="s">
        <v>22</v>
      </c>
      <c r="AC212" s="104">
        <f t="shared" si="206"/>
        <v>1.0474966073851866</v>
      </c>
      <c r="AD212" s="203">
        <f t="shared" si="207"/>
        <v>0.38086327167107109</v>
      </c>
      <c r="AE212" s="1"/>
      <c r="AF212" s="586" t="s">
        <v>30</v>
      </c>
      <c r="AG212" s="132">
        <v>46059</v>
      </c>
      <c r="AH212" s="166">
        <v>1432</v>
      </c>
      <c r="AI212" s="105">
        <v>6.9099999999999995E-2</v>
      </c>
      <c r="AJ212" s="105">
        <v>4.82E-2</v>
      </c>
      <c r="AK212" s="105">
        <v>3.4200000000000001E-2</v>
      </c>
      <c r="AL212" s="105">
        <v>3.1399999999999997E-2</v>
      </c>
      <c r="AM212" s="105">
        <v>2.4400000000000002E-2</v>
      </c>
      <c r="AN212" s="105">
        <v>2.6499999999999999E-2</v>
      </c>
      <c r="AO212" s="105">
        <v>1.3299999999999999E-2</v>
      </c>
      <c r="AP212" s="26">
        <v>6.3E-3</v>
      </c>
      <c r="AQ212" s="26">
        <v>4.8999999999999998E-3</v>
      </c>
      <c r="AR212" s="26" t="s">
        <v>22</v>
      </c>
      <c r="AS212" s="26" t="s">
        <v>22</v>
      </c>
      <c r="AT212" s="104">
        <f t="shared" si="208"/>
        <v>0.69753979739507965</v>
      </c>
      <c r="AU212" s="104">
        <f t="shared" si="209"/>
        <v>0.38350217076700438</v>
      </c>
      <c r="AV212" s="197">
        <v>41</v>
      </c>
      <c r="AW212" s="105">
        <v>0.34150000000000003</v>
      </c>
      <c r="AX212" s="105">
        <v>0.439</v>
      </c>
      <c r="AY212" s="105">
        <v>0.1951</v>
      </c>
      <c r="AZ212" s="105">
        <v>0.17069999999999999</v>
      </c>
      <c r="BA212" s="105">
        <v>0.17069999999999999</v>
      </c>
      <c r="BB212" s="105">
        <v>0.17069999999999999</v>
      </c>
      <c r="BC212" s="105">
        <v>2.4400000000000002E-2</v>
      </c>
      <c r="BD212" s="26">
        <v>2.4400000000000002E-2</v>
      </c>
      <c r="BE212" s="26">
        <v>0</v>
      </c>
      <c r="BF212" s="26" t="s">
        <v>22</v>
      </c>
      <c r="BG212" s="26" t="s">
        <v>22</v>
      </c>
      <c r="BH212" s="104">
        <f t="shared" si="210"/>
        <v>1.2855051244509517</v>
      </c>
      <c r="BI212" s="203">
        <f t="shared" si="211"/>
        <v>0.49985358711566613</v>
      </c>
      <c r="BK212" s="521" t="s">
        <v>30</v>
      </c>
      <c r="BL212" s="132">
        <v>46059</v>
      </c>
      <c r="BM212" s="166">
        <v>327</v>
      </c>
      <c r="BN212" s="105">
        <v>7.3400000000000007E-2</v>
      </c>
      <c r="BO212" s="105">
        <v>3.3599999999999998E-2</v>
      </c>
      <c r="BP212" s="105">
        <v>2.1399999999999999E-2</v>
      </c>
      <c r="BQ212" s="105">
        <v>1.5299999999999999E-2</v>
      </c>
      <c r="BR212" s="105">
        <v>1.2200000000000001E-2</v>
      </c>
      <c r="BS212" s="105">
        <v>3.0999999999999999E-3</v>
      </c>
      <c r="BT212" s="105">
        <v>3.0999999999999999E-3</v>
      </c>
      <c r="BU212" s="26">
        <v>3.0999999999999999E-3</v>
      </c>
      <c r="BV212" s="26">
        <v>0</v>
      </c>
      <c r="BW212" s="26" t="s">
        <v>22</v>
      </c>
      <c r="BX212" s="26" t="s">
        <v>22</v>
      </c>
      <c r="BY212" s="104">
        <f t="shared" si="212"/>
        <v>0.45776566757493181</v>
      </c>
      <c r="BZ212" s="104">
        <f t="shared" si="213"/>
        <v>4.2234332425068112E-2</v>
      </c>
      <c r="CA212" s="248">
        <v>16</v>
      </c>
      <c r="CB212" s="105">
        <v>0.4375</v>
      </c>
      <c r="CC212" s="105">
        <v>0.25</v>
      </c>
      <c r="CD212" s="105">
        <v>0.125</v>
      </c>
      <c r="CE212" s="105">
        <v>0.125</v>
      </c>
      <c r="CF212" s="105">
        <v>6.25E-2</v>
      </c>
      <c r="CG212" s="105">
        <v>6.25E-2</v>
      </c>
      <c r="CH212" s="105">
        <v>6.25E-2</v>
      </c>
      <c r="CI212" s="26">
        <v>0</v>
      </c>
      <c r="CJ212" s="26">
        <v>0</v>
      </c>
      <c r="CK212" s="26" t="s">
        <v>22</v>
      </c>
      <c r="CL212" s="26" t="s">
        <v>22</v>
      </c>
      <c r="CM212" s="104">
        <f t="shared" si="214"/>
        <v>0.5714285714285714</v>
      </c>
      <c r="CN212" s="203">
        <f t="shared" si="215"/>
        <v>0.14285714285714285</v>
      </c>
    </row>
    <row r="213" spans="1:92" ht="14.25" customHeight="1">
      <c r="A213" s="506"/>
      <c r="B213" s="168">
        <v>46060</v>
      </c>
      <c r="C213" s="241">
        <f t="shared" si="184"/>
        <v>2133</v>
      </c>
      <c r="D213" s="105">
        <f t="shared" si="186"/>
        <v>7.4057946554149101E-2</v>
      </c>
      <c r="E213" s="105">
        <f t="shared" si="187"/>
        <v>4.7796624472573837E-2</v>
      </c>
      <c r="F213" s="105">
        <f t="shared" si="188"/>
        <v>3.5194796061884664E-2</v>
      </c>
      <c r="G213" s="105">
        <f t="shared" si="189"/>
        <v>2.7170604781997183E-2</v>
      </c>
      <c r="H213" s="105">
        <f t="shared" si="190"/>
        <v>2.8128270042194096E-2</v>
      </c>
      <c r="I213" s="105">
        <f t="shared" si="191"/>
        <v>1.9238959212376935E-2</v>
      </c>
      <c r="J213" s="105">
        <f t="shared" si="192"/>
        <v>1.0350632911392404E-2</v>
      </c>
      <c r="K213" s="105">
        <f t="shared" si="193"/>
        <v>1.080154711673699E-2</v>
      </c>
      <c r="L213" s="105">
        <f t="shared" si="194"/>
        <v>7.0202531645569615E-3</v>
      </c>
      <c r="M213" s="105" t="s">
        <v>22</v>
      </c>
      <c r="N213" s="105" t="s">
        <v>22</v>
      </c>
      <c r="O213" s="104">
        <f t="shared" si="204"/>
        <v>0.64539494674789932</v>
      </c>
      <c r="P213" s="203">
        <f t="shared" si="205"/>
        <v>0.25978250960968713</v>
      </c>
      <c r="Q213" s="158">
        <f t="shared" si="185"/>
        <v>55</v>
      </c>
      <c r="R213" s="105">
        <f t="shared" si="195"/>
        <v>0.47277272727272723</v>
      </c>
      <c r="S213" s="105">
        <f t="shared" si="196"/>
        <v>0.30907090909090906</v>
      </c>
      <c r="T213" s="105">
        <f t="shared" si="197"/>
        <v>0.23640545454545456</v>
      </c>
      <c r="U213" s="105">
        <f t="shared" si="198"/>
        <v>0.18181272727272729</v>
      </c>
      <c r="V213" s="105">
        <f t="shared" si="199"/>
        <v>0.20000363636363636</v>
      </c>
      <c r="W213" s="105">
        <f t="shared" si="200"/>
        <v>0.18181272727272729</v>
      </c>
      <c r="X213" s="105">
        <f t="shared" si="201"/>
        <v>9.0918181818181815E-2</v>
      </c>
      <c r="Y213" s="105">
        <f t="shared" si="202"/>
        <v>9.0956363636363627E-2</v>
      </c>
      <c r="Z213" s="105">
        <f t="shared" si="203"/>
        <v>5.4554545454545453E-2</v>
      </c>
      <c r="AA213" s="105" t="s">
        <v>22</v>
      </c>
      <c r="AB213" s="105" t="s">
        <v>22</v>
      </c>
      <c r="AC213" s="104">
        <f t="shared" si="206"/>
        <v>0.65374098644361123</v>
      </c>
      <c r="AD213" s="203">
        <f t="shared" si="207"/>
        <v>0.38456686857032985</v>
      </c>
      <c r="AE213" s="1"/>
      <c r="AF213" s="506"/>
      <c r="AG213" s="132">
        <v>46060</v>
      </c>
      <c r="AH213" s="166">
        <v>1446</v>
      </c>
      <c r="AI213" s="105">
        <v>7.1900000000000006E-2</v>
      </c>
      <c r="AJ213" s="105">
        <v>4.7699999999999999E-2</v>
      </c>
      <c r="AK213" s="105">
        <v>3.5999999999999997E-2</v>
      </c>
      <c r="AL213" s="105">
        <v>3.1099999999999999E-2</v>
      </c>
      <c r="AM213" s="105">
        <v>3.1800000000000002E-2</v>
      </c>
      <c r="AN213" s="105">
        <v>1.9400000000000001E-2</v>
      </c>
      <c r="AO213" s="105">
        <v>1.18E-2</v>
      </c>
      <c r="AP213" s="26">
        <v>1.18E-2</v>
      </c>
      <c r="AQ213" s="26">
        <v>7.6E-3</v>
      </c>
      <c r="AR213" s="26" t="s">
        <v>22</v>
      </c>
      <c r="AS213" s="26" t="s">
        <v>22</v>
      </c>
      <c r="AT213" s="104">
        <f t="shared" si="208"/>
        <v>0.66342141863699577</v>
      </c>
      <c r="AU213" s="104">
        <f t="shared" si="209"/>
        <v>0.26981919332406118</v>
      </c>
      <c r="AV213" s="197">
        <v>32</v>
      </c>
      <c r="AW213" s="105">
        <v>0.46879999999999999</v>
      </c>
      <c r="AX213" s="105">
        <v>0.3125</v>
      </c>
      <c r="AY213" s="105">
        <v>0.21879999999999999</v>
      </c>
      <c r="AZ213" s="105">
        <v>0.1875</v>
      </c>
      <c r="BA213" s="105">
        <v>0.1875</v>
      </c>
      <c r="BB213" s="105">
        <v>0.1875</v>
      </c>
      <c r="BC213" s="105">
        <v>0.125</v>
      </c>
      <c r="BD213" s="26">
        <v>9.3799999999999994E-2</v>
      </c>
      <c r="BE213" s="26">
        <v>6.25E-2</v>
      </c>
      <c r="BF213" s="26" t="s">
        <v>22</v>
      </c>
      <c r="BG213" s="26" t="s">
        <v>22</v>
      </c>
      <c r="BH213" s="104">
        <f t="shared" si="210"/>
        <v>0.66659556313993173</v>
      </c>
      <c r="BI213" s="203">
        <f t="shared" si="211"/>
        <v>0.39995733788395904</v>
      </c>
      <c r="BK213" s="506"/>
      <c r="BL213" s="132">
        <v>46060</v>
      </c>
      <c r="BM213" s="166">
        <v>687</v>
      </c>
      <c r="BN213" s="105">
        <v>7.8600000000000003E-2</v>
      </c>
      <c r="BO213" s="105">
        <v>4.8000000000000001E-2</v>
      </c>
      <c r="BP213" s="105">
        <v>3.3500000000000002E-2</v>
      </c>
      <c r="BQ213" s="105">
        <v>1.89E-2</v>
      </c>
      <c r="BR213" s="105">
        <v>2.0400000000000001E-2</v>
      </c>
      <c r="BS213" s="105">
        <v>1.89E-2</v>
      </c>
      <c r="BT213" s="105">
        <v>7.3000000000000001E-3</v>
      </c>
      <c r="BU213" s="26">
        <v>8.6999999999999994E-3</v>
      </c>
      <c r="BV213" s="26">
        <v>5.7999999999999996E-3</v>
      </c>
      <c r="BW213" s="26" t="s">
        <v>22</v>
      </c>
      <c r="BX213" s="26" t="s">
        <v>22</v>
      </c>
      <c r="BY213" s="104">
        <f t="shared" si="212"/>
        <v>0.61068702290076338</v>
      </c>
      <c r="BZ213" s="104">
        <f t="shared" si="213"/>
        <v>0.24045801526717556</v>
      </c>
      <c r="CA213" s="248">
        <v>23</v>
      </c>
      <c r="CB213" s="105">
        <v>0.4783</v>
      </c>
      <c r="CC213" s="105">
        <v>0.30430000000000001</v>
      </c>
      <c r="CD213" s="105">
        <v>0.26090000000000002</v>
      </c>
      <c r="CE213" s="105">
        <v>0.1739</v>
      </c>
      <c r="CF213" s="105">
        <v>0.21740000000000001</v>
      </c>
      <c r="CG213" s="105">
        <v>0.1739</v>
      </c>
      <c r="CH213" s="105">
        <v>4.3499999999999997E-2</v>
      </c>
      <c r="CI213" s="26">
        <v>8.6999999999999994E-2</v>
      </c>
      <c r="CJ213" s="26">
        <v>4.3499999999999997E-2</v>
      </c>
      <c r="CK213" s="26" t="s">
        <v>22</v>
      </c>
      <c r="CL213" s="26" t="s">
        <v>22</v>
      </c>
      <c r="CM213" s="104">
        <f t="shared" si="214"/>
        <v>0.63621158268868916</v>
      </c>
      <c r="CN213" s="203">
        <f t="shared" si="215"/>
        <v>0.36357934350825843</v>
      </c>
    </row>
    <row r="214" spans="1:92" ht="14.25" customHeight="1">
      <c r="A214" s="506"/>
      <c r="B214" s="168">
        <v>46061</v>
      </c>
      <c r="C214" s="241">
        <f t="shared" si="184"/>
        <v>2009</v>
      </c>
      <c r="D214" s="105">
        <f t="shared" si="186"/>
        <v>7.6680637132901935E-2</v>
      </c>
      <c r="E214" s="105">
        <f t="shared" si="187"/>
        <v>4.5792234942757588E-2</v>
      </c>
      <c r="F214" s="105">
        <f t="shared" si="188"/>
        <v>3.685360876057741E-2</v>
      </c>
      <c r="G214" s="105">
        <f t="shared" si="189"/>
        <v>3.3338178198108512E-2</v>
      </c>
      <c r="H214" s="105">
        <f t="shared" si="190"/>
        <v>2.6380637132901941E-2</v>
      </c>
      <c r="I214" s="105">
        <f t="shared" si="191"/>
        <v>2.2435589845694374E-2</v>
      </c>
      <c r="J214" s="105">
        <f t="shared" si="192"/>
        <v>1.793300149328024E-2</v>
      </c>
      <c r="K214" s="105">
        <f t="shared" si="193"/>
        <v>1.4401244400199104E-2</v>
      </c>
      <c r="L214" s="105">
        <f t="shared" si="194"/>
        <v>1.2939422598307616E-2</v>
      </c>
      <c r="M214" s="105" t="s">
        <v>22</v>
      </c>
      <c r="N214" s="105" t="s">
        <v>22</v>
      </c>
      <c r="O214" s="104">
        <f t="shared" si="204"/>
        <v>0.59718120056033253</v>
      </c>
      <c r="P214" s="203">
        <f t="shared" si="205"/>
        <v>0.29258481260150832</v>
      </c>
      <c r="Q214" s="158">
        <f t="shared" si="185"/>
        <v>63</v>
      </c>
      <c r="R214" s="105">
        <f t="shared" si="195"/>
        <v>0.50795555555555549</v>
      </c>
      <c r="S214" s="105">
        <f t="shared" si="196"/>
        <v>0.349231746031746</v>
      </c>
      <c r="T214" s="105">
        <f t="shared" si="197"/>
        <v>0.28569841269841267</v>
      </c>
      <c r="U214" s="105">
        <f t="shared" si="198"/>
        <v>0.25395238095238093</v>
      </c>
      <c r="V214" s="105">
        <f t="shared" si="199"/>
        <v>0.20635238095238098</v>
      </c>
      <c r="W214" s="105">
        <f t="shared" si="200"/>
        <v>0.19047936507936508</v>
      </c>
      <c r="X214" s="105">
        <f t="shared" si="201"/>
        <v>0.1904888888888889</v>
      </c>
      <c r="Y214" s="105">
        <f t="shared" si="202"/>
        <v>0.15870158730158732</v>
      </c>
      <c r="Z214" s="105">
        <f t="shared" si="203"/>
        <v>0.14282857142857144</v>
      </c>
      <c r="AA214" s="105" t="s">
        <v>22</v>
      </c>
      <c r="AB214" s="105" t="s">
        <v>22</v>
      </c>
      <c r="AC214" s="104">
        <f t="shared" si="206"/>
        <v>0.68752421784183093</v>
      </c>
      <c r="AD214" s="203">
        <f t="shared" si="207"/>
        <v>0.37499218779295779</v>
      </c>
      <c r="AE214" s="1"/>
      <c r="AF214" s="506"/>
      <c r="AG214" s="132">
        <v>46061</v>
      </c>
      <c r="AH214" s="166">
        <v>1233</v>
      </c>
      <c r="AI214" s="105">
        <v>7.22E-2</v>
      </c>
      <c r="AJ214" s="105">
        <v>4.2200000000000001E-2</v>
      </c>
      <c r="AK214" s="105">
        <v>3.3300000000000003E-2</v>
      </c>
      <c r="AL214" s="105">
        <v>3.1600000000000003E-2</v>
      </c>
      <c r="AM214" s="105">
        <v>2.1899999999999999E-2</v>
      </c>
      <c r="AN214" s="105">
        <v>1.95E-2</v>
      </c>
      <c r="AO214" s="105">
        <v>1.38E-2</v>
      </c>
      <c r="AP214" s="26">
        <v>1.0500000000000001E-2</v>
      </c>
      <c r="AQ214" s="26">
        <v>7.3000000000000001E-3</v>
      </c>
      <c r="AR214" s="26" t="s">
        <v>22</v>
      </c>
      <c r="AS214" s="26" t="s">
        <v>22</v>
      </c>
      <c r="AT214" s="104">
        <f t="shared" si="208"/>
        <v>0.58448753462603875</v>
      </c>
      <c r="AU214" s="104">
        <f t="shared" si="209"/>
        <v>0.27008310249307477</v>
      </c>
      <c r="AV214" s="197">
        <v>38</v>
      </c>
      <c r="AW214" s="105">
        <v>0.44740000000000002</v>
      </c>
      <c r="AX214" s="105">
        <v>0.26319999999999999</v>
      </c>
      <c r="AY214" s="105">
        <v>0.21049999999999999</v>
      </c>
      <c r="AZ214" s="105">
        <v>0.21049999999999999</v>
      </c>
      <c r="BA214" s="105">
        <v>0.15790000000000001</v>
      </c>
      <c r="BB214" s="105">
        <v>0.15790000000000001</v>
      </c>
      <c r="BC214" s="105">
        <v>0.13159999999999999</v>
      </c>
      <c r="BD214" s="26">
        <v>7.8899999999999998E-2</v>
      </c>
      <c r="BE214" s="26">
        <v>7.8899999999999998E-2</v>
      </c>
      <c r="BF214" s="26" t="s">
        <v>22</v>
      </c>
      <c r="BG214" s="26" t="s">
        <v>22</v>
      </c>
      <c r="BH214" s="104">
        <f t="shared" si="210"/>
        <v>0.58828788556101919</v>
      </c>
      <c r="BI214" s="203">
        <f t="shared" si="211"/>
        <v>0.3529280286097452</v>
      </c>
      <c r="BK214" s="506"/>
      <c r="BL214" s="132">
        <v>46061</v>
      </c>
      <c r="BM214" s="166">
        <v>776</v>
      </c>
      <c r="BN214" s="105">
        <v>8.3799999999999999E-2</v>
      </c>
      <c r="BO214" s="105">
        <v>5.1499999999999997E-2</v>
      </c>
      <c r="BP214" s="105">
        <v>4.2500000000000003E-2</v>
      </c>
      <c r="BQ214" s="105">
        <v>3.61E-2</v>
      </c>
      <c r="BR214" s="105">
        <v>3.3500000000000002E-2</v>
      </c>
      <c r="BS214" s="105">
        <v>2.7099999999999999E-2</v>
      </c>
      <c r="BT214" s="105">
        <v>2.4500000000000001E-2</v>
      </c>
      <c r="BU214" s="26">
        <v>2.06E-2</v>
      </c>
      <c r="BV214" s="26">
        <v>2.1899999999999999E-2</v>
      </c>
      <c r="BW214" s="26" t="s">
        <v>22</v>
      </c>
      <c r="BX214" s="26" t="s">
        <v>22</v>
      </c>
      <c r="BY214" s="104">
        <f t="shared" si="212"/>
        <v>0.61455847255369922</v>
      </c>
      <c r="BZ214" s="104">
        <f t="shared" si="213"/>
        <v>0.3233890214797136</v>
      </c>
      <c r="CA214" s="248">
        <v>25</v>
      </c>
      <c r="CB214" s="105">
        <v>0.6</v>
      </c>
      <c r="CC214" s="105">
        <v>0.48</v>
      </c>
      <c r="CD214" s="105">
        <v>0.4</v>
      </c>
      <c r="CE214" s="105">
        <v>0.32</v>
      </c>
      <c r="CF214" s="105">
        <v>0.28000000000000003</v>
      </c>
      <c r="CG214" s="105">
        <v>0.24</v>
      </c>
      <c r="CH214" s="105">
        <v>0.28000000000000003</v>
      </c>
      <c r="CI214" s="26">
        <v>0.28000000000000003</v>
      </c>
      <c r="CJ214" s="26">
        <v>0.24</v>
      </c>
      <c r="CK214" s="26" t="s">
        <v>22</v>
      </c>
      <c r="CL214" s="26" t="s">
        <v>22</v>
      </c>
      <c r="CM214" s="104">
        <f t="shared" si="214"/>
        <v>0.8</v>
      </c>
      <c r="CN214" s="203">
        <f t="shared" si="215"/>
        <v>0.4</v>
      </c>
    </row>
    <row r="215" spans="1:92" ht="14.25" customHeight="1">
      <c r="A215" s="563" t="s">
        <v>25</v>
      </c>
      <c r="B215" s="164">
        <v>46062</v>
      </c>
      <c r="C215" s="240">
        <f t="shared" si="184"/>
        <v>2129</v>
      </c>
      <c r="D215" s="105">
        <f t="shared" si="186"/>
        <v>6.059614842649131E-2</v>
      </c>
      <c r="E215" s="105">
        <f t="shared" si="187"/>
        <v>3.4732738374823859E-2</v>
      </c>
      <c r="F215" s="105">
        <f t="shared" si="188"/>
        <v>2.4402066697980271E-2</v>
      </c>
      <c r="G215" s="105">
        <f t="shared" si="189"/>
        <v>2.1138233912635036E-2</v>
      </c>
      <c r="H215" s="105">
        <f t="shared" si="190"/>
        <v>1.8824142790042273E-2</v>
      </c>
      <c r="I215" s="105">
        <f t="shared" si="191"/>
        <v>1.7367872240488497E-2</v>
      </c>
      <c r="J215" s="105">
        <f t="shared" si="192"/>
        <v>1.2196477219351808E-2</v>
      </c>
      <c r="K215" s="105">
        <f t="shared" si="193"/>
        <v>7.0372005636449029E-3</v>
      </c>
      <c r="L215" s="105">
        <f t="shared" si="194"/>
        <v>5.6065288868013151E-3</v>
      </c>
      <c r="M215" s="105" t="s">
        <v>22</v>
      </c>
      <c r="N215" s="105" t="s">
        <v>22</v>
      </c>
      <c r="O215" s="104">
        <f t="shared" si="204"/>
        <v>0.57318392796792783</v>
      </c>
      <c r="P215" s="203">
        <f t="shared" si="205"/>
        <v>0.28661676841651612</v>
      </c>
      <c r="Q215" s="157">
        <f t="shared" si="185"/>
        <v>47</v>
      </c>
      <c r="R215" s="105">
        <f t="shared" si="195"/>
        <v>0.31917021276595747</v>
      </c>
      <c r="S215" s="105">
        <f t="shared" si="196"/>
        <v>0.21276595744680851</v>
      </c>
      <c r="T215" s="105">
        <f t="shared" si="197"/>
        <v>0.1914659574468085</v>
      </c>
      <c r="U215" s="105">
        <f t="shared" si="198"/>
        <v>0.12764255319148937</v>
      </c>
      <c r="V215" s="105">
        <f t="shared" si="199"/>
        <v>8.5110638297872326E-2</v>
      </c>
      <c r="W215" s="105">
        <f t="shared" si="200"/>
        <v>8.5106382978723388E-2</v>
      </c>
      <c r="X215" s="105">
        <f t="shared" si="201"/>
        <v>6.3868085106382977E-2</v>
      </c>
      <c r="Y215" s="105">
        <f t="shared" si="202"/>
        <v>2.1287234042553189E-2</v>
      </c>
      <c r="Z215" s="105">
        <f t="shared" si="203"/>
        <v>2.1293617021276592E-2</v>
      </c>
      <c r="AA215" s="105" t="s">
        <v>22</v>
      </c>
      <c r="AB215" s="105" t="s">
        <v>22</v>
      </c>
      <c r="AC215" s="104">
        <f t="shared" si="206"/>
        <v>0.66662222518498759</v>
      </c>
      <c r="AD215" s="203">
        <f t="shared" si="207"/>
        <v>0.266648890073995</v>
      </c>
      <c r="AE215" s="1"/>
      <c r="AF215" s="501" t="s">
        <v>25</v>
      </c>
      <c r="AG215" s="88">
        <v>46062</v>
      </c>
      <c r="AH215" s="71">
        <v>1348</v>
      </c>
      <c r="AI215" s="105">
        <v>4.7500000000000001E-2</v>
      </c>
      <c r="AJ215" s="105">
        <v>2.8899999999999999E-2</v>
      </c>
      <c r="AK215" s="105">
        <v>0.02</v>
      </c>
      <c r="AL215" s="105">
        <v>1.78E-2</v>
      </c>
      <c r="AM215" s="105">
        <v>1.7100000000000001E-2</v>
      </c>
      <c r="AN215" s="105">
        <v>1.4800000000000001E-2</v>
      </c>
      <c r="AO215" s="105">
        <v>1.26E-2</v>
      </c>
      <c r="AP215" s="26">
        <v>5.8999999999999999E-3</v>
      </c>
      <c r="AQ215" s="26">
        <v>5.8999999999999999E-3</v>
      </c>
      <c r="AR215" s="26" t="s">
        <v>22</v>
      </c>
      <c r="AS215" s="26" t="s">
        <v>22</v>
      </c>
      <c r="AT215" s="104">
        <f t="shared" si="208"/>
        <v>0.60842105263157886</v>
      </c>
      <c r="AU215" s="104">
        <f t="shared" si="209"/>
        <v>0.31157894736842107</v>
      </c>
      <c r="AV215" s="197">
        <v>23</v>
      </c>
      <c r="AW215" s="105">
        <v>0.21740000000000001</v>
      </c>
      <c r="AX215" s="105">
        <v>0.13039999999999999</v>
      </c>
      <c r="AY215" s="105">
        <v>0.1739</v>
      </c>
      <c r="AZ215" s="105">
        <v>0.13039999999999999</v>
      </c>
      <c r="BA215" s="105">
        <v>8.6999999999999994E-2</v>
      </c>
      <c r="BB215" s="105">
        <v>0.13039999999999999</v>
      </c>
      <c r="BC215" s="105">
        <v>8.6999999999999994E-2</v>
      </c>
      <c r="BD215" s="26">
        <v>4.3499999999999997E-2</v>
      </c>
      <c r="BE215" s="26">
        <v>0</v>
      </c>
      <c r="BF215" s="26" t="s">
        <v>22</v>
      </c>
      <c r="BG215" s="26" t="s">
        <v>22</v>
      </c>
      <c r="BH215" s="104">
        <f t="shared" si="210"/>
        <v>0.59981600735970553</v>
      </c>
      <c r="BI215" s="203">
        <f t="shared" si="211"/>
        <v>0.59981600735970553</v>
      </c>
      <c r="BK215" s="522" t="s">
        <v>25</v>
      </c>
      <c r="BL215" s="88">
        <v>46062</v>
      </c>
      <c r="BM215" s="71">
        <v>781</v>
      </c>
      <c r="BN215" s="105">
        <v>8.3199999999999996E-2</v>
      </c>
      <c r="BO215" s="105">
        <v>4.48E-2</v>
      </c>
      <c r="BP215" s="105">
        <v>3.2000000000000001E-2</v>
      </c>
      <c r="BQ215" s="105">
        <v>2.69E-2</v>
      </c>
      <c r="BR215" s="105">
        <v>2.18E-2</v>
      </c>
      <c r="BS215" s="105">
        <v>2.18E-2</v>
      </c>
      <c r="BT215" s="105">
        <v>1.15E-2</v>
      </c>
      <c r="BU215" s="26">
        <v>8.9999999999999993E-3</v>
      </c>
      <c r="BV215" s="26">
        <v>5.1000000000000004E-3</v>
      </c>
      <c r="BW215" s="26" t="s">
        <v>22</v>
      </c>
      <c r="BX215" s="26" t="s">
        <v>22</v>
      </c>
      <c r="BY215" s="104">
        <f t="shared" si="212"/>
        <v>0.53846153846153844</v>
      </c>
      <c r="BZ215" s="104">
        <f t="shared" si="213"/>
        <v>0.26201923076923078</v>
      </c>
      <c r="CA215" s="197">
        <v>24</v>
      </c>
      <c r="CB215" s="105">
        <v>0.41670000000000001</v>
      </c>
      <c r="CC215" s="105">
        <v>0.29170000000000001</v>
      </c>
      <c r="CD215" s="105">
        <v>0.20830000000000001</v>
      </c>
      <c r="CE215" s="105">
        <v>0.125</v>
      </c>
      <c r="CF215" s="105">
        <v>8.3299999999999999E-2</v>
      </c>
      <c r="CG215" s="105">
        <v>4.1700000000000001E-2</v>
      </c>
      <c r="CH215" s="105">
        <v>4.1700000000000001E-2</v>
      </c>
      <c r="CI215" s="26">
        <v>0</v>
      </c>
      <c r="CJ215" s="26">
        <v>4.1700000000000001E-2</v>
      </c>
      <c r="CK215" s="26" t="s">
        <v>22</v>
      </c>
      <c r="CL215" s="26" t="s">
        <v>22</v>
      </c>
      <c r="CM215" s="104">
        <f t="shared" si="214"/>
        <v>0.70002399808015359</v>
      </c>
      <c r="CN215" s="203">
        <f t="shared" si="215"/>
        <v>0.10007199424046076</v>
      </c>
    </row>
    <row r="216" spans="1:92" ht="14.25" customHeight="1">
      <c r="A216" s="502"/>
      <c r="B216" s="164">
        <v>46063</v>
      </c>
      <c r="C216" s="240">
        <f t="shared" si="184"/>
        <v>2128</v>
      </c>
      <c r="D216" s="105">
        <f t="shared" si="186"/>
        <v>8.1741635338345872E-2</v>
      </c>
      <c r="E216" s="105">
        <f t="shared" si="187"/>
        <v>4.2276503759398495E-2</v>
      </c>
      <c r="F216" s="105">
        <f t="shared" si="188"/>
        <v>3.4306578947368424E-2</v>
      </c>
      <c r="G216" s="105">
        <f t="shared" si="189"/>
        <v>2.8219501879699252E-2</v>
      </c>
      <c r="H216" s="105">
        <f t="shared" si="190"/>
        <v>2.7720817669172927E-2</v>
      </c>
      <c r="I216" s="105">
        <f t="shared" si="191"/>
        <v>2.5410808270676693E-2</v>
      </c>
      <c r="J216" s="105">
        <f t="shared" si="192"/>
        <v>1.6934022556390978E-2</v>
      </c>
      <c r="K216" s="105">
        <f t="shared" si="193"/>
        <v>1.2218984962406013E-2</v>
      </c>
      <c r="L216" s="105">
        <f t="shared" si="194"/>
        <v>5.6567199248120309E-3</v>
      </c>
      <c r="M216" s="105" t="s">
        <v>22</v>
      </c>
      <c r="N216" s="105" t="s">
        <v>22</v>
      </c>
      <c r="O216" s="104">
        <f t="shared" si="204"/>
        <v>0.5171966964498218</v>
      </c>
      <c r="P216" s="203">
        <f t="shared" si="205"/>
        <v>0.31086738313340562</v>
      </c>
      <c r="Q216" s="157">
        <f t="shared" si="185"/>
        <v>59</v>
      </c>
      <c r="R216" s="105">
        <f t="shared" si="195"/>
        <v>0.54234406779661015</v>
      </c>
      <c r="S216" s="105">
        <f t="shared" si="196"/>
        <v>0.33894915254237284</v>
      </c>
      <c r="T216" s="105">
        <f t="shared" si="197"/>
        <v>0.32204406779661016</v>
      </c>
      <c r="U216" s="105">
        <f t="shared" si="198"/>
        <v>0.28811186440677966</v>
      </c>
      <c r="V216" s="105">
        <f t="shared" si="199"/>
        <v>0.32207288135593215</v>
      </c>
      <c r="W216" s="105">
        <f t="shared" si="200"/>
        <v>0.23728474576271189</v>
      </c>
      <c r="X216" s="105">
        <f t="shared" si="201"/>
        <v>0.13562033898305084</v>
      </c>
      <c r="Y216" s="105">
        <f t="shared" si="202"/>
        <v>0.10170677966101695</v>
      </c>
      <c r="Z216" s="105">
        <f t="shared" si="203"/>
        <v>6.7798305084745755E-2</v>
      </c>
      <c r="AA216" s="105" t="s">
        <v>22</v>
      </c>
      <c r="AB216" s="105" t="s">
        <v>22</v>
      </c>
      <c r="AC216" s="104">
        <f t="shared" si="206"/>
        <v>0.62497070156852075</v>
      </c>
      <c r="AD216" s="203">
        <f t="shared" si="207"/>
        <v>0.43751699309025799</v>
      </c>
      <c r="AE216" s="1"/>
      <c r="AF216" s="502"/>
      <c r="AG216" s="88">
        <v>46063</v>
      </c>
      <c r="AH216" s="71">
        <v>1443</v>
      </c>
      <c r="AI216" s="105">
        <v>6.7900000000000002E-2</v>
      </c>
      <c r="AJ216" s="105">
        <v>3.8800000000000001E-2</v>
      </c>
      <c r="AK216" s="105">
        <v>2.98E-2</v>
      </c>
      <c r="AL216" s="105">
        <v>2.2200000000000001E-2</v>
      </c>
      <c r="AM216" s="105">
        <v>2.0799999999999999E-2</v>
      </c>
      <c r="AN216" s="105">
        <v>2.29E-2</v>
      </c>
      <c r="AO216" s="105">
        <v>1.32E-2</v>
      </c>
      <c r="AP216" s="26">
        <v>8.9999999999999993E-3</v>
      </c>
      <c r="AQ216" s="26">
        <v>3.5000000000000001E-3</v>
      </c>
      <c r="AR216" s="26" t="s">
        <v>22</v>
      </c>
      <c r="AS216" s="26" t="s">
        <v>22</v>
      </c>
      <c r="AT216" s="104">
        <f t="shared" si="208"/>
        <v>0.5714285714285714</v>
      </c>
      <c r="AU216" s="104">
        <f t="shared" si="209"/>
        <v>0.337260677466863</v>
      </c>
      <c r="AV216" s="197">
        <v>31</v>
      </c>
      <c r="AW216" s="105">
        <v>0.5161</v>
      </c>
      <c r="AX216" s="105">
        <v>0.3548</v>
      </c>
      <c r="AY216" s="105">
        <v>0.2258</v>
      </c>
      <c r="AZ216" s="105">
        <v>0.2258</v>
      </c>
      <c r="BA216" s="105">
        <v>0.2581</v>
      </c>
      <c r="BB216" s="105">
        <v>0.2258</v>
      </c>
      <c r="BC216" s="105">
        <v>9.6799999999999997E-2</v>
      </c>
      <c r="BD216" s="26">
        <v>6.4500000000000002E-2</v>
      </c>
      <c r="BE216" s="26">
        <v>3.2300000000000002E-2</v>
      </c>
      <c r="BF216" s="26" t="s">
        <v>22</v>
      </c>
      <c r="BG216" s="26" t="s">
        <v>22</v>
      </c>
      <c r="BH216" s="104">
        <f t="shared" si="210"/>
        <v>0.68746366983142804</v>
      </c>
      <c r="BI216" s="203">
        <f t="shared" si="211"/>
        <v>0.43751211005619067</v>
      </c>
      <c r="BK216" s="518"/>
      <c r="BL216" s="88">
        <v>46063</v>
      </c>
      <c r="BM216" s="71">
        <v>685</v>
      </c>
      <c r="BN216" s="105">
        <v>0.1109</v>
      </c>
      <c r="BO216" s="105">
        <v>4.9599999999999998E-2</v>
      </c>
      <c r="BP216" s="105">
        <v>4.3799999999999999E-2</v>
      </c>
      <c r="BQ216" s="105">
        <v>4.0899999999999999E-2</v>
      </c>
      <c r="BR216" s="105">
        <v>4.2299999999999997E-2</v>
      </c>
      <c r="BS216" s="105">
        <v>3.0700000000000002E-2</v>
      </c>
      <c r="BT216" s="105">
        <v>2.4799999999999999E-2</v>
      </c>
      <c r="BU216" s="26">
        <v>1.9E-2</v>
      </c>
      <c r="BV216" s="26">
        <v>1.0200000000000001E-2</v>
      </c>
      <c r="BW216" s="26" t="s">
        <v>22</v>
      </c>
      <c r="BX216" s="26" t="s">
        <v>22</v>
      </c>
      <c r="BY216" s="104">
        <f t="shared" si="212"/>
        <v>0.44724977457168619</v>
      </c>
      <c r="BZ216" s="104">
        <f t="shared" si="213"/>
        <v>0.27682596934174936</v>
      </c>
      <c r="CA216" s="197">
        <v>28</v>
      </c>
      <c r="CB216" s="105">
        <v>0.57140000000000002</v>
      </c>
      <c r="CC216" s="105">
        <v>0.32140000000000002</v>
      </c>
      <c r="CD216" s="105">
        <v>0.42859999999999998</v>
      </c>
      <c r="CE216" s="105">
        <v>0.35709999999999997</v>
      </c>
      <c r="CF216" s="105">
        <v>0.39290000000000003</v>
      </c>
      <c r="CG216" s="105">
        <v>0.25</v>
      </c>
      <c r="CH216" s="105">
        <v>0.17860000000000001</v>
      </c>
      <c r="CI216" s="26">
        <v>0.1429</v>
      </c>
      <c r="CJ216" s="26">
        <v>0.1071</v>
      </c>
      <c r="CK216" s="26" t="s">
        <v>22</v>
      </c>
      <c r="CL216" s="26" t="s">
        <v>22</v>
      </c>
      <c r="CM216" s="104">
        <f t="shared" si="214"/>
        <v>0.56247812390619534</v>
      </c>
      <c r="CN216" s="203">
        <f t="shared" si="215"/>
        <v>0.43752187609380466</v>
      </c>
    </row>
    <row r="217" spans="1:92" ht="14.25" customHeight="1">
      <c r="A217" s="502"/>
      <c r="B217" s="164">
        <v>46064</v>
      </c>
      <c r="C217" s="240">
        <f t="shared" si="184"/>
        <v>1954</v>
      </c>
      <c r="D217" s="105">
        <f t="shared" ref="D217:D225" si="216">($AH217*AI217+$BM217*BN217)/$C217</f>
        <v>8.5476151484135107E-2</v>
      </c>
      <c r="E217" s="105">
        <f t="shared" ref="E217:E225" si="217">($AH217*AJ217+$BM217*BO217)/$C217</f>
        <v>4.4006960081883317E-2</v>
      </c>
      <c r="F217" s="105">
        <f t="shared" ref="F217:F225" si="218">($AH217*AK217+$BM217*BP217)/$C217</f>
        <v>3.9914636642784031E-2</v>
      </c>
      <c r="G217" s="105">
        <f t="shared" ref="G217:G225" si="219">($AH217*AL217+$BM217*BQ217)/$C217</f>
        <v>2.8678300921187311E-2</v>
      </c>
      <c r="H217" s="105">
        <f t="shared" ref="H217:H225" si="220">($AH217*AM217+$BM217*BR217)/$C217</f>
        <v>2.2557625383828044E-2</v>
      </c>
      <c r="I217" s="105">
        <f t="shared" ref="I217:I225" si="221">($AH217*AN217+$BM217*BS217)/$C217</f>
        <v>2.4041351074718526E-2</v>
      </c>
      <c r="J217" s="105">
        <f t="shared" ref="J217:J225" si="222">($AH217*AO217+$BM217*BT217)/$C217</f>
        <v>1.2259570112589558E-2</v>
      </c>
      <c r="K217" s="105">
        <f t="shared" ref="K217:K225" si="223">($AH217*AP217+$BM217*BU217)/$C217</f>
        <v>1.0760081883316274E-2</v>
      </c>
      <c r="L217" s="105" t="s">
        <v>22</v>
      </c>
      <c r="M217" s="105" t="s">
        <v>22</v>
      </c>
      <c r="N217" s="105" t="s">
        <v>22</v>
      </c>
      <c r="O217" s="104">
        <f t="shared" si="204"/>
        <v>0.5148448931986751</v>
      </c>
      <c r="P217" s="203">
        <f t="shared" si="205"/>
        <v>0.2812638456140687</v>
      </c>
      <c r="Q217" s="157">
        <f t="shared" si="185"/>
        <v>55</v>
      </c>
      <c r="R217" s="105">
        <f t="shared" ref="R217:R225" si="224">($AV217*AW217+$CA217*CB217)/$Q217</f>
        <v>0.56366727272727268</v>
      </c>
      <c r="S217" s="105">
        <f t="shared" ref="S217:S225" si="225">($AV217*AX217+$CA217*CC217)/$Q217</f>
        <v>0.3818545454545455</v>
      </c>
      <c r="T217" s="105">
        <f t="shared" ref="T217:T225" si="226">($AV217*AY217+$CA217*CD217)/$Q217</f>
        <v>0.30907818181818181</v>
      </c>
      <c r="U217" s="105">
        <f t="shared" ref="U217:U225" si="227">($AV217*AZ217+$CA217*CE217)/$Q217</f>
        <v>0.29090363636363636</v>
      </c>
      <c r="V217" s="105">
        <f t="shared" ref="V217:V225" si="228">($AV217*BA217+$CA217*CF217)/$Q217</f>
        <v>0.25452727272727271</v>
      </c>
      <c r="W217" s="105">
        <f t="shared" ref="W217:W225" si="229">($AV217*BB217+$CA217*CG217)/$Q217</f>
        <v>0.23636363636363636</v>
      </c>
      <c r="X217" s="105">
        <f t="shared" ref="X217:X225" si="230">($AV217*BC217+$CA217*CH217)/$Q217</f>
        <v>0.16366545454545453</v>
      </c>
      <c r="Y217" s="105">
        <f t="shared" ref="Y217:Y225" si="231">($AV217*BD217+$CA217*CI217)/$Q217</f>
        <v>0.10906363636363636</v>
      </c>
      <c r="Z217" s="105" t="s">
        <v>22</v>
      </c>
      <c r="AA217" s="105" t="s">
        <v>22</v>
      </c>
      <c r="AB217" s="105" t="s">
        <v>22</v>
      </c>
      <c r="AC217" s="104">
        <f t="shared" si="206"/>
        <v>0.6774467206637057</v>
      </c>
      <c r="AD217" s="203">
        <f t="shared" si="207"/>
        <v>0.41933184309247562</v>
      </c>
      <c r="AE217" s="1"/>
      <c r="AF217" s="502"/>
      <c r="AG217" s="88">
        <v>46064</v>
      </c>
      <c r="AH217" s="71">
        <v>1448</v>
      </c>
      <c r="AI217" s="105">
        <v>7.46E-2</v>
      </c>
      <c r="AJ217" s="105">
        <v>3.73E-2</v>
      </c>
      <c r="AK217" s="105">
        <v>3.6600000000000001E-2</v>
      </c>
      <c r="AL217" s="105">
        <v>2.2800000000000001E-2</v>
      </c>
      <c r="AM217" s="105">
        <v>1.7999999999999999E-2</v>
      </c>
      <c r="AN217" s="105">
        <v>2.1399999999999999E-2</v>
      </c>
      <c r="AO217" s="105">
        <v>6.1999999999999998E-3</v>
      </c>
      <c r="AP217" s="26">
        <v>8.3000000000000001E-3</v>
      </c>
      <c r="AQ217" s="26" t="s">
        <v>22</v>
      </c>
      <c r="AR217" s="26" t="s">
        <v>22</v>
      </c>
      <c r="AS217" s="26" t="s">
        <v>22</v>
      </c>
      <c r="AT217" s="104">
        <f t="shared" si="208"/>
        <v>0.5</v>
      </c>
      <c r="AU217" s="104">
        <f t="shared" si="209"/>
        <v>0.28686327077747986</v>
      </c>
      <c r="AV217" s="197">
        <v>28</v>
      </c>
      <c r="AW217" s="105">
        <v>0.64290000000000003</v>
      </c>
      <c r="AX217" s="105">
        <v>0.39290000000000003</v>
      </c>
      <c r="AY217" s="105">
        <v>0.32140000000000002</v>
      </c>
      <c r="AZ217" s="105">
        <v>0.28570000000000001</v>
      </c>
      <c r="BA217" s="105">
        <v>0.28570000000000001</v>
      </c>
      <c r="BB217" s="105">
        <v>0.28570000000000001</v>
      </c>
      <c r="BC217" s="105">
        <v>0.1429</v>
      </c>
      <c r="BD217" s="26">
        <v>0.1071</v>
      </c>
      <c r="BE217" s="26" t="s">
        <v>22</v>
      </c>
      <c r="BF217" s="26" t="s">
        <v>22</v>
      </c>
      <c r="BG217" s="26" t="s">
        <v>22</v>
      </c>
      <c r="BH217" s="104">
        <f t="shared" si="210"/>
        <v>0.61113703530875718</v>
      </c>
      <c r="BI217" s="203">
        <f t="shared" si="211"/>
        <v>0.44439259604915227</v>
      </c>
      <c r="BK217" s="518"/>
      <c r="BL217" s="88">
        <v>46064</v>
      </c>
      <c r="BM217" s="71">
        <v>506</v>
      </c>
      <c r="BN217" s="105">
        <v>0.1166</v>
      </c>
      <c r="BO217" s="105">
        <v>6.3200000000000006E-2</v>
      </c>
      <c r="BP217" s="105">
        <v>4.9399999999999999E-2</v>
      </c>
      <c r="BQ217" s="105">
        <v>4.5499999999999999E-2</v>
      </c>
      <c r="BR217" s="105">
        <v>3.56E-2</v>
      </c>
      <c r="BS217" s="105">
        <v>3.1600000000000003E-2</v>
      </c>
      <c r="BT217" s="105">
        <v>2.9600000000000001E-2</v>
      </c>
      <c r="BU217" s="26">
        <v>1.78E-2</v>
      </c>
      <c r="BV217" s="26" t="s">
        <v>22</v>
      </c>
      <c r="BW217" s="26" t="s">
        <v>22</v>
      </c>
      <c r="BX217" s="26" t="s">
        <v>22</v>
      </c>
      <c r="BY217" s="104">
        <f t="shared" si="212"/>
        <v>0.54202401372212705</v>
      </c>
      <c r="BZ217" s="104">
        <f t="shared" si="213"/>
        <v>0.27101200686106353</v>
      </c>
      <c r="CA217" s="197">
        <v>27</v>
      </c>
      <c r="CB217" s="105">
        <v>0.48149999999999998</v>
      </c>
      <c r="CC217" s="105">
        <v>0.37040000000000001</v>
      </c>
      <c r="CD217" s="105">
        <v>0.29630000000000001</v>
      </c>
      <c r="CE217" s="105">
        <v>0.29630000000000001</v>
      </c>
      <c r="CF217" s="105">
        <v>0.22220000000000001</v>
      </c>
      <c r="CG217" s="105">
        <v>0.1852</v>
      </c>
      <c r="CH217" s="105">
        <v>0.1852</v>
      </c>
      <c r="CI217" s="26">
        <v>0.1111</v>
      </c>
      <c r="CJ217" s="26" t="s">
        <v>22</v>
      </c>
      <c r="CK217" s="26" t="s">
        <v>22</v>
      </c>
      <c r="CL217" s="26" t="s">
        <v>22</v>
      </c>
      <c r="CM217" s="104">
        <f t="shared" si="214"/>
        <v>0.76926272066458989</v>
      </c>
      <c r="CN217" s="203">
        <f t="shared" si="215"/>
        <v>0.38463136033229495</v>
      </c>
    </row>
    <row r="218" spans="1:92" ht="14.25" customHeight="1">
      <c r="A218" s="90"/>
      <c r="B218" s="163">
        <v>46065</v>
      </c>
      <c r="C218" s="315">
        <f t="shared" si="184"/>
        <v>1978</v>
      </c>
      <c r="D218" s="105">
        <f t="shared" si="216"/>
        <v>6.5709706774519705E-2</v>
      </c>
      <c r="E218" s="105">
        <f t="shared" si="217"/>
        <v>4.7013852376137519E-2</v>
      </c>
      <c r="F218" s="105">
        <f t="shared" si="218"/>
        <v>3.3352982810920119E-2</v>
      </c>
      <c r="G218" s="105">
        <f t="shared" si="219"/>
        <v>2.3793225480283117E-2</v>
      </c>
      <c r="H218" s="105">
        <f t="shared" si="220"/>
        <v>2.1703943377148635E-2</v>
      </c>
      <c r="I218" s="105">
        <f t="shared" si="221"/>
        <v>1.871233569261881E-2</v>
      </c>
      <c r="J218" s="105">
        <f t="shared" si="222"/>
        <v>1.261071789686552E-2</v>
      </c>
      <c r="K218" s="105">
        <f t="shared" si="223"/>
        <v>8.5857431749241653E-3</v>
      </c>
      <c r="L218" s="105" t="s">
        <v>22</v>
      </c>
      <c r="M218" s="105" t="s">
        <v>22</v>
      </c>
      <c r="N218" s="105" t="s">
        <v>22</v>
      </c>
      <c r="O218" s="104">
        <f t="shared" si="204"/>
        <v>0.7154780424977959</v>
      </c>
      <c r="P218" s="203">
        <f t="shared" si="205"/>
        <v>0.28477277728280631</v>
      </c>
      <c r="Q218" s="170">
        <f t="shared" si="185"/>
        <v>56</v>
      </c>
      <c r="R218" s="105">
        <f t="shared" si="224"/>
        <v>0.50002142857142851</v>
      </c>
      <c r="S218" s="105">
        <f t="shared" si="225"/>
        <v>0.26785357142857141</v>
      </c>
      <c r="T218" s="105">
        <f t="shared" si="226"/>
        <v>0.19644285714285714</v>
      </c>
      <c r="U218" s="105">
        <f t="shared" si="227"/>
        <v>0.14284642857142857</v>
      </c>
      <c r="V218" s="105">
        <f t="shared" si="228"/>
        <v>0.16069642857142857</v>
      </c>
      <c r="W218" s="105">
        <f t="shared" si="229"/>
        <v>0.14283214285714285</v>
      </c>
      <c r="X218" s="105">
        <f t="shared" si="230"/>
        <v>7.1435714285714283E-2</v>
      </c>
      <c r="Y218" s="105">
        <f t="shared" si="231"/>
        <v>8.9271428571428557E-2</v>
      </c>
      <c r="Z218" s="105" t="s">
        <v>22</v>
      </c>
      <c r="AA218" s="105" t="s">
        <v>22</v>
      </c>
      <c r="AB218" s="105" t="s">
        <v>22</v>
      </c>
      <c r="AC218" s="104">
        <f t="shared" si="206"/>
        <v>0.53568418496350156</v>
      </c>
      <c r="AD218" s="203">
        <f t="shared" si="207"/>
        <v>0.2856520434838507</v>
      </c>
      <c r="AE218" s="1"/>
      <c r="AF218" s="90"/>
      <c r="AG218" s="216">
        <v>46065</v>
      </c>
      <c r="AH218" s="25">
        <v>1500</v>
      </c>
      <c r="AI218" s="105">
        <v>5.7299999999999997E-2</v>
      </c>
      <c r="AJ218" s="105">
        <v>3.7999999999999999E-2</v>
      </c>
      <c r="AK218" s="105">
        <v>2.3300000000000001E-2</v>
      </c>
      <c r="AL218" s="105">
        <v>2.07E-2</v>
      </c>
      <c r="AM218" s="105">
        <v>1.5299999999999999E-2</v>
      </c>
      <c r="AN218" s="105">
        <v>1.4E-2</v>
      </c>
      <c r="AO218" s="105">
        <v>9.2999999999999992E-3</v>
      </c>
      <c r="AP218" s="26">
        <v>6.0000000000000001E-3</v>
      </c>
      <c r="AQ218" s="26" t="s">
        <v>22</v>
      </c>
      <c r="AR218" s="26" t="s">
        <v>22</v>
      </c>
      <c r="AS218" s="26" t="s">
        <v>22</v>
      </c>
      <c r="AT218" s="104">
        <f t="shared" si="208"/>
        <v>0.6631762652705061</v>
      </c>
      <c r="AU218" s="104">
        <f t="shared" si="209"/>
        <v>0.24432809773123912</v>
      </c>
      <c r="AV218" s="196">
        <v>34</v>
      </c>
      <c r="AW218" s="105">
        <v>0.38240000000000002</v>
      </c>
      <c r="AX218" s="105">
        <v>0.2059</v>
      </c>
      <c r="AY218" s="105">
        <v>0.14710000000000001</v>
      </c>
      <c r="AZ218" s="105">
        <v>8.8200000000000001E-2</v>
      </c>
      <c r="BA218" s="105">
        <v>0.1176</v>
      </c>
      <c r="BB218" s="105">
        <v>5.8799999999999998E-2</v>
      </c>
      <c r="BC218" s="105">
        <v>2.9399999999999999E-2</v>
      </c>
      <c r="BD218" s="26">
        <v>2.9399999999999999E-2</v>
      </c>
      <c r="BE218" s="26" t="s">
        <v>22</v>
      </c>
      <c r="BF218" s="26" t="s">
        <v>22</v>
      </c>
      <c r="BG218" s="26" t="s">
        <v>22</v>
      </c>
      <c r="BH218" s="104">
        <f t="shared" si="210"/>
        <v>0.53844142259414218</v>
      </c>
      <c r="BI218" s="203">
        <f t="shared" si="211"/>
        <v>0.15376569037656904</v>
      </c>
      <c r="BK218" s="90"/>
      <c r="BL218" s="216">
        <v>46065</v>
      </c>
      <c r="BM218" s="25">
        <v>478</v>
      </c>
      <c r="BN218" s="105">
        <v>9.2100000000000001E-2</v>
      </c>
      <c r="BO218" s="105">
        <v>7.5300000000000006E-2</v>
      </c>
      <c r="BP218" s="105">
        <v>6.4899999999999999E-2</v>
      </c>
      <c r="BQ218" s="105">
        <v>3.3500000000000002E-2</v>
      </c>
      <c r="BR218" s="105">
        <v>4.1799999999999997E-2</v>
      </c>
      <c r="BS218" s="105">
        <v>3.3500000000000002E-2</v>
      </c>
      <c r="BT218" s="105">
        <v>2.3E-2</v>
      </c>
      <c r="BU218" s="26">
        <v>1.67E-2</v>
      </c>
      <c r="BV218" s="26" t="s">
        <v>22</v>
      </c>
      <c r="BW218" s="26" t="s">
        <v>22</v>
      </c>
      <c r="BX218" s="26" t="s">
        <v>22</v>
      </c>
      <c r="BY218" s="104">
        <f t="shared" si="212"/>
        <v>0.8175895765472313</v>
      </c>
      <c r="BZ218" s="104">
        <f t="shared" si="213"/>
        <v>0.36373507057546145</v>
      </c>
      <c r="CA218" s="196">
        <v>22</v>
      </c>
      <c r="CB218" s="105">
        <v>0.68179999999999996</v>
      </c>
      <c r="CC218" s="105">
        <v>0.36359999999999998</v>
      </c>
      <c r="CD218" s="105">
        <v>0.2727</v>
      </c>
      <c r="CE218" s="105">
        <v>0.2273</v>
      </c>
      <c r="CF218" s="105">
        <v>0.2273</v>
      </c>
      <c r="CG218" s="105">
        <v>0.2727</v>
      </c>
      <c r="CH218" s="105">
        <v>0.13639999999999999</v>
      </c>
      <c r="CI218" s="26">
        <v>0.18179999999999999</v>
      </c>
      <c r="CJ218" s="26" t="s">
        <v>22</v>
      </c>
      <c r="CK218" s="26" t="s">
        <v>22</v>
      </c>
      <c r="CL218" s="26" t="s">
        <v>22</v>
      </c>
      <c r="CM218" s="104">
        <f t="shared" si="214"/>
        <v>0.53329422117923142</v>
      </c>
      <c r="CN218" s="203">
        <f t="shared" si="215"/>
        <v>0.39997066588442359</v>
      </c>
    </row>
    <row r="219" spans="1:92" ht="14.25" customHeight="1">
      <c r="A219" s="90"/>
      <c r="B219" s="163">
        <v>46066</v>
      </c>
      <c r="C219" s="315">
        <f t="shared" si="184"/>
        <v>1727</v>
      </c>
      <c r="D219" s="105">
        <f t="shared" si="216"/>
        <v>6.4808338158656636E-2</v>
      </c>
      <c r="E219" s="105">
        <f t="shared" si="217"/>
        <v>4.5722582513028368E-2</v>
      </c>
      <c r="F219" s="105">
        <f t="shared" si="218"/>
        <v>3.1867979154603356E-2</v>
      </c>
      <c r="G219" s="105">
        <f t="shared" si="219"/>
        <v>2.8959177764910252E-2</v>
      </c>
      <c r="H219" s="105">
        <f t="shared" si="220"/>
        <v>2.5488998262883613E-2</v>
      </c>
      <c r="I219" s="105">
        <f t="shared" si="221"/>
        <v>2.0258656629994209E-2</v>
      </c>
      <c r="J219" s="105">
        <f t="shared" si="222"/>
        <v>1.0410017371163866E-2</v>
      </c>
      <c r="K219" s="105">
        <f t="shared" si="223"/>
        <v>9.8478286045165005E-3</v>
      </c>
      <c r="L219" s="105" t="s">
        <v>22</v>
      </c>
      <c r="M219" s="105" t="s">
        <v>22</v>
      </c>
      <c r="N219" s="105" t="s">
        <v>22</v>
      </c>
      <c r="O219" s="104">
        <f t="shared" si="204"/>
        <v>0.70550462814052373</v>
      </c>
      <c r="P219" s="203">
        <f t="shared" si="205"/>
        <v>0.31259336692755796</v>
      </c>
      <c r="Q219" s="170">
        <f t="shared" si="185"/>
        <v>40</v>
      </c>
      <c r="R219" s="105">
        <f t="shared" si="224"/>
        <v>0.47504000000000002</v>
      </c>
      <c r="S219" s="105">
        <f t="shared" si="225"/>
        <v>0.32500249999999997</v>
      </c>
      <c r="T219" s="105">
        <f t="shared" si="226"/>
        <v>0.29999000000000003</v>
      </c>
      <c r="U219" s="105">
        <f t="shared" si="227"/>
        <v>0.24998749999999997</v>
      </c>
      <c r="V219" s="105">
        <f t="shared" si="228"/>
        <v>0.24998749999999997</v>
      </c>
      <c r="W219" s="105">
        <f t="shared" si="229"/>
        <v>0.12500500000000001</v>
      </c>
      <c r="X219" s="105">
        <f t="shared" si="230"/>
        <v>9.9992499999999998E-2</v>
      </c>
      <c r="Y219" s="105">
        <f t="shared" si="231"/>
        <v>7.4979999999999991E-2</v>
      </c>
      <c r="Z219" s="105" t="s">
        <v>22</v>
      </c>
      <c r="AA219" s="105" t="s">
        <v>22</v>
      </c>
      <c r="AB219" s="105" t="s">
        <v>22</v>
      </c>
      <c r="AC219" s="104">
        <f t="shared" si="206"/>
        <v>0.68415817615358698</v>
      </c>
      <c r="AD219" s="203">
        <f t="shared" si="207"/>
        <v>0.26314626136746377</v>
      </c>
      <c r="AE219" s="1"/>
      <c r="AF219" s="90"/>
      <c r="AG219" s="216">
        <v>46066</v>
      </c>
      <c r="AH219" s="25">
        <v>1266</v>
      </c>
      <c r="AI219" s="105">
        <v>4.3400000000000001E-2</v>
      </c>
      <c r="AJ219" s="105">
        <v>0.03</v>
      </c>
      <c r="AK219" s="105">
        <v>1.7399999999999999E-2</v>
      </c>
      <c r="AL219" s="105">
        <v>1.66E-2</v>
      </c>
      <c r="AM219" s="105">
        <v>1.66E-2</v>
      </c>
      <c r="AN219" s="105">
        <v>1.4999999999999999E-2</v>
      </c>
      <c r="AO219" s="105">
        <v>7.1000000000000004E-3</v>
      </c>
      <c r="AP219" s="26">
        <v>8.6999999999999994E-3</v>
      </c>
      <c r="AQ219" s="26" t="s">
        <v>22</v>
      </c>
      <c r="AR219" s="26" t="s">
        <v>22</v>
      </c>
      <c r="AS219" s="26" t="s">
        <v>22</v>
      </c>
      <c r="AT219" s="104">
        <f t="shared" si="208"/>
        <v>0.69124423963133641</v>
      </c>
      <c r="AU219" s="104">
        <f t="shared" si="209"/>
        <v>0.34562211981566821</v>
      </c>
      <c r="AV219" s="196">
        <v>17</v>
      </c>
      <c r="AW219" s="105">
        <v>0.17649999999999999</v>
      </c>
      <c r="AX219" s="105">
        <v>0.1176</v>
      </c>
      <c r="AY219" s="105">
        <v>0.1176</v>
      </c>
      <c r="AZ219" s="105">
        <v>5.8799999999999998E-2</v>
      </c>
      <c r="BA219" s="105">
        <v>5.8799999999999998E-2</v>
      </c>
      <c r="BB219" s="105">
        <v>0</v>
      </c>
      <c r="BC219" s="105">
        <v>0</v>
      </c>
      <c r="BD219" s="26">
        <v>0</v>
      </c>
      <c r="BE219" s="26" t="s">
        <v>22</v>
      </c>
      <c r="BF219" s="26" t="s">
        <v>22</v>
      </c>
      <c r="BG219" s="26" t="s">
        <v>22</v>
      </c>
      <c r="BH219" s="104">
        <f t="shared" si="210"/>
        <v>0.66628895184135983</v>
      </c>
      <c r="BI219" s="203">
        <f t="shared" si="211"/>
        <v>0</v>
      </c>
      <c r="BK219" s="90"/>
      <c r="BL219" s="216">
        <v>46066</v>
      </c>
      <c r="BM219" s="25">
        <v>461</v>
      </c>
      <c r="BN219" s="105">
        <v>0.1236</v>
      </c>
      <c r="BO219" s="105">
        <v>8.8900000000000007E-2</v>
      </c>
      <c r="BP219" s="105">
        <v>7.1599999999999997E-2</v>
      </c>
      <c r="BQ219" s="105">
        <v>6.2899999999999998E-2</v>
      </c>
      <c r="BR219" s="105">
        <v>4.99E-2</v>
      </c>
      <c r="BS219" s="105">
        <v>3.4700000000000002E-2</v>
      </c>
      <c r="BT219" s="105">
        <v>1.95E-2</v>
      </c>
      <c r="BU219" s="26">
        <v>1.2999999999999999E-2</v>
      </c>
      <c r="BV219" s="26" t="s">
        <v>22</v>
      </c>
      <c r="BW219" s="26" t="s">
        <v>22</v>
      </c>
      <c r="BX219" s="26" t="s">
        <v>22</v>
      </c>
      <c r="BY219" s="104">
        <f t="shared" si="212"/>
        <v>0.7192556634304208</v>
      </c>
      <c r="BZ219" s="104">
        <f t="shared" si="213"/>
        <v>0.28074433656957931</v>
      </c>
      <c r="CA219" s="196">
        <v>23</v>
      </c>
      <c r="CB219" s="105">
        <v>0.69569999999999999</v>
      </c>
      <c r="CC219" s="105">
        <v>0.4783</v>
      </c>
      <c r="CD219" s="105">
        <v>0.43480000000000002</v>
      </c>
      <c r="CE219" s="105">
        <v>0.39129999999999998</v>
      </c>
      <c r="CF219" s="105">
        <v>0.39129999999999998</v>
      </c>
      <c r="CG219" s="105">
        <v>0.21740000000000001</v>
      </c>
      <c r="CH219" s="105">
        <v>0.1739</v>
      </c>
      <c r="CI219" s="26">
        <v>0.13039999999999999</v>
      </c>
      <c r="CJ219" s="26" t="s">
        <v>22</v>
      </c>
      <c r="CK219" s="26" t="s">
        <v>22</v>
      </c>
      <c r="CL219" s="26" t="s">
        <v>22</v>
      </c>
      <c r="CM219" s="104">
        <f t="shared" si="214"/>
        <v>0.68750898375736669</v>
      </c>
      <c r="CN219" s="203">
        <f t="shared" si="215"/>
        <v>0.31249101624263331</v>
      </c>
    </row>
    <row r="220" spans="1:92" ht="14.25" customHeight="1">
      <c r="A220" s="564" t="s">
        <v>26</v>
      </c>
      <c r="B220" s="168">
        <v>46067</v>
      </c>
      <c r="C220" s="241">
        <f t="shared" si="184"/>
        <v>1568</v>
      </c>
      <c r="D220" s="105">
        <f t="shared" si="216"/>
        <v>8.7981887755102045E-2</v>
      </c>
      <c r="E220" s="105">
        <f t="shared" si="217"/>
        <v>4.7828316326530611E-2</v>
      </c>
      <c r="F220" s="105">
        <f t="shared" si="218"/>
        <v>3.8228954081632655E-2</v>
      </c>
      <c r="G220" s="105">
        <f t="shared" si="219"/>
        <v>3.8900255102040815E-2</v>
      </c>
      <c r="H220" s="105">
        <f t="shared" si="220"/>
        <v>3.5052487244897956E-2</v>
      </c>
      <c r="I220" s="105">
        <f t="shared" si="221"/>
        <v>3.5699170918367343E-2</v>
      </c>
      <c r="J220" s="105">
        <f t="shared" si="222"/>
        <v>1.5284821428571429E-2</v>
      </c>
      <c r="K220" s="105">
        <f t="shared" si="223"/>
        <v>1.5314795918367347E-2</v>
      </c>
      <c r="L220" s="105" t="s">
        <v>22</v>
      </c>
      <c r="M220" s="105" t="s">
        <v>22</v>
      </c>
      <c r="N220" s="105" t="s">
        <v>22</v>
      </c>
      <c r="O220" s="104">
        <f t="shared" si="204"/>
        <v>0.54361548208264099</v>
      </c>
      <c r="P220" s="203">
        <f t="shared" si="205"/>
        <v>0.40575590987245164</v>
      </c>
      <c r="Q220" s="158">
        <f t="shared" si="185"/>
        <v>44</v>
      </c>
      <c r="R220" s="105">
        <f t="shared" si="224"/>
        <v>0.52270227272727277</v>
      </c>
      <c r="S220" s="105">
        <f t="shared" si="225"/>
        <v>0.36363863636363636</v>
      </c>
      <c r="T220" s="105">
        <f t="shared" si="226"/>
        <v>0.29548409090909095</v>
      </c>
      <c r="U220" s="105">
        <f t="shared" si="227"/>
        <v>0.31820227272727275</v>
      </c>
      <c r="V220" s="105">
        <f t="shared" si="228"/>
        <v>0.31820227272727275</v>
      </c>
      <c r="W220" s="105">
        <f t="shared" si="229"/>
        <v>0.29548409090909095</v>
      </c>
      <c r="X220" s="105">
        <f t="shared" si="230"/>
        <v>0.18180454545454544</v>
      </c>
      <c r="Y220" s="105">
        <f t="shared" si="231"/>
        <v>0.20452272727272724</v>
      </c>
      <c r="Z220" s="105" t="s">
        <v>22</v>
      </c>
      <c r="AA220" s="105" t="s">
        <v>22</v>
      </c>
      <c r="AB220" s="105" t="s">
        <v>22</v>
      </c>
      <c r="AC220" s="104">
        <f t="shared" si="206"/>
        <v>0.69568979385970631</v>
      </c>
      <c r="AD220" s="203">
        <f t="shared" si="207"/>
        <v>0.56530094917583018</v>
      </c>
      <c r="AE220" s="1"/>
      <c r="AF220" s="503" t="s">
        <v>26</v>
      </c>
      <c r="AG220" s="132">
        <v>46067</v>
      </c>
      <c r="AH220" s="141">
        <v>1061</v>
      </c>
      <c r="AI220" s="105">
        <v>6.6900000000000001E-2</v>
      </c>
      <c r="AJ220" s="105">
        <v>3.5799999999999998E-2</v>
      </c>
      <c r="AK220" s="105">
        <v>2.7300000000000001E-2</v>
      </c>
      <c r="AL220" s="105">
        <v>2.92E-2</v>
      </c>
      <c r="AM220" s="105">
        <v>2.92E-2</v>
      </c>
      <c r="AN220" s="105">
        <v>2.92E-2</v>
      </c>
      <c r="AO220" s="105">
        <v>9.4000000000000004E-3</v>
      </c>
      <c r="AP220" s="26">
        <v>1.04E-2</v>
      </c>
      <c r="AQ220" s="26" t="s">
        <v>22</v>
      </c>
      <c r="AR220" s="26" t="s">
        <v>22</v>
      </c>
      <c r="AS220" s="26" t="s">
        <v>22</v>
      </c>
      <c r="AT220" s="104">
        <f t="shared" si="208"/>
        <v>0.53512705530642746</v>
      </c>
      <c r="AU220" s="104">
        <f t="shared" si="209"/>
        <v>0.43647234678624813</v>
      </c>
      <c r="AV220" s="248">
        <v>21</v>
      </c>
      <c r="AW220" s="105">
        <v>0.52380000000000004</v>
      </c>
      <c r="AX220" s="105">
        <v>0.28570000000000001</v>
      </c>
      <c r="AY220" s="105">
        <v>0.1429</v>
      </c>
      <c r="AZ220" s="105">
        <v>0.1905</v>
      </c>
      <c r="BA220" s="105">
        <v>0.1905</v>
      </c>
      <c r="BB220" s="105">
        <v>0.1429</v>
      </c>
      <c r="BC220" s="105">
        <v>0</v>
      </c>
      <c r="BD220" s="26">
        <v>4.7600000000000003E-2</v>
      </c>
      <c r="BE220" s="26" t="s">
        <v>22</v>
      </c>
      <c r="BF220" s="26" t="s">
        <v>22</v>
      </c>
      <c r="BG220" s="26" t="s">
        <v>22</v>
      </c>
      <c r="BH220" s="104">
        <f t="shared" si="210"/>
        <v>0.54543718976708666</v>
      </c>
      <c r="BI220" s="203">
        <f t="shared" si="211"/>
        <v>0.27281405116456658</v>
      </c>
      <c r="BK220" s="523" t="s">
        <v>26</v>
      </c>
      <c r="BL220" s="132">
        <v>46067</v>
      </c>
      <c r="BM220" s="141">
        <v>507</v>
      </c>
      <c r="BN220" s="105">
        <v>0.1321</v>
      </c>
      <c r="BO220" s="105">
        <v>7.2999999999999995E-2</v>
      </c>
      <c r="BP220" s="105">
        <v>6.1100000000000002E-2</v>
      </c>
      <c r="BQ220" s="105">
        <v>5.9200000000000003E-2</v>
      </c>
      <c r="BR220" s="105">
        <v>4.7300000000000002E-2</v>
      </c>
      <c r="BS220" s="105">
        <v>4.9299999999999997E-2</v>
      </c>
      <c r="BT220" s="105">
        <v>2.76E-2</v>
      </c>
      <c r="BU220" s="26">
        <v>2.5600000000000001E-2</v>
      </c>
      <c r="BV220" s="26" t="s">
        <v>22</v>
      </c>
      <c r="BW220" s="26" t="s">
        <v>22</v>
      </c>
      <c r="BX220" s="26" t="s">
        <v>22</v>
      </c>
      <c r="BY220" s="104">
        <f t="shared" si="212"/>
        <v>0.55261165783497346</v>
      </c>
      <c r="BZ220" s="104">
        <f t="shared" si="213"/>
        <v>0.3732021196063588</v>
      </c>
      <c r="CA220" s="248">
        <v>23</v>
      </c>
      <c r="CB220" s="105">
        <v>0.52170000000000005</v>
      </c>
      <c r="CC220" s="105">
        <v>0.43480000000000002</v>
      </c>
      <c r="CD220" s="105">
        <v>0.43480000000000002</v>
      </c>
      <c r="CE220" s="105">
        <v>0.43480000000000002</v>
      </c>
      <c r="CF220" s="105">
        <v>0.43480000000000002</v>
      </c>
      <c r="CG220" s="105">
        <v>0.43480000000000002</v>
      </c>
      <c r="CH220" s="105">
        <v>0.3478</v>
      </c>
      <c r="CI220" s="26">
        <v>0.3478</v>
      </c>
      <c r="CJ220" s="26" t="s">
        <v>22</v>
      </c>
      <c r="CK220" s="26" t="s">
        <v>22</v>
      </c>
      <c r="CL220" s="26" t="s">
        <v>22</v>
      </c>
      <c r="CM220" s="104">
        <f t="shared" si="214"/>
        <v>0.83342917385470572</v>
      </c>
      <c r="CN220" s="203">
        <f t="shared" si="215"/>
        <v>0.83342917385470572</v>
      </c>
    </row>
    <row r="221" spans="1:92" ht="14.25" customHeight="1">
      <c r="A221" s="504"/>
      <c r="B221" s="168">
        <v>46068</v>
      </c>
      <c r="C221" s="241">
        <f t="shared" ref="C221:C242" si="232">AH221+BM221</f>
        <v>2163</v>
      </c>
      <c r="D221" s="105">
        <f t="shared" si="216"/>
        <v>7.7673786407766982E-2</v>
      </c>
      <c r="E221" s="105">
        <f t="shared" si="217"/>
        <v>4.1175080906148867E-2</v>
      </c>
      <c r="F221" s="105">
        <f t="shared" si="218"/>
        <v>3.4215210355987055E-2</v>
      </c>
      <c r="G221" s="105">
        <f t="shared" si="219"/>
        <v>2.9622006472491903E-2</v>
      </c>
      <c r="H221" s="105">
        <f t="shared" si="220"/>
        <v>3.2819741100323631E-2</v>
      </c>
      <c r="I221" s="105">
        <f t="shared" si="221"/>
        <v>2.8644983818770224E-2</v>
      </c>
      <c r="J221" s="105">
        <f t="shared" si="222"/>
        <v>1.8518770226537216E-2</v>
      </c>
      <c r="K221" s="105">
        <f t="shared" si="223"/>
        <v>1.6615857605177992E-2</v>
      </c>
      <c r="L221" s="105" t="s">
        <v>22</v>
      </c>
      <c r="M221" s="105" t="s">
        <v>22</v>
      </c>
      <c r="N221" s="105" t="s">
        <v>22</v>
      </c>
      <c r="O221" s="104">
        <f t="shared" si="204"/>
        <v>0.53010266153359009</v>
      </c>
      <c r="P221" s="203">
        <f t="shared" si="205"/>
        <v>0.36878572738029763</v>
      </c>
      <c r="Q221" s="158">
        <f t="shared" ref="Q221:Q242" si="233">AV221+CA221</f>
        <v>50</v>
      </c>
      <c r="R221" s="105">
        <f t="shared" si="224"/>
        <v>0.5400060000000001</v>
      </c>
      <c r="S221" s="105">
        <f t="shared" si="225"/>
        <v>0.319996</v>
      </c>
      <c r="T221" s="105">
        <f t="shared" si="226"/>
        <v>0.25996600000000003</v>
      </c>
      <c r="U221" s="105">
        <f t="shared" si="227"/>
        <v>0.19998800000000003</v>
      </c>
      <c r="V221" s="105">
        <f t="shared" si="228"/>
        <v>0.25996600000000003</v>
      </c>
      <c r="W221" s="105">
        <f t="shared" si="229"/>
        <v>0.22002200000000002</v>
      </c>
      <c r="X221" s="105">
        <f t="shared" si="230"/>
        <v>0.17997800000000003</v>
      </c>
      <c r="Y221" s="105">
        <f t="shared" si="231"/>
        <v>0.159968</v>
      </c>
      <c r="Z221" s="105" t="s">
        <v>22</v>
      </c>
      <c r="AA221" s="105" t="s">
        <v>22</v>
      </c>
      <c r="AB221" s="105" t="s">
        <v>22</v>
      </c>
      <c r="AC221" s="104">
        <f t="shared" si="206"/>
        <v>0.59257860097850756</v>
      </c>
      <c r="AD221" s="203">
        <f t="shared" si="207"/>
        <v>0.4074436209968037</v>
      </c>
      <c r="AE221" s="1"/>
      <c r="AF221" s="504"/>
      <c r="AG221" s="132">
        <v>46068</v>
      </c>
      <c r="AH221" s="141">
        <v>1372</v>
      </c>
      <c r="AI221" s="105">
        <v>6.7799999999999999E-2</v>
      </c>
      <c r="AJ221" s="105">
        <v>3.4299999999999997E-2</v>
      </c>
      <c r="AK221" s="105">
        <v>2.9899999999999999E-2</v>
      </c>
      <c r="AL221" s="105">
        <v>2.41E-2</v>
      </c>
      <c r="AM221" s="105">
        <v>2.7699999999999999E-2</v>
      </c>
      <c r="AN221" s="105">
        <v>2.5499999999999998E-2</v>
      </c>
      <c r="AO221" s="105">
        <v>1.6799999999999999E-2</v>
      </c>
      <c r="AP221" s="26">
        <v>1.38E-2</v>
      </c>
      <c r="AQ221" s="26" t="s">
        <v>22</v>
      </c>
      <c r="AR221" s="26" t="s">
        <v>22</v>
      </c>
      <c r="AS221" s="26" t="s">
        <v>22</v>
      </c>
      <c r="AT221" s="104">
        <f t="shared" si="208"/>
        <v>0.50589970501474923</v>
      </c>
      <c r="AU221" s="104">
        <f t="shared" si="209"/>
        <v>0.37610619469026546</v>
      </c>
      <c r="AV221" s="248">
        <v>27</v>
      </c>
      <c r="AW221" s="105">
        <v>0.55559999999999998</v>
      </c>
      <c r="AX221" s="105">
        <v>0.22220000000000001</v>
      </c>
      <c r="AY221" s="105">
        <v>0.22220000000000001</v>
      </c>
      <c r="AZ221" s="105">
        <v>0.14810000000000001</v>
      </c>
      <c r="BA221" s="105">
        <v>0.22220000000000001</v>
      </c>
      <c r="BB221" s="105">
        <v>0.1852</v>
      </c>
      <c r="BC221" s="105">
        <v>0.14810000000000001</v>
      </c>
      <c r="BD221" s="26">
        <v>0.14810000000000001</v>
      </c>
      <c r="BE221" s="26" t="s">
        <v>22</v>
      </c>
      <c r="BF221" s="26" t="s">
        <v>22</v>
      </c>
      <c r="BG221" s="26" t="s">
        <v>22</v>
      </c>
      <c r="BH221" s="104">
        <f t="shared" si="210"/>
        <v>0.39992800575953924</v>
      </c>
      <c r="BI221" s="203">
        <f t="shared" si="211"/>
        <v>0.33333333333333337</v>
      </c>
      <c r="BK221" s="504"/>
      <c r="BL221" s="132">
        <v>46068</v>
      </c>
      <c r="BM221" s="141">
        <v>791</v>
      </c>
      <c r="BN221" s="105">
        <v>9.4799999999999995E-2</v>
      </c>
      <c r="BO221" s="105">
        <v>5.3100000000000001E-2</v>
      </c>
      <c r="BP221" s="105">
        <v>4.1700000000000001E-2</v>
      </c>
      <c r="BQ221" s="105">
        <v>3.9199999999999999E-2</v>
      </c>
      <c r="BR221" s="105">
        <v>4.1700000000000001E-2</v>
      </c>
      <c r="BS221" s="105">
        <v>3.4099999999999998E-2</v>
      </c>
      <c r="BT221" s="105">
        <v>2.1499999999999998E-2</v>
      </c>
      <c r="BU221" s="26">
        <v>2.1499999999999998E-2</v>
      </c>
      <c r="BV221" s="26" t="s">
        <v>22</v>
      </c>
      <c r="BW221" s="26" t="s">
        <v>22</v>
      </c>
      <c r="BX221" s="26" t="s">
        <v>22</v>
      </c>
      <c r="BY221" s="104">
        <f t="shared" si="212"/>
        <v>0.560126582278481</v>
      </c>
      <c r="BZ221" s="104">
        <f t="shared" si="213"/>
        <v>0.35970464135021096</v>
      </c>
      <c r="CA221" s="248">
        <v>23</v>
      </c>
      <c r="CB221" s="105">
        <v>0.52170000000000005</v>
      </c>
      <c r="CC221" s="105">
        <v>0.43480000000000002</v>
      </c>
      <c r="CD221" s="105">
        <v>0.30430000000000001</v>
      </c>
      <c r="CE221" s="105">
        <v>0.26090000000000002</v>
      </c>
      <c r="CF221" s="105">
        <v>0.30430000000000001</v>
      </c>
      <c r="CG221" s="105">
        <v>0.26090000000000002</v>
      </c>
      <c r="CH221" s="105">
        <v>0.21740000000000001</v>
      </c>
      <c r="CI221" s="26">
        <v>0.1739</v>
      </c>
      <c r="CJ221" s="26" t="s">
        <v>22</v>
      </c>
      <c r="CK221" s="26" t="s">
        <v>22</v>
      </c>
      <c r="CL221" s="26" t="s">
        <v>22</v>
      </c>
      <c r="CM221" s="104">
        <f t="shared" si="214"/>
        <v>0.83342917385470572</v>
      </c>
      <c r="CN221" s="203">
        <f t="shared" si="215"/>
        <v>0.50009584052137246</v>
      </c>
    </row>
    <row r="222" spans="1:92" ht="14.25" customHeight="1">
      <c r="A222" s="504"/>
      <c r="B222" s="168">
        <v>46069</v>
      </c>
      <c r="C222" s="241">
        <f t="shared" si="232"/>
        <v>2225</v>
      </c>
      <c r="D222" s="105">
        <f t="shared" si="216"/>
        <v>6.1098471910112355E-2</v>
      </c>
      <c r="E222" s="105">
        <f t="shared" si="217"/>
        <v>3.6857078651685395E-2</v>
      </c>
      <c r="F222" s="105">
        <f t="shared" si="218"/>
        <v>3.3224179775280901E-2</v>
      </c>
      <c r="G222" s="105">
        <f t="shared" si="219"/>
        <v>2.6094696629213484E-2</v>
      </c>
      <c r="H222" s="105">
        <f t="shared" si="220"/>
        <v>2.6546112359550563E-2</v>
      </c>
      <c r="I222" s="105">
        <f t="shared" si="221"/>
        <v>2.6531370786516854E-2</v>
      </c>
      <c r="J222" s="105">
        <f t="shared" si="222"/>
        <v>1.4799056179775281E-2</v>
      </c>
      <c r="K222" s="105">
        <f t="shared" si="223"/>
        <v>8.5247640449438184E-3</v>
      </c>
      <c r="L222" s="105" t="s">
        <v>22</v>
      </c>
      <c r="M222" s="105" t="s">
        <v>22</v>
      </c>
      <c r="N222" s="105" t="s">
        <v>22</v>
      </c>
      <c r="O222" s="104">
        <f t="shared" si="204"/>
        <v>0.60324059668643226</v>
      </c>
      <c r="P222" s="203">
        <f t="shared" si="205"/>
        <v>0.43423951462402566</v>
      </c>
      <c r="Q222" s="158">
        <f t="shared" si="233"/>
        <v>45</v>
      </c>
      <c r="R222" s="105">
        <f t="shared" si="224"/>
        <v>0.44443555555555558</v>
      </c>
      <c r="S222" s="105">
        <f t="shared" si="225"/>
        <v>0.42225555555555555</v>
      </c>
      <c r="T222" s="105">
        <f t="shared" si="226"/>
        <v>0.31111999999999995</v>
      </c>
      <c r="U222" s="105">
        <f t="shared" si="227"/>
        <v>0.31111999999999995</v>
      </c>
      <c r="V222" s="105">
        <f t="shared" si="228"/>
        <v>0.31114888888888886</v>
      </c>
      <c r="W222" s="105">
        <f t="shared" si="229"/>
        <v>0.33335777777777775</v>
      </c>
      <c r="X222" s="105">
        <f t="shared" si="230"/>
        <v>0.22222888888888886</v>
      </c>
      <c r="Y222" s="105">
        <f t="shared" si="231"/>
        <v>0.17777555555555555</v>
      </c>
      <c r="Z222" s="105" t="s">
        <v>22</v>
      </c>
      <c r="AA222" s="105" t="s">
        <v>22</v>
      </c>
      <c r="AB222" s="105" t="s">
        <v>22</v>
      </c>
      <c r="AC222" s="104">
        <f t="shared" si="206"/>
        <v>0.95009400188003756</v>
      </c>
      <c r="AD222" s="203">
        <f t="shared" si="207"/>
        <v>0.75007000140002789</v>
      </c>
      <c r="AE222" s="1"/>
      <c r="AF222" s="504"/>
      <c r="AG222" s="132">
        <v>46069</v>
      </c>
      <c r="AH222" s="141">
        <v>1388</v>
      </c>
      <c r="AI222" s="105">
        <v>5.7599999999999998E-2</v>
      </c>
      <c r="AJ222" s="105">
        <v>3.4599999999999999E-2</v>
      </c>
      <c r="AK222" s="105">
        <v>2.9499999999999998E-2</v>
      </c>
      <c r="AL222" s="105">
        <v>2.3800000000000002E-2</v>
      </c>
      <c r="AM222" s="105">
        <v>2.3800000000000002E-2</v>
      </c>
      <c r="AN222" s="105">
        <v>2.4500000000000001E-2</v>
      </c>
      <c r="AO222" s="105">
        <v>1.5100000000000001E-2</v>
      </c>
      <c r="AP222" s="26">
        <v>8.6E-3</v>
      </c>
      <c r="AQ222" s="26" t="s">
        <v>22</v>
      </c>
      <c r="AR222" s="26" t="s">
        <v>22</v>
      </c>
      <c r="AS222" s="26" t="s">
        <v>22</v>
      </c>
      <c r="AT222" s="104">
        <f t="shared" si="208"/>
        <v>0.60069444444444442</v>
      </c>
      <c r="AU222" s="104">
        <f t="shared" si="209"/>
        <v>0.42534722222222227</v>
      </c>
      <c r="AV222" s="248">
        <v>26</v>
      </c>
      <c r="AW222" s="105">
        <v>0.5</v>
      </c>
      <c r="AX222" s="105">
        <v>0.42309999999999998</v>
      </c>
      <c r="AY222" s="105">
        <v>0.30769999999999997</v>
      </c>
      <c r="AZ222" s="105">
        <v>0.30769999999999997</v>
      </c>
      <c r="BA222" s="105">
        <v>0.23080000000000001</v>
      </c>
      <c r="BB222" s="105">
        <v>0.23080000000000001</v>
      </c>
      <c r="BC222" s="105">
        <v>0.23080000000000001</v>
      </c>
      <c r="BD222" s="26">
        <v>0.1923</v>
      </c>
      <c r="BE222" s="26" t="s">
        <v>22</v>
      </c>
      <c r="BF222" s="26" t="s">
        <v>22</v>
      </c>
      <c r="BG222" s="26" t="s">
        <v>22</v>
      </c>
      <c r="BH222" s="104">
        <f t="shared" si="210"/>
        <v>0.84619999999999995</v>
      </c>
      <c r="BI222" s="203">
        <f t="shared" si="211"/>
        <v>0.46160000000000001</v>
      </c>
      <c r="BK222" s="504"/>
      <c r="BL222" s="132">
        <v>46069</v>
      </c>
      <c r="BM222" s="141">
        <v>837</v>
      </c>
      <c r="BN222" s="105">
        <v>6.6900000000000001E-2</v>
      </c>
      <c r="BO222" s="105">
        <v>4.0599999999999997E-2</v>
      </c>
      <c r="BP222" s="105">
        <v>3.9399999999999998E-2</v>
      </c>
      <c r="BQ222" s="105">
        <v>2.9899999999999999E-2</v>
      </c>
      <c r="BR222" s="105">
        <v>3.1099999999999999E-2</v>
      </c>
      <c r="BS222" s="105">
        <v>2.9899999999999999E-2</v>
      </c>
      <c r="BT222" s="105">
        <v>1.43E-2</v>
      </c>
      <c r="BU222" s="26">
        <v>8.3999999999999995E-3</v>
      </c>
      <c r="BV222" s="26" t="s">
        <v>22</v>
      </c>
      <c r="BW222" s="26" t="s">
        <v>22</v>
      </c>
      <c r="BX222" s="26" t="s">
        <v>22</v>
      </c>
      <c r="BY222" s="104">
        <f t="shared" si="212"/>
        <v>0.60687593423019426</v>
      </c>
      <c r="BZ222" s="104">
        <f t="shared" si="213"/>
        <v>0.44693572496263079</v>
      </c>
      <c r="CA222" s="248">
        <v>19</v>
      </c>
      <c r="CB222" s="105">
        <v>0.36840000000000001</v>
      </c>
      <c r="CC222" s="105">
        <v>0.42109999999999997</v>
      </c>
      <c r="CD222" s="105">
        <v>0.31580000000000003</v>
      </c>
      <c r="CE222" s="105">
        <v>0.31580000000000003</v>
      </c>
      <c r="CF222" s="105">
        <v>0.42109999999999997</v>
      </c>
      <c r="CG222" s="105">
        <v>0.47370000000000001</v>
      </c>
      <c r="CH222" s="105">
        <v>0.21049999999999999</v>
      </c>
      <c r="CI222" s="26">
        <v>0.15790000000000001</v>
      </c>
      <c r="CJ222" s="26" t="s">
        <v>22</v>
      </c>
      <c r="CK222" s="26" t="s">
        <v>22</v>
      </c>
      <c r="CL222" s="26" t="s">
        <v>22</v>
      </c>
      <c r="CM222" s="104">
        <f t="shared" si="214"/>
        <v>1.1430510314875135</v>
      </c>
      <c r="CN222" s="203">
        <f t="shared" si="215"/>
        <v>1.2858306188925082</v>
      </c>
    </row>
    <row r="223" spans="1:92" ht="14.25" customHeight="1">
      <c r="A223" s="90"/>
      <c r="B223" s="163">
        <v>46070</v>
      </c>
      <c r="C223" s="315">
        <f t="shared" si="232"/>
        <v>2518</v>
      </c>
      <c r="D223" s="105">
        <f t="shared" si="216"/>
        <v>7.7420969023034164E-2</v>
      </c>
      <c r="E223" s="105">
        <f t="shared" si="217"/>
        <v>5.3600397140587772E-2</v>
      </c>
      <c r="F223" s="105">
        <f t="shared" si="218"/>
        <v>4.1300317712470218E-2</v>
      </c>
      <c r="G223" s="105">
        <f t="shared" si="219"/>
        <v>3.534471803018268E-2</v>
      </c>
      <c r="H223" s="105">
        <f t="shared" si="220"/>
        <v>3.3731612390786335E-2</v>
      </c>
      <c r="I223" s="105">
        <f t="shared" si="221"/>
        <v>3.2535266084193805E-2</v>
      </c>
      <c r="J223" s="105">
        <f t="shared" si="222"/>
        <v>1.6663224781572675E-2</v>
      </c>
      <c r="K223" s="105">
        <f t="shared" si="223"/>
        <v>1.2329785544082605E-2</v>
      </c>
      <c r="L223" s="105" t="s">
        <v>22</v>
      </c>
      <c r="M223" s="105" t="s">
        <v>22</v>
      </c>
      <c r="N223" s="105" t="s">
        <v>22</v>
      </c>
      <c r="O223" s="104">
        <f t="shared" si="204"/>
        <v>0.69232402819242245</v>
      </c>
      <c r="P223" s="203">
        <f t="shared" si="205"/>
        <v>0.42023842499974345</v>
      </c>
      <c r="Q223" s="170">
        <f t="shared" si="233"/>
        <v>57</v>
      </c>
      <c r="R223" s="105">
        <f t="shared" si="224"/>
        <v>0.57894736842105265</v>
      </c>
      <c r="S223" s="105">
        <f t="shared" si="225"/>
        <v>0.49122807017543857</v>
      </c>
      <c r="T223" s="105">
        <f t="shared" si="226"/>
        <v>0.42105263157894735</v>
      </c>
      <c r="U223" s="105">
        <f t="shared" si="227"/>
        <v>0.38599298245614033</v>
      </c>
      <c r="V223" s="105">
        <f t="shared" si="228"/>
        <v>0.36842105263157893</v>
      </c>
      <c r="W223" s="105">
        <f t="shared" si="229"/>
        <v>0.2982456140350877</v>
      </c>
      <c r="X223" s="105">
        <f t="shared" si="230"/>
        <v>0.19298245614035087</v>
      </c>
      <c r="Y223" s="105">
        <f t="shared" si="231"/>
        <v>0.12280701754385964</v>
      </c>
      <c r="Z223" s="105" t="s">
        <v>22</v>
      </c>
      <c r="AA223" s="105" t="s">
        <v>22</v>
      </c>
      <c r="AB223" s="105" t="s">
        <v>22</v>
      </c>
      <c r="AC223" s="104">
        <f t="shared" si="206"/>
        <v>0.8484848484848484</v>
      </c>
      <c r="AD223" s="203">
        <f t="shared" si="207"/>
        <v>0.51515151515151514</v>
      </c>
      <c r="AE223" s="1"/>
      <c r="AF223" s="90"/>
      <c r="AG223" s="216">
        <v>46070</v>
      </c>
      <c r="AH223" s="25">
        <v>1632</v>
      </c>
      <c r="AI223" s="105">
        <v>6.3100000000000003E-2</v>
      </c>
      <c r="AJ223" s="105">
        <v>4.41E-2</v>
      </c>
      <c r="AK223" s="105">
        <v>3.3700000000000001E-2</v>
      </c>
      <c r="AL223" s="105">
        <v>2.8799999999999999E-2</v>
      </c>
      <c r="AM223" s="105">
        <v>3.0599999999999999E-2</v>
      </c>
      <c r="AN223" s="105">
        <v>3.0599999999999999E-2</v>
      </c>
      <c r="AO223" s="105">
        <v>1.04E-2</v>
      </c>
      <c r="AP223" s="26">
        <v>8.6E-3</v>
      </c>
      <c r="AQ223" s="26" t="s">
        <v>22</v>
      </c>
      <c r="AR223" s="26" t="s">
        <v>22</v>
      </c>
      <c r="AS223" s="26" t="s">
        <v>22</v>
      </c>
      <c r="AT223" s="104">
        <f t="shared" si="208"/>
        <v>0.6988906497622821</v>
      </c>
      <c r="AU223" s="104">
        <f t="shared" si="209"/>
        <v>0.48494453248811403</v>
      </c>
      <c r="AV223" s="196">
        <v>25</v>
      </c>
      <c r="AW223" s="105">
        <v>0.44</v>
      </c>
      <c r="AX223" s="105">
        <v>0.32</v>
      </c>
      <c r="AY223" s="105">
        <v>0.32</v>
      </c>
      <c r="AZ223" s="105">
        <v>0.36</v>
      </c>
      <c r="BA223" s="105">
        <v>0.28000000000000003</v>
      </c>
      <c r="BB223" s="105">
        <v>0.28000000000000003</v>
      </c>
      <c r="BC223" s="105">
        <v>0.12</v>
      </c>
      <c r="BD223" s="26">
        <v>0.04</v>
      </c>
      <c r="BE223" s="26" t="s">
        <v>22</v>
      </c>
      <c r="BF223" s="26" t="s">
        <v>22</v>
      </c>
      <c r="BG223" s="26" t="s">
        <v>22</v>
      </c>
      <c r="BH223" s="104">
        <f t="shared" si="210"/>
        <v>0.72727272727272729</v>
      </c>
      <c r="BI223" s="203">
        <f t="shared" si="211"/>
        <v>0.63636363636363646</v>
      </c>
      <c r="BK223" s="90"/>
      <c r="BL223" s="216">
        <v>46070</v>
      </c>
      <c r="BM223" s="25">
        <v>886</v>
      </c>
      <c r="BN223" s="105">
        <v>0.1038</v>
      </c>
      <c r="BO223" s="105">
        <v>7.1099999999999997E-2</v>
      </c>
      <c r="BP223" s="105">
        <v>5.5300000000000002E-2</v>
      </c>
      <c r="BQ223" s="105">
        <v>4.7399999999999998E-2</v>
      </c>
      <c r="BR223" s="105">
        <v>3.95E-2</v>
      </c>
      <c r="BS223" s="105">
        <v>3.61E-2</v>
      </c>
      <c r="BT223" s="105">
        <v>2.8199999999999999E-2</v>
      </c>
      <c r="BU223" s="26">
        <v>1.9199999999999998E-2</v>
      </c>
      <c r="BV223" s="26" t="s">
        <v>22</v>
      </c>
      <c r="BW223" s="26" t="s">
        <v>22</v>
      </c>
      <c r="BX223" s="26" t="s">
        <v>22</v>
      </c>
      <c r="BY223" s="104">
        <f t="shared" si="212"/>
        <v>0.68497109826589586</v>
      </c>
      <c r="BZ223" s="104">
        <f t="shared" si="213"/>
        <v>0.34778420038535646</v>
      </c>
      <c r="CA223" s="196">
        <v>32</v>
      </c>
      <c r="CB223" s="105">
        <v>0.6875</v>
      </c>
      <c r="CC223" s="105">
        <v>0.625</v>
      </c>
      <c r="CD223" s="105">
        <v>0.5</v>
      </c>
      <c r="CE223" s="105">
        <v>0.40629999999999999</v>
      </c>
      <c r="CF223" s="105">
        <v>0.4375</v>
      </c>
      <c r="CG223" s="105">
        <v>0.3125</v>
      </c>
      <c r="CH223" s="105">
        <v>0.25</v>
      </c>
      <c r="CI223" s="26">
        <v>0.1875</v>
      </c>
      <c r="CJ223" s="26" t="s">
        <v>22</v>
      </c>
      <c r="CK223" s="26" t="s">
        <v>22</v>
      </c>
      <c r="CL223" s="26" t="s">
        <v>22</v>
      </c>
      <c r="CM223" s="104">
        <f t="shared" si="214"/>
        <v>0.90909090909090906</v>
      </c>
      <c r="CN223" s="203">
        <f t="shared" si="215"/>
        <v>0.45454545454545453</v>
      </c>
    </row>
    <row r="224" spans="1:92" ht="14.25" customHeight="1">
      <c r="A224" s="565" t="s">
        <v>31</v>
      </c>
      <c r="B224" s="168">
        <v>46071</v>
      </c>
      <c r="C224" s="241">
        <f t="shared" si="232"/>
        <v>2185</v>
      </c>
      <c r="D224" s="105">
        <f t="shared" si="216"/>
        <v>8.2402608695652163E-2</v>
      </c>
      <c r="E224" s="105">
        <f t="shared" si="217"/>
        <v>5.9073684210526313E-2</v>
      </c>
      <c r="F224" s="105">
        <f t="shared" si="218"/>
        <v>4.1187459954233403E-2</v>
      </c>
      <c r="G224" s="105">
        <f t="shared" si="219"/>
        <v>3.1605171624713956E-2</v>
      </c>
      <c r="H224" s="105">
        <f t="shared" si="220"/>
        <v>3.3439771167048056E-2</v>
      </c>
      <c r="I224" s="105">
        <f t="shared" si="221"/>
        <v>2.6079176201373001E-2</v>
      </c>
      <c r="J224" s="105">
        <f t="shared" si="222"/>
        <v>1.5091395881006865E-2</v>
      </c>
      <c r="K224" s="105">
        <f t="shared" si="223"/>
        <v>1.2379862700228833E-2</v>
      </c>
      <c r="L224" s="105" t="s">
        <v>22</v>
      </c>
      <c r="M224" s="105" t="s">
        <v>22</v>
      </c>
      <c r="N224" s="105" t="s">
        <v>22</v>
      </c>
      <c r="O224" s="104">
        <f t="shared" si="204"/>
        <v>0.71689094733287539</v>
      </c>
      <c r="P224" s="203">
        <f t="shared" si="205"/>
        <v>0.31648483724216153</v>
      </c>
      <c r="Q224" s="158">
        <f t="shared" si="233"/>
        <v>62</v>
      </c>
      <c r="R224" s="105">
        <f t="shared" si="224"/>
        <v>0.64519193548387099</v>
      </c>
      <c r="S224" s="105">
        <f t="shared" si="225"/>
        <v>0.46772580645161288</v>
      </c>
      <c r="T224" s="105">
        <f t="shared" si="226"/>
        <v>0.3225854838709678</v>
      </c>
      <c r="U224" s="105">
        <f t="shared" si="227"/>
        <v>0.30642903225806456</v>
      </c>
      <c r="V224" s="105">
        <f t="shared" si="228"/>
        <v>0.33869838709677424</v>
      </c>
      <c r="W224" s="105">
        <f t="shared" si="229"/>
        <v>0.30642903225806456</v>
      </c>
      <c r="X224" s="105">
        <f t="shared" si="230"/>
        <v>0.14514032258064516</v>
      </c>
      <c r="Y224" s="105">
        <f t="shared" si="231"/>
        <v>0.1612532258064516</v>
      </c>
      <c r="Z224" s="105" t="s">
        <v>22</v>
      </c>
      <c r="AA224" s="105" t="s">
        <v>22</v>
      </c>
      <c r="AB224" s="105" t="s">
        <v>22</v>
      </c>
      <c r="AC224" s="104">
        <f t="shared" si="206"/>
        <v>0.7249405653231471</v>
      </c>
      <c r="AD224" s="203">
        <f t="shared" si="207"/>
        <v>0.47494244023408894</v>
      </c>
      <c r="AE224" s="1"/>
      <c r="AF224" s="505" t="s">
        <v>31</v>
      </c>
      <c r="AG224" s="132">
        <v>46071</v>
      </c>
      <c r="AH224" s="141">
        <v>1399</v>
      </c>
      <c r="AI224" s="105">
        <v>7.0099999999999996E-2</v>
      </c>
      <c r="AJ224" s="105">
        <v>5.0799999999999998E-2</v>
      </c>
      <c r="AK224" s="105">
        <v>0.03</v>
      </c>
      <c r="AL224" s="105">
        <v>2.7900000000000001E-2</v>
      </c>
      <c r="AM224" s="105">
        <v>2.7900000000000001E-2</v>
      </c>
      <c r="AN224" s="105">
        <v>2.5000000000000001E-2</v>
      </c>
      <c r="AO224" s="105">
        <v>1.43E-2</v>
      </c>
      <c r="AP224" s="26">
        <v>1.2200000000000001E-2</v>
      </c>
      <c r="AQ224" s="26" t="s">
        <v>22</v>
      </c>
      <c r="AR224" s="26" t="s">
        <v>22</v>
      </c>
      <c r="AS224" s="26" t="s">
        <v>22</v>
      </c>
      <c r="AT224" s="104">
        <f t="shared" si="208"/>
        <v>0.72467902995720401</v>
      </c>
      <c r="AU224" s="104">
        <f t="shared" si="209"/>
        <v>0.35663338088445085</v>
      </c>
      <c r="AV224" s="248">
        <v>35</v>
      </c>
      <c r="AW224" s="105">
        <v>0.62860000000000005</v>
      </c>
      <c r="AX224" s="105">
        <v>0.45710000000000001</v>
      </c>
      <c r="AY224" s="105">
        <v>0.28570000000000001</v>
      </c>
      <c r="AZ224" s="105">
        <v>0.28570000000000001</v>
      </c>
      <c r="BA224" s="105">
        <v>0.28570000000000001</v>
      </c>
      <c r="BB224" s="105">
        <v>0.28570000000000001</v>
      </c>
      <c r="BC224" s="105">
        <v>0.1714</v>
      </c>
      <c r="BD224" s="26">
        <v>0.1714</v>
      </c>
      <c r="BE224" s="26" t="s">
        <v>22</v>
      </c>
      <c r="BF224" s="26" t="s">
        <v>22</v>
      </c>
      <c r="BG224" s="26" t="s">
        <v>22</v>
      </c>
      <c r="BH224" s="104">
        <f t="shared" si="210"/>
        <v>0.72717149220489974</v>
      </c>
      <c r="BI224" s="203">
        <f t="shared" si="211"/>
        <v>0.45450206808781418</v>
      </c>
      <c r="BK224" s="524" t="s">
        <v>31</v>
      </c>
      <c r="BL224" s="132">
        <v>46071</v>
      </c>
      <c r="BM224" s="141">
        <v>786</v>
      </c>
      <c r="BN224" s="105">
        <v>0.1043</v>
      </c>
      <c r="BO224" s="105">
        <v>7.3800000000000004E-2</v>
      </c>
      <c r="BP224" s="105">
        <v>6.1100000000000002E-2</v>
      </c>
      <c r="BQ224" s="105">
        <v>3.8199999999999998E-2</v>
      </c>
      <c r="BR224" s="105">
        <v>4.3299999999999998E-2</v>
      </c>
      <c r="BS224" s="105">
        <v>2.8000000000000001E-2</v>
      </c>
      <c r="BT224" s="105">
        <v>1.6500000000000001E-2</v>
      </c>
      <c r="BU224" s="26">
        <v>1.2699999999999999E-2</v>
      </c>
      <c r="BV224" s="26" t="s">
        <v>22</v>
      </c>
      <c r="BW224" s="26" t="s">
        <v>22</v>
      </c>
      <c r="BX224" s="26" t="s">
        <v>22</v>
      </c>
      <c r="BY224" s="104">
        <f t="shared" si="212"/>
        <v>0.70757430488974116</v>
      </c>
      <c r="BZ224" s="104">
        <f t="shared" si="213"/>
        <v>0.26845637583892618</v>
      </c>
      <c r="CA224" s="248">
        <v>27</v>
      </c>
      <c r="CB224" s="105">
        <v>0.66669999999999996</v>
      </c>
      <c r="CC224" s="105">
        <v>0.48149999999999998</v>
      </c>
      <c r="CD224" s="105">
        <v>0.37040000000000001</v>
      </c>
      <c r="CE224" s="105">
        <v>0.33329999999999999</v>
      </c>
      <c r="CF224" s="105">
        <v>0.40739999999999998</v>
      </c>
      <c r="CG224" s="105">
        <v>0.33329999999999999</v>
      </c>
      <c r="CH224" s="105">
        <v>0.1111</v>
      </c>
      <c r="CI224" s="26">
        <v>0.14810000000000001</v>
      </c>
      <c r="CJ224" s="26" t="s">
        <v>22</v>
      </c>
      <c r="CK224" s="26" t="s">
        <v>22</v>
      </c>
      <c r="CL224" s="26" t="s">
        <v>22</v>
      </c>
      <c r="CM224" s="104">
        <f t="shared" si="214"/>
        <v>0.72221388930553476</v>
      </c>
      <c r="CN224" s="203">
        <f t="shared" si="215"/>
        <v>0.49992500374981252</v>
      </c>
    </row>
    <row r="225" spans="1:92" ht="14.25" customHeight="1">
      <c r="A225" s="506"/>
      <c r="B225" s="168">
        <v>46072</v>
      </c>
      <c r="C225" s="241">
        <f t="shared" si="232"/>
        <v>2162</v>
      </c>
      <c r="D225" s="105">
        <f t="shared" si="216"/>
        <v>8.7872109158186856E-2</v>
      </c>
      <c r="E225" s="105">
        <f t="shared" si="217"/>
        <v>5.0390518038852916E-2</v>
      </c>
      <c r="F225" s="105">
        <f t="shared" si="218"/>
        <v>4.3455272895467169E-2</v>
      </c>
      <c r="G225" s="105">
        <f t="shared" si="219"/>
        <v>3.7955226641998151E-2</v>
      </c>
      <c r="H225" s="105">
        <f t="shared" si="220"/>
        <v>3.3789084181313593E-2</v>
      </c>
      <c r="I225" s="105">
        <f t="shared" si="221"/>
        <v>3.0550601295097131E-2</v>
      </c>
      <c r="J225" s="105">
        <f t="shared" si="222"/>
        <v>1.6149121184088806E-2</v>
      </c>
      <c r="K225" s="105">
        <f t="shared" si="223"/>
        <v>9.6983811285846436E-3</v>
      </c>
      <c r="L225" s="105" t="s">
        <v>22</v>
      </c>
      <c r="M225" s="105" t="s">
        <v>22</v>
      </c>
      <c r="N225" s="105" t="s">
        <v>22</v>
      </c>
      <c r="O225" s="104">
        <f t="shared" si="204"/>
        <v>0.57345292518403312</v>
      </c>
      <c r="P225" s="203">
        <f t="shared" si="205"/>
        <v>0.34767119610273739</v>
      </c>
      <c r="Q225" s="158">
        <f t="shared" si="233"/>
        <v>55</v>
      </c>
      <c r="R225" s="105">
        <f t="shared" si="224"/>
        <v>0.58181272727272726</v>
      </c>
      <c r="S225" s="105">
        <f t="shared" si="225"/>
        <v>0.45454</v>
      </c>
      <c r="T225" s="105">
        <f t="shared" si="226"/>
        <v>0.3454527272727273</v>
      </c>
      <c r="U225" s="105">
        <f t="shared" si="227"/>
        <v>0.3818054545454545</v>
      </c>
      <c r="V225" s="105">
        <f t="shared" si="228"/>
        <v>0.30913272727272723</v>
      </c>
      <c r="W225" s="105">
        <f t="shared" si="229"/>
        <v>0.27273272727272724</v>
      </c>
      <c r="X225" s="105">
        <f t="shared" si="230"/>
        <v>0.18180727272727273</v>
      </c>
      <c r="Y225" s="105">
        <f t="shared" si="231"/>
        <v>0.10908727272727274</v>
      </c>
      <c r="Z225" s="105" t="s">
        <v>22</v>
      </c>
      <c r="AA225" s="105" t="s">
        <v>22</v>
      </c>
      <c r="AB225" s="105" t="s">
        <v>22</v>
      </c>
      <c r="AC225" s="104">
        <f t="shared" si="206"/>
        <v>0.78124794919952378</v>
      </c>
      <c r="AD225" s="203">
        <f t="shared" si="207"/>
        <v>0.4687637696603405</v>
      </c>
      <c r="AE225" s="1"/>
      <c r="AF225" s="506"/>
      <c r="AG225" s="132">
        <v>46072</v>
      </c>
      <c r="AH225" s="141">
        <v>1397</v>
      </c>
      <c r="AI225" s="105">
        <v>7.8E-2</v>
      </c>
      <c r="AJ225" s="105">
        <v>3.7900000000000003E-2</v>
      </c>
      <c r="AK225" s="105">
        <v>3.7900000000000003E-2</v>
      </c>
      <c r="AL225" s="105">
        <v>3.0099999999999998E-2</v>
      </c>
      <c r="AM225" s="105">
        <v>2.6499999999999999E-2</v>
      </c>
      <c r="AN225" s="105">
        <v>2.2200000000000001E-2</v>
      </c>
      <c r="AO225" s="105">
        <v>1.0699999999999999E-2</v>
      </c>
      <c r="AP225" s="26">
        <v>5.7000000000000002E-3</v>
      </c>
      <c r="AQ225" s="26" t="s">
        <v>22</v>
      </c>
      <c r="AR225" s="26" t="s">
        <v>22</v>
      </c>
      <c r="AS225" s="26" t="s">
        <v>22</v>
      </c>
      <c r="AT225" s="104">
        <f t="shared" si="208"/>
        <v>0.48589743589743595</v>
      </c>
      <c r="AU225" s="104">
        <f t="shared" si="209"/>
        <v>0.2846153846153846</v>
      </c>
      <c r="AV225" s="248">
        <v>29</v>
      </c>
      <c r="AW225" s="105">
        <v>0.55169999999999997</v>
      </c>
      <c r="AX225" s="105">
        <v>0.44829999999999998</v>
      </c>
      <c r="AY225" s="105">
        <v>0.37930000000000003</v>
      </c>
      <c r="AZ225" s="105">
        <v>0.37930000000000003</v>
      </c>
      <c r="BA225" s="105">
        <v>0.27589999999999998</v>
      </c>
      <c r="BB225" s="105">
        <v>0.27589999999999998</v>
      </c>
      <c r="BC225" s="105">
        <v>0.1724</v>
      </c>
      <c r="BD225" s="26">
        <v>6.9000000000000006E-2</v>
      </c>
      <c r="BE225" s="26" t="s">
        <v>22</v>
      </c>
      <c r="BF225" s="26" t="s">
        <v>22</v>
      </c>
      <c r="BG225" s="26" t="s">
        <v>22</v>
      </c>
      <c r="BH225" s="104">
        <f t="shared" si="210"/>
        <v>0.81257930034439008</v>
      </c>
      <c r="BI225" s="203">
        <f t="shared" si="211"/>
        <v>0.50009062896501721</v>
      </c>
      <c r="BK225" s="506"/>
      <c r="BL225" s="132">
        <v>46072</v>
      </c>
      <c r="BM225" s="141">
        <v>765</v>
      </c>
      <c r="BN225" s="105">
        <v>0.10589999999999999</v>
      </c>
      <c r="BO225" s="105">
        <v>7.3200000000000001E-2</v>
      </c>
      <c r="BP225" s="105">
        <v>5.3600000000000002E-2</v>
      </c>
      <c r="BQ225" s="105">
        <v>5.2299999999999999E-2</v>
      </c>
      <c r="BR225" s="105">
        <v>4.7100000000000003E-2</v>
      </c>
      <c r="BS225" s="105">
        <v>4.58E-2</v>
      </c>
      <c r="BT225" s="105">
        <v>2.6100000000000002E-2</v>
      </c>
      <c r="BU225" s="26">
        <v>1.7000000000000001E-2</v>
      </c>
      <c r="BV225" s="26" t="s">
        <v>22</v>
      </c>
      <c r="BW225" s="26" t="s">
        <v>22</v>
      </c>
      <c r="BX225" s="26" t="s">
        <v>22</v>
      </c>
      <c r="BY225" s="104">
        <f t="shared" si="212"/>
        <v>0.69121813031161483</v>
      </c>
      <c r="BZ225" s="104">
        <f t="shared" si="213"/>
        <v>0.43248347497639283</v>
      </c>
      <c r="CA225" s="248">
        <v>26</v>
      </c>
      <c r="CB225" s="105">
        <v>0.61539999999999995</v>
      </c>
      <c r="CC225" s="105">
        <v>0.46150000000000002</v>
      </c>
      <c r="CD225" s="105">
        <v>0.30769999999999997</v>
      </c>
      <c r="CE225" s="105">
        <v>0.3846</v>
      </c>
      <c r="CF225" s="105">
        <v>0.34620000000000001</v>
      </c>
      <c r="CG225" s="105">
        <v>0.26919999999999999</v>
      </c>
      <c r="CH225" s="105">
        <v>0.1923</v>
      </c>
      <c r="CI225" s="26">
        <v>0.15379999999999999</v>
      </c>
      <c r="CJ225" s="26" t="s">
        <v>22</v>
      </c>
      <c r="CK225" s="26" t="s">
        <v>22</v>
      </c>
      <c r="CL225" s="26" t="s">
        <v>22</v>
      </c>
      <c r="CM225" s="104">
        <f t="shared" si="214"/>
        <v>0.74991875203119929</v>
      </c>
      <c r="CN225" s="203">
        <f t="shared" si="215"/>
        <v>0.43743906402339944</v>
      </c>
    </row>
    <row r="226" spans="1:92" ht="14.25" customHeight="1">
      <c r="A226" s="506"/>
      <c r="B226" s="168">
        <v>46073</v>
      </c>
      <c r="C226" s="241">
        <f t="shared" si="232"/>
        <v>2240</v>
      </c>
      <c r="D226" s="105">
        <f t="shared" ref="D226:J232" si="234">($AH226*AI226+$BM226*BN226)/$C226</f>
        <v>8.1665357142857151E-2</v>
      </c>
      <c r="E226" s="105">
        <f t="shared" si="234"/>
        <v>5.0856428571428573E-2</v>
      </c>
      <c r="F226" s="105">
        <f t="shared" si="234"/>
        <v>4.0166428571428575E-2</v>
      </c>
      <c r="G226" s="105">
        <f t="shared" si="234"/>
        <v>3.5696785714285716E-2</v>
      </c>
      <c r="H226" s="105">
        <f t="shared" si="234"/>
        <v>2.7229285714285713E-2</v>
      </c>
      <c r="I226" s="105">
        <f t="shared" si="234"/>
        <v>2.631E-2</v>
      </c>
      <c r="J226" s="105">
        <f t="shared" si="234"/>
        <v>1.6500357142857143E-2</v>
      </c>
      <c r="K226" s="105" t="s">
        <v>22</v>
      </c>
      <c r="L226" s="105" t="s">
        <v>22</v>
      </c>
      <c r="M226" s="105" t="s">
        <v>22</v>
      </c>
      <c r="N226" s="105" t="s">
        <v>22</v>
      </c>
      <c r="O226" s="104">
        <f t="shared" si="204"/>
        <v>0.62274176408076509</v>
      </c>
      <c r="P226" s="203">
        <f t="shared" si="205"/>
        <v>0.32216843127222156</v>
      </c>
      <c r="Q226" s="158">
        <f t="shared" si="233"/>
        <v>60</v>
      </c>
      <c r="R226" s="105">
        <f t="shared" ref="R226:X232" si="235">($AV226*AW226+$CA226*CB226)/$Q226</f>
        <v>0.56667500000000004</v>
      </c>
      <c r="S226" s="105">
        <f t="shared" si="235"/>
        <v>0.48335</v>
      </c>
      <c r="T226" s="105">
        <f t="shared" si="235"/>
        <v>0.40002500000000002</v>
      </c>
      <c r="U226" s="105">
        <f t="shared" si="235"/>
        <v>0.3333416666666667</v>
      </c>
      <c r="V226" s="105">
        <f t="shared" si="235"/>
        <v>0.26665</v>
      </c>
      <c r="W226" s="105">
        <f t="shared" si="235"/>
        <v>0.26665</v>
      </c>
      <c r="X226" s="105">
        <f t="shared" si="235"/>
        <v>0.18335833333333335</v>
      </c>
      <c r="Y226" s="105" t="s">
        <v>22</v>
      </c>
      <c r="Z226" s="105" t="s">
        <v>22</v>
      </c>
      <c r="AA226" s="105" t="s">
        <v>22</v>
      </c>
      <c r="AB226" s="105" t="s">
        <v>22</v>
      </c>
      <c r="AC226" s="104">
        <f t="shared" si="206"/>
        <v>0.85295804473463621</v>
      </c>
      <c r="AD226" s="203">
        <f t="shared" si="207"/>
        <v>0.47055190364847571</v>
      </c>
      <c r="AE226" s="1"/>
      <c r="AF226" s="506"/>
      <c r="AG226" s="132">
        <v>46073</v>
      </c>
      <c r="AH226" s="141">
        <v>1528</v>
      </c>
      <c r="AI226" s="105">
        <v>7.0000000000000007E-2</v>
      </c>
      <c r="AJ226" s="105">
        <v>4.3799999999999999E-2</v>
      </c>
      <c r="AK226" s="105">
        <v>3.4000000000000002E-2</v>
      </c>
      <c r="AL226" s="105">
        <v>2.81E-2</v>
      </c>
      <c r="AM226" s="105">
        <v>2.0299999999999999E-2</v>
      </c>
      <c r="AN226" s="105">
        <v>1.83E-2</v>
      </c>
      <c r="AO226" s="105">
        <v>1.24E-2</v>
      </c>
      <c r="AP226" s="26" t="s">
        <v>22</v>
      </c>
      <c r="AQ226" s="26" t="s">
        <v>22</v>
      </c>
      <c r="AR226" s="26" t="s">
        <v>22</v>
      </c>
      <c r="AS226" s="26" t="s">
        <v>22</v>
      </c>
      <c r="AT226" s="104">
        <f t="shared" si="208"/>
        <v>0.62571428571428567</v>
      </c>
      <c r="AU226" s="104">
        <f t="shared" si="209"/>
        <v>0.2614285714285714</v>
      </c>
      <c r="AV226" s="248">
        <v>35</v>
      </c>
      <c r="AW226" s="105">
        <v>0.51429999999999998</v>
      </c>
      <c r="AX226" s="105">
        <v>0.42859999999999998</v>
      </c>
      <c r="AY226" s="105">
        <v>0.34289999999999998</v>
      </c>
      <c r="AZ226" s="105">
        <v>0.31430000000000002</v>
      </c>
      <c r="BA226" s="105">
        <v>0.1714</v>
      </c>
      <c r="BB226" s="105">
        <v>0.1714</v>
      </c>
      <c r="BC226" s="105">
        <v>0.1429</v>
      </c>
      <c r="BD226" s="26" t="s">
        <v>22</v>
      </c>
      <c r="BE226" s="26" t="s">
        <v>22</v>
      </c>
      <c r="BF226" s="26" t="s">
        <v>22</v>
      </c>
      <c r="BG226" s="26" t="s">
        <v>22</v>
      </c>
      <c r="BH226" s="104">
        <f t="shared" si="210"/>
        <v>0.83336573984055995</v>
      </c>
      <c r="BI226" s="203">
        <f t="shared" si="211"/>
        <v>0.33326852031888005</v>
      </c>
      <c r="BK226" s="506"/>
      <c r="BL226" s="132">
        <v>46073</v>
      </c>
      <c r="BM226" s="141">
        <v>712</v>
      </c>
      <c r="BN226" s="105">
        <v>0.1067</v>
      </c>
      <c r="BO226" s="105">
        <v>6.6000000000000003E-2</v>
      </c>
      <c r="BP226" s="105">
        <v>5.3400000000000003E-2</v>
      </c>
      <c r="BQ226" s="105">
        <v>5.1999999999999998E-2</v>
      </c>
      <c r="BR226" s="105">
        <v>4.2099999999999999E-2</v>
      </c>
      <c r="BS226" s="105">
        <v>4.3499999999999997E-2</v>
      </c>
      <c r="BT226" s="105">
        <v>2.53E-2</v>
      </c>
      <c r="BU226" s="26" t="s">
        <v>22</v>
      </c>
      <c r="BV226" s="26" t="s">
        <v>22</v>
      </c>
      <c r="BW226" s="26" t="s">
        <v>22</v>
      </c>
      <c r="BX226" s="26" t="s">
        <v>22</v>
      </c>
      <c r="BY226" s="104">
        <f t="shared" si="212"/>
        <v>0.61855670103092786</v>
      </c>
      <c r="BZ226" s="104">
        <f t="shared" si="213"/>
        <v>0.40768509840674783</v>
      </c>
      <c r="CA226" s="248">
        <v>25</v>
      </c>
      <c r="CB226" s="105">
        <v>0.64</v>
      </c>
      <c r="CC226" s="105">
        <v>0.56000000000000005</v>
      </c>
      <c r="CD226" s="105">
        <v>0.48</v>
      </c>
      <c r="CE226" s="105">
        <v>0.36</v>
      </c>
      <c r="CF226" s="105">
        <v>0.4</v>
      </c>
      <c r="CG226" s="105">
        <v>0.4</v>
      </c>
      <c r="CH226" s="105">
        <v>0.24</v>
      </c>
      <c r="CI226" s="26" t="s">
        <v>22</v>
      </c>
      <c r="CJ226" s="26" t="s">
        <v>22</v>
      </c>
      <c r="CK226" s="26" t="s">
        <v>22</v>
      </c>
      <c r="CL226" s="26" t="s">
        <v>22</v>
      </c>
      <c r="CM226" s="104">
        <f t="shared" si="214"/>
        <v>0.87500000000000011</v>
      </c>
      <c r="CN226" s="203">
        <f t="shared" si="215"/>
        <v>0.625</v>
      </c>
    </row>
    <row r="227" spans="1:92" ht="14.25" customHeight="1">
      <c r="A227" s="506"/>
      <c r="B227" s="168">
        <v>46074</v>
      </c>
      <c r="C227" s="241">
        <f t="shared" si="232"/>
        <v>1999</v>
      </c>
      <c r="D227" s="105">
        <f t="shared" si="234"/>
        <v>9.3519109554777394E-2</v>
      </c>
      <c r="E227" s="105">
        <f t="shared" si="234"/>
        <v>5.4496198099049528E-2</v>
      </c>
      <c r="F227" s="105">
        <f t="shared" si="234"/>
        <v>3.6504852426213111E-2</v>
      </c>
      <c r="G227" s="105">
        <f t="shared" si="234"/>
        <v>3.4483541770885438E-2</v>
      </c>
      <c r="H227" s="105">
        <f t="shared" si="234"/>
        <v>3.2007453726863429E-2</v>
      </c>
      <c r="I227" s="105">
        <f t="shared" si="234"/>
        <v>2.3533966983491746E-2</v>
      </c>
      <c r="J227" s="105">
        <f t="shared" si="234"/>
        <v>1.6512306153076538E-2</v>
      </c>
      <c r="K227" s="105" t="s">
        <v>22</v>
      </c>
      <c r="L227" s="105" t="s">
        <v>22</v>
      </c>
      <c r="M227" s="105" t="s">
        <v>22</v>
      </c>
      <c r="N227" s="105" t="s">
        <v>22</v>
      </c>
      <c r="O227" s="104">
        <f t="shared" si="204"/>
        <v>0.58272794040162679</v>
      </c>
      <c r="P227" s="203">
        <f t="shared" si="205"/>
        <v>0.25164874960349237</v>
      </c>
      <c r="Q227" s="158">
        <f t="shared" si="233"/>
        <v>43</v>
      </c>
      <c r="R227" s="105">
        <f t="shared" si="235"/>
        <v>0.790706976744186</v>
      </c>
      <c r="S227" s="105">
        <f t="shared" si="235"/>
        <v>0.48835348837209308</v>
      </c>
      <c r="T227" s="105">
        <f t="shared" si="235"/>
        <v>0.44186511627906977</v>
      </c>
      <c r="U227" s="105">
        <f t="shared" si="235"/>
        <v>0.34882325581395346</v>
      </c>
      <c r="V227" s="105">
        <f t="shared" si="235"/>
        <v>0.37207906976744187</v>
      </c>
      <c r="W227" s="105">
        <f t="shared" si="235"/>
        <v>0.27908372093023259</v>
      </c>
      <c r="X227" s="105">
        <f t="shared" si="235"/>
        <v>0.18606046511627908</v>
      </c>
      <c r="Y227" s="105" t="s">
        <v>22</v>
      </c>
      <c r="Z227" s="105" t="s">
        <v>22</v>
      </c>
      <c r="AA227" s="105" t="s">
        <v>22</v>
      </c>
      <c r="AB227" s="105" t="s">
        <v>22</v>
      </c>
      <c r="AC227" s="104">
        <f t="shared" si="206"/>
        <v>0.61761626333807851</v>
      </c>
      <c r="AD227" s="203">
        <f t="shared" si="207"/>
        <v>0.35295467112151629</v>
      </c>
      <c r="AE227" s="1"/>
      <c r="AF227" s="506"/>
      <c r="AG227" s="132">
        <v>46074</v>
      </c>
      <c r="AH227" s="141">
        <v>1365</v>
      </c>
      <c r="AI227" s="105">
        <v>7.6899999999999996E-2</v>
      </c>
      <c r="AJ227" s="105">
        <v>5.0500000000000003E-2</v>
      </c>
      <c r="AK227" s="105">
        <v>3.6600000000000001E-2</v>
      </c>
      <c r="AL227" s="105">
        <v>3.2199999999999999E-2</v>
      </c>
      <c r="AM227" s="105">
        <v>3.15E-2</v>
      </c>
      <c r="AN227" s="105">
        <v>2.4199999999999999E-2</v>
      </c>
      <c r="AO227" s="105">
        <v>1.61E-2</v>
      </c>
      <c r="AP227" s="26" t="s">
        <v>22</v>
      </c>
      <c r="AQ227" s="26" t="s">
        <v>22</v>
      </c>
      <c r="AR227" s="26" t="s">
        <v>22</v>
      </c>
      <c r="AS227" s="26" t="s">
        <v>22</v>
      </c>
      <c r="AT227" s="104">
        <f t="shared" si="208"/>
        <v>0.65669700910273088</v>
      </c>
      <c r="AU227" s="104">
        <f t="shared" si="209"/>
        <v>0.31469440832249673</v>
      </c>
      <c r="AV227" s="248">
        <v>25</v>
      </c>
      <c r="AW227" s="105">
        <v>0.8</v>
      </c>
      <c r="AX227" s="105">
        <v>0.52</v>
      </c>
      <c r="AY227" s="105">
        <v>0.48</v>
      </c>
      <c r="AZ227" s="105">
        <v>0.36</v>
      </c>
      <c r="BA227" s="105">
        <v>0.4</v>
      </c>
      <c r="BB227" s="105">
        <v>0.36</v>
      </c>
      <c r="BC227" s="105">
        <v>0.2</v>
      </c>
      <c r="BD227" s="26" t="s">
        <v>22</v>
      </c>
      <c r="BE227" s="26" t="s">
        <v>22</v>
      </c>
      <c r="BF227" s="26" t="s">
        <v>22</v>
      </c>
      <c r="BG227" s="26" t="s">
        <v>22</v>
      </c>
      <c r="BH227" s="104">
        <f t="shared" si="210"/>
        <v>0.65</v>
      </c>
      <c r="BI227" s="203">
        <f t="shared" si="211"/>
        <v>0.44999999999999996</v>
      </c>
      <c r="BK227" s="506"/>
      <c r="BL227" s="132">
        <v>46074</v>
      </c>
      <c r="BM227" s="141">
        <v>634</v>
      </c>
      <c r="BN227" s="105">
        <v>0.1293</v>
      </c>
      <c r="BO227" s="105">
        <v>6.3100000000000003E-2</v>
      </c>
      <c r="BP227" s="105">
        <v>3.6299999999999999E-2</v>
      </c>
      <c r="BQ227" s="105">
        <v>3.9399999999999998E-2</v>
      </c>
      <c r="BR227" s="105">
        <v>3.3099999999999997E-2</v>
      </c>
      <c r="BS227" s="105">
        <v>2.2100000000000002E-2</v>
      </c>
      <c r="BT227" s="105">
        <v>1.7399999999999999E-2</v>
      </c>
      <c r="BU227" s="26" t="s">
        <v>22</v>
      </c>
      <c r="BV227" s="26" t="s">
        <v>22</v>
      </c>
      <c r="BW227" s="26" t="s">
        <v>22</v>
      </c>
      <c r="BX227" s="26" t="s">
        <v>22</v>
      </c>
      <c r="BY227" s="104">
        <f t="shared" si="212"/>
        <v>0.48801237432327921</v>
      </c>
      <c r="BZ227" s="104">
        <f t="shared" si="213"/>
        <v>0.17092034029389019</v>
      </c>
      <c r="CA227" s="248">
        <v>18</v>
      </c>
      <c r="CB227" s="105">
        <v>0.77780000000000005</v>
      </c>
      <c r="CC227" s="105">
        <v>0.44440000000000002</v>
      </c>
      <c r="CD227" s="105">
        <v>0.38890000000000002</v>
      </c>
      <c r="CE227" s="105">
        <v>0.33329999999999999</v>
      </c>
      <c r="CF227" s="105">
        <v>0.33329999999999999</v>
      </c>
      <c r="CG227" s="105">
        <v>0.16669999999999999</v>
      </c>
      <c r="CH227" s="105">
        <v>0.16669999999999999</v>
      </c>
      <c r="CI227" s="26" t="s">
        <v>22</v>
      </c>
      <c r="CJ227" s="26" t="s">
        <v>22</v>
      </c>
      <c r="CK227" s="26" t="s">
        <v>22</v>
      </c>
      <c r="CL227" s="26" t="s">
        <v>22</v>
      </c>
      <c r="CM227" s="104">
        <f t="shared" si="214"/>
        <v>0.57135510413988166</v>
      </c>
      <c r="CN227" s="203">
        <f t="shared" si="215"/>
        <v>0.21432244793005911</v>
      </c>
    </row>
    <row r="228" spans="1:92" ht="14.25" customHeight="1">
      <c r="A228" s="506"/>
      <c r="B228" s="168">
        <v>46075</v>
      </c>
      <c r="C228" s="241">
        <f t="shared" si="232"/>
        <v>1946</v>
      </c>
      <c r="D228" s="105">
        <f t="shared" si="234"/>
        <v>7.6604213771839666E-2</v>
      </c>
      <c r="E228" s="105">
        <f t="shared" si="234"/>
        <v>4.8306474820143885E-2</v>
      </c>
      <c r="F228" s="105">
        <f t="shared" si="234"/>
        <v>3.5940493319630014E-2</v>
      </c>
      <c r="G228" s="105">
        <f t="shared" si="234"/>
        <v>3.2397327852004117E-2</v>
      </c>
      <c r="H228" s="105">
        <f t="shared" si="234"/>
        <v>2.8234224049331961E-2</v>
      </c>
      <c r="I228" s="105">
        <f t="shared" si="234"/>
        <v>2.413535457348407E-2</v>
      </c>
      <c r="J228" s="105">
        <f t="shared" si="234"/>
        <v>1.4371942446043165E-2</v>
      </c>
      <c r="K228" s="105" t="s">
        <v>22</v>
      </c>
      <c r="L228" s="105" t="s">
        <v>22</v>
      </c>
      <c r="M228" s="105" t="s">
        <v>22</v>
      </c>
      <c r="N228" s="105" t="s">
        <v>22</v>
      </c>
      <c r="O228" s="104">
        <f t="shared" si="204"/>
        <v>0.63059814129835423</v>
      </c>
      <c r="P228" s="203">
        <f t="shared" si="205"/>
        <v>0.31506562609427136</v>
      </c>
      <c r="Q228" s="158">
        <f t="shared" si="233"/>
        <v>42</v>
      </c>
      <c r="R228" s="105">
        <f t="shared" si="235"/>
        <v>0.61907142857142849</v>
      </c>
      <c r="S228" s="105">
        <f t="shared" si="235"/>
        <v>0.47619523809523806</v>
      </c>
      <c r="T228" s="105">
        <f t="shared" si="235"/>
        <v>0.47616666666666674</v>
      </c>
      <c r="U228" s="105">
        <f t="shared" si="235"/>
        <v>0.45238571428571428</v>
      </c>
      <c r="V228" s="105">
        <f t="shared" si="235"/>
        <v>0.40474285714285713</v>
      </c>
      <c r="W228" s="105">
        <f t="shared" si="235"/>
        <v>0.35715238095238094</v>
      </c>
      <c r="X228" s="105">
        <f t="shared" si="235"/>
        <v>0.21430000000000002</v>
      </c>
      <c r="Y228" s="105" t="s">
        <v>22</v>
      </c>
      <c r="Z228" s="105" t="s">
        <v>22</v>
      </c>
      <c r="AA228" s="105" t="s">
        <v>22</v>
      </c>
      <c r="AB228" s="105" t="s">
        <v>22</v>
      </c>
      <c r="AC228" s="104">
        <f t="shared" si="206"/>
        <v>0.76920887658166992</v>
      </c>
      <c r="AD228" s="203">
        <f t="shared" si="207"/>
        <v>0.57691627245105959</v>
      </c>
      <c r="AE228" s="1"/>
      <c r="AF228" s="506"/>
      <c r="AG228" s="132">
        <v>46075</v>
      </c>
      <c r="AH228" s="141">
        <v>1350</v>
      </c>
      <c r="AI228" s="105">
        <v>5.9299999999999999E-2</v>
      </c>
      <c r="AJ228" s="105">
        <v>3.4799999999999998E-2</v>
      </c>
      <c r="AK228" s="105">
        <v>2.81E-2</v>
      </c>
      <c r="AL228" s="105">
        <v>2.52E-2</v>
      </c>
      <c r="AM228" s="105">
        <v>2.07E-2</v>
      </c>
      <c r="AN228" s="105">
        <v>1.8499999999999999E-2</v>
      </c>
      <c r="AO228" s="105">
        <v>1.3299999999999999E-2</v>
      </c>
      <c r="AP228" s="26" t="s">
        <v>22</v>
      </c>
      <c r="AQ228" s="26" t="s">
        <v>22</v>
      </c>
      <c r="AR228" s="26" t="s">
        <v>22</v>
      </c>
      <c r="AS228" s="26" t="s">
        <v>22</v>
      </c>
      <c r="AT228" s="104">
        <f t="shared" si="208"/>
        <v>0.58684654300168626</v>
      </c>
      <c r="AU228" s="104">
        <f t="shared" si="209"/>
        <v>0.31197301854974702</v>
      </c>
      <c r="AV228" s="248">
        <v>22</v>
      </c>
      <c r="AW228" s="105">
        <v>0.54549999999999998</v>
      </c>
      <c r="AX228" s="105">
        <v>0.40910000000000002</v>
      </c>
      <c r="AY228" s="105">
        <v>0.45450000000000002</v>
      </c>
      <c r="AZ228" s="105">
        <v>0.40910000000000002</v>
      </c>
      <c r="BA228" s="105">
        <v>0.36359999999999998</v>
      </c>
      <c r="BB228" s="105">
        <v>0.31819999999999998</v>
      </c>
      <c r="BC228" s="105">
        <v>0.2273</v>
      </c>
      <c r="BD228" s="26" t="s">
        <v>22</v>
      </c>
      <c r="BE228" s="26" t="s">
        <v>22</v>
      </c>
      <c r="BF228" s="26" t="s">
        <v>22</v>
      </c>
      <c r="BG228" s="26" t="s">
        <v>22</v>
      </c>
      <c r="BH228" s="104">
        <f t="shared" si="210"/>
        <v>0.74995417048579294</v>
      </c>
      <c r="BI228" s="203">
        <f t="shared" si="211"/>
        <v>0.58331805682859761</v>
      </c>
      <c r="BK228" s="506"/>
      <c r="BL228" s="132">
        <v>46075</v>
      </c>
      <c r="BM228" s="141">
        <v>596</v>
      </c>
      <c r="BN228" s="105">
        <v>0.1158</v>
      </c>
      <c r="BO228" s="105">
        <v>7.8899999999999998E-2</v>
      </c>
      <c r="BP228" s="105">
        <v>5.3699999999999998E-2</v>
      </c>
      <c r="BQ228" s="105">
        <v>4.87E-2</v>
      </c>
      <c r="BR228" s="105">
        <v>4.53E-2</v>
      </c>
      <c r="BS228" s="105">
        <v>3.6900000000000002E-2</v>
      </c>
      <c r="BT228" s="105">
        <v>1.6799999999999999E-2</v>
      </c>
      <c r="BU228" s="26" t="s">
        <v>22</v>
      </c>
      <c r="BV228" s="26" t="s">
        <v>22</v>
      </c>
      <c r="BW228" s="26" t="s">
        <v>22</v>
      </c>
      <c r="BX228" s="26" t="s">
        <v>22</v>
      </c>
      <c r="BY228" s="104">
        <f t="shared" si="212"/>
        <v>0.68134715025906734</v>
      </c>
      <c r="BZ228" s="104">
        <f t="shared" si="213"/>
        <v>0.31865284974093266</v>
      </c>
      <c r="CA228" s="248">
        <v>20</v>
      </c>
      <c r="CB228" s="105">
        <v>0.7</v>
      </c>
      <c r="CC228" s="105">
        <v>0.55000000000000004</v>
      </c>
      <c r="CD228" s="105">
        <v>0.5</v>
      </c>
      <c r="CE228" s="105">
        <v>0.5</v>
      </c>
      <c r="CF228" s="105">
        <v>0.45</v>
      </c>
      <c r="CG228" s="105">
        <v>0.4</v>
      </c>
      <c r="CH228" s="105">
        <v>0.2</v>
      </c>
      <c r="CI228" s="26" t="s">
        <v>22</v>
      </c>
      <c r="CJ228" s="26" t="s">
        <v>22</v>
      </c>
      <c r="CK228" s="26" t="s">
        <v>22</v>
      </c>
      <c r="CL228" s="26" t="s">
        <v>22</v>
      </c>
      <c r="CM228" s="104">
        <f t="shared" si="214"/>
        <v>0.78571428571428581</v>
      </c>
      <c r="CN228" s="203">
        <f t="shared" si="215"/>
        <v>0.57142857142857151</v>
      </c>
    </row>
    <row r="229" spans="1:92" ht="14.25" customHeight="1">
      <c r="A229" s="570" t="s">
        <v>32</v>
      </c>
      <c r="B229" s="168">
        <v>46076</v>
      </c>
      <c r="C229" s="241">
        <f t="shared" si="232"/>
        <v>1924</v>
      </c>
      <c r="D229" s="105">
        <f t="shared" si="234"/>
        <v>6.8621309771309771E-2</v>
      </c>
      <c r="E229" s="105">
        <f t="shared" si="234"/>
        <v>4.5774532224532226E-2</v>
      </c>
      <c r="F229" s="105">
        <f t="shared" si="234"/>
        <v>4.1588253638253636E-2</v>
      </c>
      <c r="G229" s="105">
        <f t="shared" si="234"/>
        <v>3.1196569646569645E-2</v>
      </c>
      <c r="H229" s="105">
        <f t="shared" si="234"/>
        <v>2.8039708939708943E-2</v>
      </c>
      <c r="I229" s="105">
        <f t="shared" si="234"/>
        <v>2.8048024948024948E-2</v>
      </c>
      <c r="J229" s="105">
        <f t="shared" si="234"/>
        <v>1.8171205821205821E-2</v>
      </c>
      <c r="K229" s="105" t="s">
        <v>22</v>
      </c>
      <c r="L229" s="105" t="s">
        <v>22</v>
      </c>
      <c r="M229" s="105" t="s">
        <v>22</v>
      </c>
      <c r="N229" s="105" t="s">
        <v>22</v>
      </c>
      <c r="O229" s="104">
        <f t="shared" si="204"/>
        <v>0.66706001935961778</v>
      </c>
      <c r="P229" s="203">
        <f t="shared" si="205"/>
        <v>0.40873636835990107</v>
      </c>
      <c r="Q229" s="158">
        <f t="shared" si="233"/>
        <v>49</v>
      </c>
      <c r="R229" s="105">
        <f t="shared" si="235"/>
        <v>0.4897897959183673</v>
      </c>
      <c r="S229" s="105">
        <f t="shared" si="235"/>
        <v>0.24488571428571432</v>
      </c>
      <c r="T229" s="105">
        <f t="shared" si="235"/>
        <v>0.24488571428571432</v>
      </c>
      <c r="U229" s="105">
        <f t="shared" si="235"/>
        <v>0.22451020408163269</v>
      </c>
      <c r="V229" s="105">
        <f t="shared" si="235"/>
        <v>0.22451020408163269</v>
      </c>
      <c r="W229" s="105">
        <f t="shared" si="235"/>
        <v>0.22446734693877549</v>
      </c>
      <c r="X229" s="105">
        <f t="shared" si="235"/>
        <v>0.14287346938775511</v>
      </c>
      <c r="Y229" s="105" t="s">
        <v>22</v>
      </c>
      <c r="Z229" s="105" t="s">
        <v>22</v>
      </c>
      <c r="AA229" s="105" t="s">
        <v>22</v>
      </c>
      <c r="AB229" s="105" t="s">
        <v>22</v>
      </c>
      <c r="AC229" s="104">
        <f t="shared" si="206"/>
        <v>0.49998124976562219</v>
      </c>
      <c r="AD229" s="203">
        <f t="shared" si="207"/>
        <v>0.45829322866535832</v>
      </c>
      <c r="AE229" s="1"/>
      <c r="AF229" s="507" t="s">
        <v>32</v>
      </c>
      <c r="AG229" s="132">
        <v>46076</v>
      </c>
      <c r="AH229" s="141">
        <v>1350</v>
      </c>
      <c r="AI229" s="105">
        <v>5.6300000000000003E-2</v>
      </c>
      <c r="AJ229" s="105">
        <v>4.2999999999999997E-2</v>
      </c>
      <c r="AK229" s="105">
        <v>3.4099999999999998E-2</v>
      </c>
      <c r="AL229" s="105">
        <v>2.52E-2</v>
      </c>
      <c r="AM229" s="105">
        <v>2.4400000000000002E-2</v>
      </c>
      <c r="AN229" s="105">
        <v>2.5899999999999999E-2</v>
      </c>
      <c r="AO229" s="105">
        <v>1.4800000000000001E-2</v>
      </c>
      <c r="AP229" s="26" t="s">
        <v>22</v>
      </c>
      <c r="AQ229" s="26" t="s">
        <v>22</v>
      </c>
      <c r="AR229" s="26" t="s">
        <v>22</v>
      </c>
      <c r="AS229" s="26" t="s">
        <v>22</v>
      </c>
      <c r="AT229" s="104">
        <f t="shared" si="208"/>
        <v>0.7637655417406749</v>
      </c>
      <c r="AU229" s="104">
        <f t="shared" si="209"/>
        <v>0.46003552397868558</v>
      </c>
      <c r="AV229" s="248">
        <v>26</v>
      </c>
      <c r="AW229" s="105">
        <v>0.3846</v>
      </c>
      <c r="AX229" s="105">
        <v>0.26919999999999999</v>
      </c>
      <c r="AY229" s="105">
        <v>0.26919999999999999</v>
      </c>
      <c r="AZ229" s="105">
        <v>0.23080000000000001</v>
      </c>
      <c r="BA229" s="105">
        <v>0.23080000000000001</v>
      </c>
      <c r="BB229" s="105">
        <v>0.26919999999999999</v>
      </c>
      <c r="BC229" s="105">
        <v>0.1923</v>
      </c>
      <c r="BD229" s="26" t="s">
        <v>22</v>
      </c>
      <c r="BE229" s="26" t="s">
        <v>22</v>
      </c>
      <c r="BF229" s="26" t="s">
        <v>22</v>
      </c>
      <c r="BG229" s="26" t="s">
        <v>22</v>
      </c>
      <c r="BH229" s="104">
        <f t="shared" si="210"/>
        <v>0.6999479979199168</v>
      </c>
      <c r="BI229" s="203">
        <f t="shared" si="211"/>
        <v>0.6999479979199168</v>
      </c>
      <c r="BK229" s="525" t="s">
        <v>32</v>
      </c>
      <c r="BL229" s="132">
        <v>46076</v>
      </c>
      <c r="BM229" s="141">
        <v>574</v>
      </c>
      <c r="BN229" s="105">
        <v>9.7600000000000006E-2</v>
      </c>
      <c r="BO229" s="105">
        <v>5.2299999999999999E-2</v>
      </c>
      <c r="BP229" s="105">
        <v>5.9200000000000003E-2</v>
      </c>
      <c r="BQ229" s="105">
        <v>4.53E-2</v>
      </c>
      <c r="BR229" s="105">
        <v>3.6600000000000001E-2</v>
      </c>
      <c r="BS229" s="105">
        <v>3.3099999999999997E-2</v>
      </c>
      <c r="BT229" s="105">
        <v>2.6100000000000002E-2</v>
      </c>
      <c r="BU229" s="26" t="s">
        <v>22</v>
      </c>
      <c r="BV229" s="26" t="s">
        <v>22</v>
      </c>
      <c r="BW229" s="26" t="s">
        <v>22</v>
      </c>
      <c r="BX229" s="26" t="s">
        <v>22</v>
      </c>
      <c r="BY229" s="104">
        <f t="shared" si="212"/>
        <v>0.53586065573770492</v>
      </c>
      <c r="BZ229" s="104">
        <f t="shared" si="213"/>
        <v>0.33913934426229503</v>
      </c>
      <c r="CA229" s="248">
        <v>23</v>
      </c>
      <c r="CB229" s="105">
        <v>0.60870000000000002</v>
      </c>
      <c r="CC229" s="105">
        <v>0.21740000000000001</v>
      </c>
      <c r="CD229" s="105">
        <v>0.21740000000000001</v>
      </c>
      <c r="CE229" s="105">
        <v>0.21740000000000001</v>
      </c>
      <c r="CF229" s="105">
        <v>0.21740000000000001</v>
      </c>
      <c r="CG229" s="105">
        <v>0.1739</v>
      </c>
      <c r="CH229" s="105">
        <v>8.6999999999999994E-2</v>
      </c>
      <c r="CI229" s="26" t="s">
        <v>22</v>
      </c>
      <c r="CJ229" s="26" t="s">
        <v>22</v>
      </c>
      <c r="CK229" s="26" t="s">
        <v>22</v>
      </c>
      <c r="CL229" s="26" t="s">
        <v>22</v>
      </c>
      <c r="CM229" s="104">
        <f t="shared" si="214"/>
        <v>0.35715459175291603</v>
      </c>
      <c r="CN229" s="203">
        <f t="shared" si="215"/>
        <v>0.28569081649416789</v>
      </c>
    </row>
    <row r="230" spans="1:92" ht="14.25" customHeight="1">
      <c r="A230" s="502"/>
      <c r="B230" s="168">
        <v>46077</v>
      </c>
      <c r="C230" s="241">
        <f t="shared" si="232"/>
        <v>1342</v>
      </c>
      <c r="D230" s="105">
        <f t="shared" si="234"/>
        <v>6.9285842026825639E-2</v>
      </c>
      <c r="E230" s="105">
        <f t="shared" si="234"/>
        <v>4.3960804769001487E-2</v>
      </c>
      <c r="F230" s="105">
        <f t="shared" si="234"/>
        <v>3.5021609538002985E-2</v>
      </c>
      <c r="G230" s="105">
        <f t="shared" si="234"/>
        <v>3.2798658718330848E-2</v>
      </c>
      <c r="H230" s="105">
        <f t="shared" si="234"/>
        <v>2.9084053651266765E-2</v>
      </c>
      <c r="I230" s="105">
        <f t="shared" si="234"/>
        <v>2.9022801788375557E-2</v>
      </c>
      <c r="J230" s="105">
        <f t="shared" si="234"/>
        <v>1.3430551415797319E-2</v>
      </c>
      <c r="K230" s="105" t="s">
        <v>22</v>
      </c>
      <c r="L230" s="105" t="s">
        <v>22</v>
      </c>
      <c r="M230" s="105" t="s">
        <v>22</v>
      </c>
      <c r="N230" s="105" t="s">
        <v>22</v>
      </c>
      <c r="O230" s="104">
        <f t="shared" si="204"/>
        <v>0.63448467223622729</v>
      </c>
      <c r="P230" s="203">
        <f t="shared" si="205"/>
        <v>0.41888502671496292</v>
      </c>
      <c r="Q230" s="158">
        <f t="shared" si="233"/>
        <v>41</v>
      </c>
      <c r="R230" s="105">
        <f t="shared" si="235"/>
        <v>0.48779024390243908</v>
      </c>
      <c r="S230" s="105">
        <f t="shared" si="235"/>
        <v>0.48785121951219512</v>
      </c>
      <c r="T230" s="105">
        <f t="shared" si="235"/>
        <v>0.29269024390243903</v>
      </c>
      <c r="U230" s="105">
        <f t="shared" si="235"/>
        <v>0.26831463414634144</v>
      </c>
      <c r="V230" s="105">
        <f t="shared" si="235"/>
        <v>0.21953902439024392</v>
      </c>
      <c r="W230" s="105">
        <f t="shared" si="235"/>
        <v>0.26831463414634144</v>
      </c>
      <c r="X230" s="105">
        <f t="shared" si="235"/>
        <v>0.14634146341463414</v>
      </c>
      <c r="Y230" s="105" t="s">
        <v>22</v>
      </c>
      <c r="Z230" s="105" t="s">
        <v>22</v>
      </c>
      <c r="AA230" s="105" t="s">
        <v>22</v>
      </c>
      <c r="AB230" s="105" t="s">
        <v>22</v>
      </c>
      <c r="AC230" s="104">
        <f t="shared" si="206"/>
        <v>1.0001250037501124</v>
      </c>
      <c r="AD230" s="203">
        <f t="shared" si="207"/>
        <v>0.5500615018450552</v>
      </c>
      <c r="AE230" s="1"/>
      <c r="AF230" s="502"/>
      <c r="AG230" s="132">
        <v>46077</v>
      </c>
      <c r="AH230" s="141">
        <v>904</v>
      </c>
      <c r="AI230" s="105">
        <v>6.08E-2</v>
      </c>
      <c r="AJ230" s="105">
        <v>3.4299999999999997E-2</v>
      </c>
      <c r="AK230" s="105">
        <v>3.7600000000000001E-2</v>
      </c>
      <c r="AL230" s="105">
        <v>3.4299999999999997E-2</v>
      </c>
      <c r="AM230" s="105">
        <v>2.9899999999999999E-2</v>
      </c>
      <c r="AN230" s="105">
        <v>2.5399999999999999E-2</v>
      </c>
      <c r="AO230" s="105">
        <v>1.3299999999999999E-2</v>
      </c>
      <c r="AP230" s="26" t="s">
        <v>22</v>
      </c>
      <c r="AQ230" s="26" t="s">
        <v>22</v>
      </c>
      <c r="AR230" s="26" t="s">
        <v>22</v>
      </c>
      <c r="AS230" s="26" t="s">
        <v>22</v>
      </c>
      <c r="AT230" s="104">
        <f t="shared" si="208"/>
        <v>0.5641447368421052</v>
      </c>
      <c r="AU230" s="104">
        <f t="shared" si="209"/>
        <v>0.41776315789473684</v>
      </c>
      <c r="AV230" s="248">
        <v>22</v>
      </c>
      <c r="AW230" s="105">
        <v>0.59089999999999998</v>
      </c>
      <c r="AX230" s="105">
        <v>0.54549999999999998</v>
      </c>
      <c r="AY230" s="105">
        <v>0.40910000000000002</v>
      </c>
      <c r="AZ230" s="105">
        <v>0.40910000000000002</v>
      </c>
      <c r="BA230" s="105">
        <v>0.31819999999999998</v>
      </c>
      <c r="BB230" s="105">
        <v>0.40910000000000002</v>
      </c>
      <c r="BC230" s="105">
        <v>0.2273</v>
      </c>
      <c r="BD230" s="26" t="s">
        <v>22</v>
      </c>
      <c r="BE230" s="26" t="s">
        <v>22</v>
      </c>
      <c r="BF230" s="26" t="s">
        <v>22</v>
      </c>
      <c r="BG230" s="26" t="s">
        <v>22</v>
      </c>
      <c r="BH230" s="104">
        <f t="shared" si="210"/>
        <v>0.92316804873921132</v>
      </c>
      <c r="BI230" s="203">
        <f t="shared" si="211"/>
        <v>0.69233372821120331</v>
      </c>
      <c r="BK230" s="518"/>
      <c r="BL230" s="132">
        <v>46077</v>
      </c>
      <c r="BM230" s="141">
        <v>438</v>
      </c>
      <c r="BN230" s="105">
        <v>8.6800000000000002E-2</v>
      </c>
      <c r="BO230" s="105">
        <v>6.3899999999999998E-2</v>
      </c>
      <c r="BP230" s="105">
        <v>2.9700000000000001E-2</v>
      </c>
      <c r="BQ230" s="105">
        <v>2.9700000000000001E-2</v>
      </c>
      <c r="BR230" s="105">
        <v>2.7400000000000001E-2</v>
      </c>
      <c r="BS230" s="105">
        <v>3.6499999999999998E-2</v>
      </c>
      <c r="BT230" s="105">
        <v>1.37E-2</v>
      </c>
      <c r="BU230" s="26" t="s">
        <v>22</v>
      </c>
      <c r="BV230" s="26" t="s">
        <v>22</v>
      </c>
      <c r="BW230" s="26" t="s">
        <v>22</v>
      </c>
      <c r="BX230" s="26" t="s">
        <v>22</v>
      </c>
      <c r="BY230" s="104">
        <f t="shared" si="212"/>
        <v>0.73617511520737322</v>
      </c>
      <c r="BZ230" s="104">
        <f t="shared" si="213"/>
        <v>0.4205069124423963</v>
      </c>
      <c r="CA230" s="248">
        <v>19</v>
      </c>
      <c r="CB230" s="105">
        <v>0.36840000000000001</v>
      </c>
      <c r="CC230" s="105">
        <v>0.42109999999999997</v>
      </c>
      <c r="CD230" s="105">
        <v>0.15790000000000001</v>
      </c>
      <c r="CE230" s="105">
        <v>0.1053</v>
      </c>
      <c r="CF230" s="105">
        <v>0.1053</v>
      </c>
      <c r="CG230" s="105">
        <v>0.1053</v>
      </c>
      <c r="CH230" s="105">
        <v>5.2600000000000001E-2</v>
      </c>
      <c r="CI230" s="26" t="s">
        <v>22</v>
      </c>
      <c r="CJ230" s="26" t="s">
        <v>22</v>
      </c>
      <c r="CK230" s="26" t="s">
        <v>22</v>
      </c>
      <c r="CL230" s="26" t="s">
        <v>22</v>
      </c>
      <c r="CM230" s="104">
        <f t="shared" si="214"/>
        <v>1.1430510314875135</v>
      </c>
      <c r="CN230" s="203">
        <f t="shared" si="215"/>
        <v>0.28583061889250816</v>
      </c>
    </row>
    <row r="231" spans="1:92" ht="13.7" customHeight="1">
      <c r="A231" s="502"/>
      <c r="B231" s="168">
        <v>46078</v>
      </c>
      <c r="C231" s="241">
        <f t="shared" si="232"/>
        <v>1265</v>
      </c>
      <c r="D231" s="105">
        <f t="shared" si="234"/>
        <v>7.1966798418972341E-2</v>
      </c>
      <c r="E231" s="105">
        <f t="shared" si="234"/>
        <v>4.4280632411067194E-2</v>
      </c>
      <c r="F231" s="105">
        <f t="shared" si="234"/>
        <v>3.7137154150197624E-2</v>
      </c>
      <c r="G231" s="105">
        <f t="shared" si="234"/>
        <v>4.1906324110671939E-2</v>
      </c>
      <c r="H231" s="105">
        <f t="shared" si="234"/>
        <v>2.7686166007905137E-2</v>
      </c>
      <c r="I231" s="105">
        <f t="shared" si="234"/>
        <v>2.8471146245059292E-2</v>
      </c>
      <c r="J231" s="105">
        <f t="shared" si="234"/>
        <v>1.7362845849802369E-2</v>
      </c>
      <c r="K231" s="105" t="s">
        <v>22</v>
      </c>
      <c r="L231" s="105" t="s">
        <v>22</v>
      </c>
      <c r="M231" s="105" t="s">
        <v>22</v>
      </c>
      <c r="N231" s="105" t="s">
        <v>22</v>
      </c>
      <c r="O231" s="104">
        <f t="shared" si="204"/>
        <v>0.61529251521342732</v>
      </c>
      <c r="P231" s="203">
        <f t="shared" si="205"/>
        <v>0.39561501790461123</v>
      </c>
      <c r="Q231" s="158">
        <f t="shared" si="233"/>
        <v>43</v>
      </c>
      <c r="R231" s="105">
        <f t="shared" si="235"/>
        <v>0.5581581395348838</v>
      </c>
      <c r="S231" s="105">
        <f t="shared" si="235"/>
        <v>0.41860465116279072</v>
      </c>
      <c r="T231" s="105">
        <f t="shared" si="235"/>
        <v>0.37209302325581395</v>
      </c>
      <c r="U231" s="105">
        <f t="shared" si="235"/>
        <v>0.34881860465116282</v>
      </c>
      <c r="V231" s="105">
        <f t="shared" si="235"/>
        <v>0.30233023255813951</v>
      </c>
      <c r="W231" s="105">
        <f t="shared" si="235"/>
        <v>0.30233023255813951</v>
      </c>
      <c r="X231" s="105">
        <f t="shared" si="235"/>
        <v>0.18603720930232559</v>
      </c>
      <c r="Y231" s="105" t="s">
        <v>22</v>
      </c>
      <c r="Z231" s="105" t="s">
        <v>22</v>
      </c>
      <c r="AA231" s="105" t="s">
        <v>22</v>
      </c>
      <c r="AB231" s="105" t="s">
        <v>22</v>
      </c>
      <c r="AC231" s="104">
        <f t="shared" si="206"/>
        <v>0.74997500083330548</v>
      </c>
      <c r="AD231" s="203">
        <f t="shared" si="207"/>
        <v>0.54165694476850756</v>
      </c>
      <c r="AE231" s="1"/>
      <c r="AF231" s="502"/>
      <c r="AG231" s="132">
        <v>46078</v>
      </c>
      <c r="AH231" s="141">
        <v>860</v>
      </c>
      <c r="AI231" s="105">
        <v>6.6299999999999998E-2</v>
      </c>
      <c r="AJ231" s="105">
        <v>3.49E-2</v>
      </c>
      <c r="AK231" s="105">
        <v>2.6700000000000002E-2</v>
      </c>
      <c r="AL231" s="105">
        <v>3.7199999999999997E-2</v>
      </c>
      <c r="AM231" s="105">
        <v>2.3300000000000001E-2</v>
      </c>
      <c r="AN231" s="105">
        <v>2.2100000000000002E-2</v>
      </c>
      <c r="AO231" s="105">
        <v>1.1599999999999999E-2</v>
      </c>
      <c r="AP231" s="26" t="s">
        <v>22</v>
      </c>
      <c r="AQ231" s="26" t="s">
        <v>22</v>
      </c>
      <c r="AR231" s="26" t="s">
        <v>22</v>
      </c>
      <c r="AS231" s="26" t="s">
        <v>22</v>
      </c>
      <c r="AT231" s="104">
        <f t="shared" si="208"/>
        <v>0.526395173453997</v>
      </c>
      <c r="AU231" s="104">
        <f t="shared" si="209"/>
        <v>0.33333333333333337</v>
      </c>
      <c r="AV231" s="248">
        <v>25</v>
      </c>
      <c r="AW231" s="105">
        <v>0.56000000000000005</v>
      </c>
      <c r="AX231" s="105">
        <v>0.36</v>
      </c>
      <c r="AY231" s="105">
        <v>0.28000000000000003</v>
      </c>
      <c r="AZ231" s="105">
        <v>0.28000000000000003</v>
      </c>
      <c r="BA231" s="105">
        <v>0.24</v>
      </c>
      <c r="BB231" s="105">
        <v>0.24</v>
      </c>
      <c r="BC231" s="105">
        <v>0.16</v>
      </c>
      <c r="BD231" s="26" t="s">
        <v>22</v>
      </c>
      <c r="BE231" s="26" t="s">
        <v>22</v>
      </c>
      <c r="BF231" s="26" t="s">
        <v>22</v>
      </c>
      <c r="BG231" s="26" t="s">
        <v>22</v>
      </c>
      <c r="BH231" s="104">
        <f t="shared" si="210"/>
        <v>0.64285714285714279</v>
      </c>
      <c r="BI231" s="203">
        <f t="shared" si="211"/>
        <v>0.42857142857142849</v>
      </c>
      <c r="BK231" s="518"/>
      <c r="BL231" s="132">
        <v>46078</v>
      </c>
      <c r="BM231" s="141">
        <v>405</v>
      </c>
      <c r="BN231" s="105">
        <v>8.4000000000000005E-2</v>
      </c>
      <c r="BO231" s="105">
        <v>6.4199999999999993E-2</v>
      </c>
      <c r="BP231" s="105">
        <v>5.9299999999999999E-2</v>
      </c>
      <c r="BQ231" s="105">
        <v>5.1900000000000002E-2</v>
      </c>
      <c r="BR231" s="105">
        <v>3.6999999999999998E-2</v>
      </c>
      <c r="BS231" s="105">
        <v>4.2000000000000003E-2</v>
      </c>
      <c r="BT231" s="105">
        <v>2.9600000000000001E-2</v>
      </c>
      <c r="BU231" s="26" t="s">
        <v>22</v>
      </c>
      <c r="BV231" s="26" t="s">
        <v>22</v>
      </c>
      <c r="BW231" s="26" t="s">
        <v>22</v>
      </c>
      <c r="BX231" s="26" t="s">
        <v>22</v>
      </c>
      <c r="BY231" s="104">
        <f t="shared" si="212"/>
        <v>0.76428571428571412</v>
      </c>
      <c r="BZ231" s="104">
        <f t="shared" si="213"/>
        <v>0.5</v>
      </c>
      <c r="CA231" s="248">
        <v>18</v>
      </c>
      <c r="CB231" s="105">
        <v>0.55559999999999998</v>
      </c>
      <c r="CC231" s="105">
        <v>0.5</v>
      </c>
      <c r="CD231" s="105">
        <v>0.5</v>
      </c>
      <c r="CE231" s="105">
        <v>0.44440000000000002</v>
      </c>
      <c r="CF231" s="105">
        <v>0.38890000000000002</v>
      </c>
      <c r="CG231" s="105">
        <v>0.38890000000000002</v>
      </c>
      <c r="CH231" s="105">
        <v>0.22220000000000001</v>
      </c>
      <c r="CI231" s="26" t="s">
        <v>22</v>
      </c>
      <c r="CJ231" s="26" t="s">
        <v>22</v>
      </c>
      <c r="CK231" s="26" t="s">
        <v>22</v>
      </c>
      <c r="CL231" s="26" t="s">
        <v>22</v>
      </c>
      <c r="CM231" s="104">
        <f t="shared" si="214"/>
        <v>0.89992800575953924</v>
      </c>
      <c r="CN231" s="203">
        <f t="shared" si="215"/>
        <v>0.69996400287976968</v>
      </c>
    </row>
    <row r="232" spans="1:92" ht="13.7" customHeight="1">
      <c r="A232" s="546" t="s">
        <v>24</v>
      </c>
      <c r="B232" s="452">
        <v>46079</v>
      </c>
      <c r="C232" s="441">
        <f t="shared" si="232"/>
        <v>1792</v>
      </c>
      <c r="D232" s="160">
        <f t="shared" si="234"/>
        <v>9.9886328125000007E-2</v>
      </c>
      <c r="E232" s="160">
        <f t="shared" si="234"/>
        <v>6.6401171874999998E-2</v>
      </c>
      <c r="F232" s="160">
        <f t="shared" si="234"/>
        <v>5.6381250000000001E-2</v>
      </c>
      <c r="G232" s="160">
        <f t="shared" si="234"/>
        <v>4.4597265625E-2</v>
      </c>
      <c r="H232" s="160">
        <f t="shared" si="234"/>
        <v>4.0181250000000002E-2</v>
      </c>
      <c r="I232" s="160">
        <f t="shared" si="234"/>
        <v>3.2395703125000001E-2</v>
      </c>
      <c r="J232" s="160">
        <f t="shared" si="234"/>
        <v>1.3939843750000002E-2</v>
      </c>
      <c r="K232" s="160" t="s">
        <v>22</v>
      </c>
      <c r="L232" s="160" t="s">
        <v>22</v>
      </c>
      <c r="M232" s="160" t="s">
        <v>22</v>
      </c>
      <c r="N232" s="160" t="s">
        <v>22</v>
      </c>
      <c r="O232" s="189">
        <f t="shared" si="204"/>
        <v>0.66476737228646621</v>
      </c>
      <c r="P232" s="189">
        <f t="shared" si="205"/>
        <v>0.32432569835242403</v>
      </c>
      <c r="Q232" s="457">
        <f t="shared" si="233"/>
        <v>69</v>
      </c>
      <c r="R232" s="160">
        <f t="shared" si="235"/>
        <v>0.50725652173913049</v>
      </c>
      <c r="S232" s="160">
        <f t="shared" si="235"/>
        <v>0.44927826086956524</v>
      </c>
      <c r="T232" s="160">
        <f t="shared" si="235"/>
        <v>0.33332898550724638</v>
      </c>
      <c r="U232" s="160">
        <f t="shared" si="235"/>
        <v>0.26088550724637682</v>
      </c>
      <c r="V232" s="160">
        <f t="shared" si="235"/>
        <v>0.2318927536231884</v>
      </c>
      <c r="W232" s="160">
        <f t="shared" si="235"/>
        <v>0.2318927536231884</v>
      </c>
      <c r="X232" s="160">
        <f t="shared" si="235"/>
        <v>0.11593623188405797</v>
      </c>
      <c r="Y232" s="160" t="s">
        <v>22</v>
      </c>
      <c r="Z232" s="160" t="s">
        <v>22</v>
      </c>
      <c r="AA232" s="160" t="s">
        <v>22</v>
      </c>
      <c r="AB232" s="160" t="s">
        <v>22</v>
      </c>
      <c r="AC232" s="189">
        <f t="shared" si="206"/>
        <v>0.8857022859542808</v>
      </c>
      <c r="AD232" s="202">
        <f t="shared" si="207"/>
        <v>0.45715085698286029</v>
      </c>
      <c r="AE232" s="1"/>
      <c r="AF232" s="508" t="s">
        <v>24</v>
      </c>
      <c r="AG232" s="452">
        <v>46079</v>
      </c>
      <c r="AH232" s="338">
        <v>987</v>
      </c>
      <c r="AI232" s="160">
        <v>7.1900000000000006E-2</v>
      </c>
      <c r="AJ232" s="160">
        <v>5.2699999999999997E-2</v>
      </c>
      <c r="AK232" s="160">
        <v>4.5600000000000002E-2</v>
      </c>
      <c r="AL232" s="160">
        <v>3.44E-2</v>
      </c>
      <c r="AM232" s="160">
        <v>2.9399999999999999E-2</v>
      </c>
      <c r="AN232" s="160">
        <v>2.1299999999999999E-2</v>
      </c>
      <c r="AO232" s="160">
        <v>8.0999999999999996E-3</v>
      </c>
      <c r="AP232" s="142" t="s">
        <v>22</v>
      </c>
      <c r="AQ232" s="142" t="s">
        <v>22</v>
      </c>
      <c r="AR232" s="142" t="s">
        <v>22</v>
      </c>
      <c r="AS232" s="142" t="s">
        <v>22</v>
      </c>
      <c r="AT232" s="189">
        <f t="shared" si="208"/>
        <v>0.73296244784422804</v>
      </c>
      <c r="AU232" s="189">
        <f t="shared" si="209"/>
        <v>0.29624478442280944</v>
      </c>
      <c r="AV232" s="448">
        <v>29</v>
      </c>
      <c r="AW232" s="160">
        <v>0.44829999999999998</v>
      </c>
      <c r="AX232" s="160">
        <v>0.4138</v>
      </c>
      <c r="AY232" s="160">
        <v>0.37930000000000003</v>
      </c>
      <c r="AZ232" s="160">
        <v>0.27589999999999998</v>
      </c>
      <c r="BA232" s="160">
        <v>0.2414</v>
      </c>
      <c r="BB232" s="160">
        <v>0.2414</v>
      </c>
      <c r="BC232" s="160">
        <v>0.1724</v>
      </c>
      <c r="BD232" s="142" t="s">
        <v>22</v>
      </c>
      <c r="BE232" s="142" t="s">
        <v>22</v>
      </c>
      <c r="BF232" s="142" t="s">
        <v>22</v>
      </c>
      <c r="BG232" s="142" t="s">
        <v>22</v>
      </c>
      <c r="BH232" s="189">
        <f t="shared" si="210"/>
        <v>0.92304260539817096</v>
      </c>
      <c r="BI232" s="202">
        <f t="shared" si="211"/>
        <v>0.53847869730091458</v>
      </c>
      <c r="BK232" s="526" t="s">
        <v>24</v>
      </c>
      <c r="BL232" s="452">
        <v>46079</v>
      </c>
      <c r="BM232" s="338">
        <v>805</v>
      </c>
      <c r="BN232" s="160">
        <v>0.13420000000000001</v>
      </c>
      <c r="BO232" s="160">
        <v>8.3199999999999996E-2</v>
      </c>
      <c r="BP232" s="160">
        <v>6.9599999999999995E-2</v>
      </c>
      <c r="BQ232" s="160">
        <v>5.7099999999999998E-2</v>
      </c>
      <c r="BR232" s="160">
        <v>5.3400000000000003E-2</v>
      </c>
      <c r="BS232" s="160">
        <v>4.5999999999999999E-2</v>
      </c>
      <c r="BT232" s="160">
        <v>2.1100000000000001E-2</v>
      </c>
      <c r="BU232" s="142" t="s">
        <v>22</v>
      </c>
      <c r="BV232" s="142" t="s">
        <v>22</v>
      </c>
      <c r="BW232" s="142" t="s">
        <v>22</v>
      </c>
      <c r="BX232" s="142" t="s">
        <v>22</v>
      </c>
      <c r="BY232" s="189">
        <f t="shared" si="212"/>
        <v>0.6199701937406854</v>
      </c>
      <c r="BZ232" s="189">
        <f t="shared" si="213"/>
        <v>0.34277198211624438</v>
      </c>
      <c r="CA232" s="448">
        <v>40</v>
      </c>
      <c r="CB232" s="160">
        <v>0.55000000000000004</v>
      </c>
      <c r="CC232" s="160">
        <v>0.47499999999999998</v>
      </c>
      <c r="CD232" s="160">
        <v>0.3</v>
      </c>
      <c r="CE232" s="160">
        <v>0.25</v>
      </c>
      <c r="CF232" s="160">
        <v>0.22500000000000001</v>
      </c>
      <c r="CG232" s="160">
        <v>0.22500000000000001</v>
      </c>
      <c r="CH232" s="160">
        <v>7.4999999999999997E-2</v>
      </c>
      <c r="CI232" s="142" t="s">
        <v>22</v>
      </c>
      <c r="CJ232" s="142" t="s">
        <v>22</v>
      </c>
      <c r="CK232" s="142" t="s">
        <v>22</v>
      </c>
      <c r="CL232" s="142" t="s">
        <v>22</v>
      </c>
      <c r="CM232" s="189">
        <f t="shared" si="214"/>
        <v>0.86363636363636354</v>
      </c>
      <c r="CN232" s="202">
        <f t="shared" si="215"/>
        <v>0.40909090909090906</v>
      </c>
    </row>
    <row r="233" spans="1:92" ht="13.7" customHeight="1">
      <c r="A233" s="509"/>
      <c r="B233" s="271">
        <v>46080</v>
      </c>
      <c r="C233" s="240">
        <f t="shared" si="232"/>
        <v>1615</v>
      </c>
      <c r="D233" s="105">
        <f t="shared" ref="D233:I239" si="236">($AH233*AI233+$BM233*BN233)/$C233</f>
        <v>9.2259690402476779E-2</v>
      </c>
      <c r="E233" s="105">
        <f t="shared" si="236"/>
        <v>6.0039195046439633E-2</v>
      </c>
      <c r="F233" s="105">
        <f t="shared" si="236"/>
        <v>4.7038142414860679E-2</v>
      </c>
      <c r="G233" s="105">
        <f t="shared" si="236"/>
        <v>4.3337832817337461E-2</v>
      </c>
      <c r="H233" s="105">
        <f t="shared" si="236"/>
        <v>2.7239938080495355E-2</v>
      </c>
      <c r="I233" s="105">
        <f t="shared" si="236"/>
        <v>3.0326687306501544E-2</v>
      </c>
      <c r="J233" s="105" t="s">
        <v>22</v>
      </c>
      <c r="K233" s="105" t="s">
        <v>22</v>
      </c>
      <c r="L233" s="105" t="s">
        <v>22</v>
      </c>
      <c r="M233" s="105" t="s">
        <v>22</v>
      </c>
      <c r="N233" s="105" t="s">
        <v>22</v>
      </c>
      <c r="O233" s="104">
        <f t="shared" si="204"/>
        <v>0.6507630232068049</v>
      </c>
      <c r="P233" s="104">
        <f t="shared" si="205"/>
        <v>0.32871004849683955</v>
      </c>
      <c r="Q233" s="458">
        <f t="shared" si="233"/>
        <v>75</v>
      </c>
      <c r="R233" s="105">
        <f t="shared" ref="R233:W239" si="237">($AV233*AW233+$CA233*CB233)/$Q233</f>
        <v>0.48000933333333329</v>
      </c>
      <c r="S233" s="105">
        <f t="shared" si="237"/>
        <v>0.38666000000000006</v>
      </c>
      <c r="T233" s="105">
        <f t="shared" si="237"/>
        <v>0.30668933333333331</v>
      </c>
      <c r="U233" s="105">
        <f t="shared" si="237"/>
        <v>0.28000933333333333</v>
      </c>
      <c r="V233" s="105">
        <f t="shared" si="237"/>
        <v>0.21330933333333335</v>
      </c>
      <c r="W233" s="105">
        <f t="shared" si="237"/>
        <v>0.15998799999999999</v>
      </c>
      <c r="X233" s="105" t="s">
        <v>22</v>
      </c>
      <c r="Y233" s="105" t="s">
        <v>22</v>
      </c>
      <c r="Z233" s="105" t="s">
        <v>22</v>
      </c>
      <c r="AA233" s="105" t="s">
        <v>22</v>
      </c>
      <c r="AB233" s="105" t="s">
        <v>22</v>
      </c>
      <c r="AC233" s="104">
        <f t="shared" si="206"/>
        <v>0.8055260036610401</v>
      </c>
      <c r="AD233" s="203">
        <f t="shared" si="207"/>
        <v>0.33330185246397986</v>
      </c>
      <c r="AE233" s="1"/>
      <c r="AF233" s="509"/>
      <c r="AG233" s="271">
        <v>46080</v>
      </c>
      <c r="AH233" s="198">
        <v>951</v>
      </c>
      <c r="AI233" s="105">
        <v>6.9400000000000003E-2</v>
      </c>
      <c r="AJ233" s="105">
        <v>4.3099999999999999E-2</v>
      </c>
      <c r="AK233" s="105">
        <v>2.9399999999999999E-2</v>
      </c>
      <c r="AL233" s="105">
        <v>2.9399999999999999E-2</v>
      </c>
      <c r="AM233" s="105">
        <v>1.47E-2</v>
      </c>
      <c r="AN233" s="105">
        <v>1.6799999999999999E-2</v>
      </c>
      <c r="AO233" s="105" t="s">
        <v>22</v>
      </c>
      <c r="AP233" s="26" t="s">
        <v>22</v>
      </c>
      <c r="AQ233" s="26" t="s">
        <v>22</v>
      </c>
      <c r="AR233" s="26" t="s">
        <v>22</v>
      </c>
      <c r="AS233" s="26" t="s">
        <v>22</v>
      </c>
      <c r="AT233" s="104">
        <f t="shared" si="208"/>
        <v>0.62103746397694526</v>
      </c>
      <c r="AU233" s="104">
        <f t="shared" si="209"/>
        <v>0.24207492795389046</v>
      </c>
      <c r="AV233" s="197">
        <v>29</v>
      </c>
      <c r="AW233" s="105">
        <v>0.37930000000000003</v>
      </c>
      <c r="AX233" s="105">
        <v>0.31030000000000002</v>
      </c>
      <c r="AY233" s="105">
        <v>0.2069</v>
      </c>
      <c r="AZ233" s="105">
        <v>0.13789999999999999</v>
      </c>
      <c r="BA233" s="105">
        <v>0.10340000000000001</v>
      </c>
      <c r="BB233" s="105">
        <v>3.4500000000000003E-2</v>
      </c>
      <c r="BC233" s="105" t="s">
        <v>22</v>
      </c>
      <c r="BD233" s="26" t="s">
        <v>22</v>
      </c>
      <c r="BE233" s="26" t="s">
        <v>22</v>
      </c>
      <c r="BF233" s="26" t="s">
        <v>22</v>
      </c>
      <c r="BG233" s="26" t="s">
        <v>22</v>
      </c>
      <c r="BH233" s="104">
        <f t="shared" si="210"/>
        <v>0.81808594779857635</v>
      </c>
      <c r="BI233" s="203">
        <f t="shared" si="211"/>
        <v>9.0957026100711838E-2</v>
      </c>
      <c r="BK233" s="509"/>
      <c r="BL233" s="271">
        <v>46080</v>
      </c>
      <c r="BM233" s="198">
        <v>664</v>
      </c>
      <c r="BN233" s="105">
        <v>0.125</v>
      </c>
      <c r="BO233" s="105">
        <v>8.43E-2</v>
      </c>
      <c r="BP233" s="105">
        <v>7.2300000000000003E-2</v>
      </c>
      <c r="BQ233" s="105">
        <v>6.3299999999999995E-2</v>
      </c>
      <c r="BR233" s="105">
        <v>4.5199999999999997E-2</v>
      </c>
      <c r="BS233" s="105">
        <v>4.9700000000000001E-2</v>
      </c>
      <c r="BT233" s="105" t="s">
        <v>22</v>
      </c>
      <c r="BU233" s="26" t="s">
        <v>22</v>
      </c>
      <c r="BV233" s="26" t="s">
        <v>22</v>
      </c>
      <c r="BW233" s="26" t="s">
        <v>22</v>
      </c>
      <c r="BX233" s="26" t="s">
        <v>22</v>
      </c>
      <c r="BY233" s="104">
        <f t="shared" si="212"/>
        <v>0.6744</v>
      </c>
      <c r="BZ233" s="104">
        <f t="shared" si="213"/>
        <v>0.39760000000000001</v>
      </c>
      <c r="CA233" s="197">
        <v>46</v>
      </c>
      <c r="CB233" s="105">
        <v>0.54349999999999998</v>
      </c>
      <c r="CC233" s="105">
        <v>0.43480000000000002</v>
      </c>
      <c r="CD233" s="105">
        <v>0.36959999999999998</v>
      </c>
      <c r="CE233" s="105">
        <v>0.36959999999999998</v>
      </c>
      <c r="CF233" s="105">
        <v>0.28260000000000002</v>
      </c>
      <c r="CG233" s="105">
        <v>0.23910000000000001</v>
      </c>
      <c r="CH233" s="105" t="s">
        <v>22</v>
      </c>
      <c r="CI233" s="26" t="s">
        <v>22</v>
      </c>
      <c r="CJ233" s="26" t="s">
        <v>22</v>
      </c>
      <c r="CK233" s="26" t="s">
        <v>22</v>
      </c>
      <c r="CL233" s="26" t="s">
        <v>22</v>
      </c>
      <c r="CM233" s="104">
        <f t="shared" si="214"/>
        <v>0.8</v>
      </c>
      <c r="CN233" s="203">
        <f t="shared" si="215"/>
        <v>0.43992640294388224</v>
      </c>
    </row>
    <row r="234" spans="1:92" ht="13.7" customHeight="1">
      <c r="A234" s="90"/>
      <c r="B234" s="254">
        <v>46081</v>
      </c>
      <c r="C234" s="315">
        <f t="shared" si="232"/>
        <v>1703</v>
      </c>
      <c r="D234" s="105">
        <f t="shared" si="236"/>
        <v>9.1042689371697016E-2</v>
      </c>
      <c r="E234" s="105">
        <f t="shared" si="236"/>
        <v>5.8726306517909568E-2</v>
      </c>
      <c r="F234" s="105">
        <f t="shared" si="236"/>
        <v>5.1653376394597765E-2</v>
      </c>
      <c r="G234" s="105">
        <f t="shared" si="236"/>
        <v>4.0533763945977686E-2</v>
      </c>
      <c r="H234" s="105">
        <f t="shared" si="236"/>
        <v>3.5240634174985318E-2</v>
      </c>
      <c r="I234" s="105">
        <f t="shared" si="236"/>
        <v>3.1716793893129772E-2</v>
      </c>
      <c r="J234" s="105" t="s">
        <v>22</v>
      </c>
      <c r="K234" s="105" t="s">
        <v>22</v>
      </c>
      <c r="L234" s="105" t="s">
        <v>22</v>
      </c>
      <c r="M234" s="105" t="s">
        <v>22</v>
      </c>
      <c r="N234" s="105" t="s">
        <v>22</v>
      </c>
      <c r="O234" s="104">
        <f t="shared" si="204"/>
        <v>0.64504142972039846</v>
      </c>
      <c r="P234" s="104">
        <f t="shared" si="205"/>
        <v>0.34837277009294676</v>
      </c>
      <c r="Q234" s="459">
        <f t="shared" si="233"/>
        <v>72</v>
      </c>
      <c r="R234" s="105">
        <f t="shared" si="237"/>
        <v>0.51390000000000002</v>
      </c>
      <c r="S234" s="105">
        <f t="shared" si="237"/>
        <v>0.47220000000000006</v>
      </c>
      <c r="T234" s="105">
        <f t="shared" si="237"/>
        <v>0.37503333333333333</v>
      </c>
      <c r="U234" s="105">
        <f t="shared" si="237"/>
        <v>0.27776666666666672</v>
      </c>
      <c r="V234" s="105">
        <f t="shared" si="237"/>
        <v>0.29166666666666669</v>
      </c>
      <c r="W234" s="105">
        <f t="shared" si="237"/>
        <v>0.25</v>
      </c>
      <c r="X234" s="105" t="s">
        <v>22</v>
      </c>
      <c r="Y234" s="105" t="s">
        <v>22</v>
      </c>
      <c r="Z234" s="105" t="s">
        <v>22</v>
      </c>
      <c r="AA234" s="105" t="s">
        <v>22</v>
      </c>
      <c r="AB234" s="105" t="s">
        <v>22</v>
      </c>
      <c r="AC234" s="104">
        <f t="shared" si="206"/>
        <v>0.91885580852305904</v>
      </c>
      <c r="AD234" s="203">
        <f t="shared" si="207"/>
        <v>0.48647596808717647</v>
      </c>
      <c r="AE234" s="1"/>
      <c r="AF234" s="90"/>
      <c r="AG234" s="254">
        <v>46081</v>
      </c>
      <c r="AH234" s="200">
        <v>1039</v>
      </c>
      <c r="AI234" s="105">
        <v>7.0300000000000001E-2</v>
      </c>
      <c r="AJ234" s="105">
        <v>4.4299999999999999E-2</v>
      </c>
      <c r="AK234" s="105">
        <v>3.7499999999999999E-2</v>
      </c>
      <c r="AL234" s="105">
        <v>3.1800000000000002E-2</v>
      </c>
      <c r="AM234" s="105">
        <v>2.5999999999999999E-2</v>
      </c>
      <c r="AN234" s="105">
        <v>2.3099999999999999E-2</v>
      </c>
      <c r="AO234" s="105" t="s">
        <v>22</v>
      </c>
      <c r="AP234" s="26" t="s">
        <v>22</v>
      </c>
      <c r="AQ234" s="26" t="s">
        <v>22</v>
      </c>
      <c r="AR234" s="26" t="s">
        <v>22</v>
      </c>
      <c r="AS234" s="26" t="s">
        <v>22</v>
      </c>
      <c r="AT234" s="104">
        <f t="shared" si="208"/>
        <v>0.63015647226173543</v>
      </c>
      <c r="AU234" s="104">
        <f t="shared" si="209"/>
        <v>0.3285917496443812</v>
      </c>
      <c r="AV234" s="196">
        <v>24</v>
      </c>
      <c r="AW234" s="105">
        <v>0.58330000000000004</v>
      </c>
      <c r="AX234" s="105">
        <v>0.5</v>
      </c>
      <c r="AY234" s="105">
        <v>0.41670000000000001</v>
      </c>
      <c r="AZ234" s="105">
        <v>0.29170000000000001</v>
      </c>
      <c r="BA234" s="105">
        <v>0.25</v>
      </c>
      <c r="BB234" s="105">
        <v>0.25</v>
      </c>
      <c r="BC234" s="105" t="s">
        <v>22</v>
      </c>
      <c r="BD234" s="26" t="s">
        <v>22</v>
      </c>
      <c r="BE234" s="26" t="s">
        <v>22</v>
      </c>
      <c r="BF234" s="26" t="s">
        <v>22</v>
      </c>
      <c r="BG234" s="26" t="s">
        <v>22</v>
      </c>
      <c r="BH234" s="104">
        <f t="shared" si="210"/>
        <v>0.85719183953368761</v>
      </c>
      <c r="BI234" s="203">
        <f t="shared" si="211"/>
        <v>0.4285959197668438</v>
      </c>
      <c r="BK234" s="90"/>
      <c r="BL234" s="254">
        <v>46081</v>
      </c>
      <c r="BM234" s="200">
        <v>664</v>
      </c>
      <c r="BN234" s="105">
        <v>0.1235</v>
      </c>
      <c r="BO234" s="105">
        <v>8.1299999999999997E-2</v>
      </c>
      <c r="BP234" s="105">
        <v>7.3800000000000004E-2</v>
      </c>
      <c r="BQ234" s="105">
        <v>5.4199999999999998E-2</v>
      </c>
      <c r="BR234" s="105">
        <v>4.9700000000000001E-2</v>
      </c>
      <c r="BS234" s="105">
        <v>4.5199999999999997E-2</v>
      </c>
      <c r="BT234" s="105" t="s">
        <v>22</v>
      </c>
      <c r="BU234" s="26" t="s">
        <v>22</v>
      </c>
      <c r="BV234" s="26" t="s">
        <v>22</v>
      </c>
      <c r="BW234" s="26" t="s">
        <v>22</v>
      </c>
      <c r="BX234" s="26" t="s">
        <v>22</v>
      </c>
      <c r="BY234" s="104">
        <f t="shared" si="212"/>
        <v>0.65829959514170044</v>
      </c>
      <c r="BZ234" s="104">
        <f t="shared" si="213"/>
        <v>0.36599190283400806</v>
      </c>
      <c r="CA234" s="196">
        <v>48</v>
      </c>
      <c r="CB234" s="105">
        <v>0.47920000000000001</v>
      </c>
      <c r="CC234" s="105">
        <v>0.45829999999999999</v>
      </c>
      <c r="CD234" s="105">
        <v>0.35420000000000001</v>
      </c>
      <c r="CE234" s="105">
        <v>0.27079999999999999</v>
      </c>
      <c r="CF234" s="105">
        <v>0.3125</v>
      </c>
      <c r="CG234" s="105">
        <v>0.25</v>
      </c>
      <c r="CH234" s="105" t="s">
        <v>22</v>
      </c>
      <c r="CI234" s="26" t="s">
        <v>22</v>
      </c>
      <c r="CJ234" s="26" t="s">
        <v>22</v>
      </c>
      <c r="CK234" s="26" t="s">
        <v>22</v>
      </c>
      <c r="CL234" s="26" t="s">
        <v>22</v>
      </c>
      <c r="CM234" s="104">
        <f t="shared" si="214"/>
        <v>0.95638564273789639</v>
      </c>
      <c r="CN234" s="203">
        <f t="shared" si="215"/>
        <v>0.52170283806343909</v>
      </c>
    </row>
    <row r="235" spans="1:92" ht="13.7" customHeight="1">
      <c r="A235" s="90"/>
      <c r="B235" s="254">
        <v>46082</v>
      </c>
      <c r="C235" s="315">
        <f t="shared" si="232"/>
        <v>2012</v>
      </c>
      <c r="D235" s="105">
        <f t="shared" si="236"/>
        <v>9.7911033797216704E-2</v>
      </c>
      <c r="E235" s="105">
        <f t="shared" si="236"/>
        <v>7.1056262425447325E-2</v>
      </c>
      <c r="F235" s="105">
        <f t="shared" si="236"/>
        <v>5.3669184890656071E-2</v>
      </c>
      <c r="G235" s="105">
        <f t="shared" si="236"/>
        <v>4.1261729622266395E-2</v>
      </c>
      <c r="H235" s="105">
        <f t="shared" si="236"/>
        <v>3.6321918489065609E-2</v>
      </c>
      <c r="I235" s="105">
        <f t="shared" si="236"/>
        <v>3.8286580516898608E-2</v>
      </c>
      <c r="J235" s="105" t="s">
        <v>22</v>
      </c>
      <c r="K235" s="105" t="s">
        <v>22</v>
      </c>
      <c r="L235" s="105" t="s">
        <v>22</v>
      </c>
      <c r="M235" s="105" t="s">
        <v>22</v>
      </c>
      <c r="N235" s="105" t="s">
        <v>22</v>
      </c>
      <c r="O235" s="104">
        <f t="shared" si="204"/>
        <v>0.72572272674203164</v>
      </c>
      <c r="P235" s="104">
        <f t="shared" si="205"/>
        <v>0.39103438123423195</v>
      </c>
      <c r="Q235" s="459">
        <f t="shared" si="233"/>
        <v>95</v>
      </c>
      <c r="R235" s="105">
        <f t="shared" si="237"/>
        <v>0.60001473684210527</v>
      </c>
      <c r="S235" s="105">
        <f t="shared" si="237"/>
        <v>0.43155473684210527</v>
      </c>
      <c r="T235" s="105">
        <f t="shared" si="237"/>
        <v>0.33683684210526316</v>
      </c>
      <c r="U235" s="105">
        <f t="shared" si="237"/>
        <v>0.30528315789473681</v>
      </c>
      <c r="V235" s="105">
        <f t="shared" si="237"/>
        <v>0.2315663157894737</v>
      </c>
      <c r="W235" s="105">
        <f t="shared" si="237"/>
        <v>0.2315663157894737</v>
      </c>
      <c r="X235" s="105" t="s">
        <v>22</v>
      </c>
      <c r="Y235" s="105" t="s">
        <v>22</v>
      </c>
      <c r="Z235" s="105" t="s">
        <v>22</v>
      </c>
      <c r="AA235" s="105" t="s">
        <v>22</v>
      </c>
      <c r="AB235" s="105" t="s">
        <v>22</v>
      </c>
      <c r="AC235" s="104">
        <f t="shared" si="206"/>
        <v>0.71924022918735331</v>
      </c>
      <c r="AD235" s="203">
        <f t="shared" si="207"/>
        <v>0.38593438055907403</v>
      </c>
      <c r="AE235" s="1"/>
      <c r="AF235" s="90"/>
      <c r="AG235" s="254">
        <v>46082</v>
      </c>
      <c r="AH235" s="200">
        <v>1011</v>
      </c>
      <c r="AI235" s="105">
        <v>8.0100000000000005E-2</v>
      </c>
      <c r="AJ235" s="105">
        <v>6.2300000000000001E-2</v>
      </c>
      <c r="AK235" s="105">
        <v>4.7500000000000001E-2</v>
      </c>
      <c r="AL235" s="105">
        <v>3.3599999999999998E-2</v>
      </c>
      <c r="AM235" s="105">
        <v>3.0700000000000002E-2</v>
      </c>
      <c r="AN235" s="105">
        <v>3.56E-2</v>
      </c>
      <c r="AO235" s="105" t="s">
        <v>22</v>
      </c>
      <c r="AP235" s="26" t="s">
        <v>22</v>
      </c>
      <c r="AQ235" s="26" t="s">
        <v>22</v>
      </c>
      <c r="AR235" s="26" t="s">
        <v>22</v>
      </c>
      <c r="AS235" s="26" t="s">
        <v>22</v>
      </c>
      <c r="AT235" s="104">
        <f t="shared" si="208"/>
        <v>0.77777777777777779</v>
      </c>
      <c r="AU235" s="104">
        <f t="shared" si="209"/>
        <v>0.44444444444444442</v>
      </c>
      <c r="AV235" s="196">
        <v>39</v>
      </c>
      <c r="AW235" s="105">
        <v>0.61539999999999995</v>
      </c>
      <c r="AX235" s="105">
        <v>0.46150000000000002</v>
      </c>
      <c r="AY235" s="105">
        <v>0.33329999999999999</v>
      </c>
      <c r="AZ235" s="105">
        <v>0.30769999999999997</v>
      </c>
      <c r="BA235" s="105">
        <v>0.23080000000000001</v>
      </c>
      <c r="BB235" s="105">
        <v>0.23080000000000001</v>
      </c>
      <c r="BC235" s="105" t="s">
        <v>22</v>
      </c>
      <c r="BD235" s="26" t="s">
        <v>22</v>
      </c>
      <c r="BE235" s="26" t="s">
        <v>22</v>
      </c>
      <c r="BF235" s="26" t="s">
        <v>22</v>
      </c>
      <c r="BG235" s="26" t="s">
        <v>22</v>
      </c>
      <c r="BH235" s="104">
        <f t="shared" si="210"/>
        <v>0.74991875203119929</v>
      </c>
      <c r="BI235" s="203">
        <f t="shared" si="211"/>
        <v>0.37504062398440041</v>
      </c>
      <c r="BK235" s="90"/>
      <c r="BL235" s="254">
        <v>46082</v>
      </c>
      <c r="BM235" s="200">
        <v>1001</v>
      </c>
      <c r="BN235" s="105">
        <v>0.1159</v>
      </c>
      <c r="BO235" s="105">
        <v>7.9899999999999999E-2</v>
      </c>
      <c r="BP235" s="105">
        <v>5.9900000000000002E-2</v>
      </c>
      <c r="BQ235" s="105">
        <v>4.9000000000000002E-2</v>
      </c>
      <c r="BR235" s="105">
        <v>4.2000000000000003E-2</v>
      </c>
      <c r="BS235" s="105">
        <v>4.1000000000000002E-2</v>
      </c>
      <c r="BT235" s="105" t="s">
        <v>22</v>
      </c>
      <c r="BU235" s="26" t="s">
        <v>22</v>
      </c>
      <c r="BV235" s="26" t="s">
        <v>22</v>
      </c>
      <c r="BW235" s="26" t="s">
        <v>22</v>
      </c>
      <c r="BX235" s="26" t="s">
        <v>22</v>
      </c>
      <c r="BY235" s="104">
        <f t="shared" si="212"/>
        <v>0.68938740293356338</v>
      </c>
      <c r="BZ235" s="104">
        <f t="shared" si="213"/>
        <v>0.35375323554788612</v>
      </c>
      <c r="CA235" s="196">
        <v>56</v>
      </c>
      <c r="CB235" s="105">
        <v>0.58930000000000005</v>
      </c>
      <c r="CC235" s="105">
        <v>0.41070000000000001</v>
      </c>
      <c r="CD235" s="105">
        <v>0.33929999999999999</v>
      </c>
      <c r="CE235" s="105">
        <v>0.30359999999999998</v>
      </c>
      <c r="CF235" s="105">
        <v>0.2321</v>
      </c>
      <c r="CG235" s="105">
        <v>0.2321</v>
      </c>
      <c r="CH235" s="105" t="s">
        <v>22</v>
      </c>
      <c r="CI235" s="26" t="s">
        <v>22</v>
      </c>
      <c r="CJ235" s="26" t="s">
        <v>22</v>
      </c>
      <c r="CK235" s="26" t="s">
        <v>22</v>
      </c>
      <c r="CL235" s="26" t="s">
        <v>22</v>
      </c>
      <c r="CM235" s="104">
        <f t="shared" si="214"/>
        <v>0.69692855930765307</v>
      </c>
      <c r="CN235" s="203">
        <f t="shared" si="215"/>
        <v>0.39385711861530626</v>
      </c>
    </row>
    <row r="236" spans="1:92" ht="13.7" customHeight="1">
      <c r="A236" s="90"/>
      <c r="B236" s="254">
        <v>46083</v>
      </c>
      <c r="C236" s="315">
        <f t="shared" si="232"/>
        <v>2109</v>
      </c>
      <c r="D236" s="105">
        <f t="shared" si="236"/>
        <v>9.9124798482693205E-2</v>
      </c>
      <c r="E236" s="105">
        <f t="shared" si="236"/>
        <v>5.643224276908488E-2</v>
      </c>
      <c r="F236" s="105">
        <f t="shared" si="236"/>
        <v>4.3121100047415831E-2</v>
      </c>
      <c r="G236" s="105">
        <f t="shared" si="236"/>
        <v>3.412228544333807E-2</v>
      </c>
      <c r="H236" s="105">
        <f t="shared" si="236"/>
        <v>2.9397629208155526E-2</v>
      </c>
      <c r="I236" s="105">
        <f t="shared" si="236"/>
        <v>2.7962209577999053E-2</v>
      </c>
      <c r="J236" s="105" t="s">
        <v>22</v>
      </c>
      <c r="K236" s="105" t="s">
        <v>22</v>
      </c>
      <c r="L236" s="105" t="s">
        <v>22</v>
      </c>
      <c r="M236" s="105" t="s">
        <v>22</v>
      </c>
      <c r="N236" s="105" t="s">
        <v>22</v>
      </c>
      <c r="O236" s="104">
        <f t="shared" ref="O236:O243" si="238">E236/D236</f>
        <v>0.56930499363323017</v>
      </c>
      <c r="P236" s="104">
        <f t="shared" si="205"/>
        <v>0.28209096014335044</v>
      </c>
      <c r="Q236" s="459">
        <f t="shared" si="233"/>
        <v>84</v>
      </c>
      <c r="R236" s="105">
        <f t="shared" si="237"/>
        <v>0.57143333333333335</v>
      </c>
      <c r="S236" s="105">
        <f t="shared" si="237"/>
        <v>0.40475476190476189</v>
      </c>
      <c r="T236" s="105">
        <f t="shared" si="237"/>
        <v>0.25000714285714287</v>
      </c>
      <c r="U236" s="105">
        <f t="shared" si="237"/>
        <v>0.26190714285714284</v>
      </c>
      <c r="V236" s="105">
        <f t="shared" si="237"/>
        <v>0.20238333333333333</v>
      </c>
      <c r="W236" s="105">
        <f t="shared" si="237"/>
        <v>0.13093333333333335</v>
      </c>
      <c r="X236" s="105" t="s">
        <v>22</v>
      </c>
      <c r="Y236" s="105" t="s">
        <v>22</v>
      </c>
      <c r="Z236" s="105" t="s">
        <v>22</v>
      </c>
      <c r="AA236" s="105" t="s">
        <v>22</v>
      </c>
      <c r="AB236" s="105" t="s">
        <v>22</v>
      </c>
      <c r="AC236" s="104">
        <f t="shared" ref="AC236:AC243" si="239">S236/R236</f>
        <v>0.70831493070891072</v>
      </c>
      <c r="AD236" s="203">
        <f t="shared" si="207"/>
        <v>0.22913142390480082</v>
      </c>
      <c r="AE236" s="1"/>
      <c r="AF236" s="90"/>
      <c r="AG236" s="254">
        <v>46083</v>
      </c>
      <c r="AH236" s="200">
        <v>1052</v>
      </c>
      <c r="AI236" s="105">
        <v>6.7500000000000004E-2</v>
      </c>
      <c r="AJ236" s="105">
        <v>4.2799999999999998E-2</v>
      </c>
      <c r="AK236" s="105">
        <v>3.4200000000000001E-2</v>
      </c>
      <c r="AL236" s="105">
        <v>2.47E-2</v>
      </c>
      <c r="AM236" s="105">
        <v>3.04E-2</v>
      </c>
      <c r="AN236" s="105">
        <v>2.2800000000000001E-2</v>
      </c>
      <c r="AO236" s="105" t="s">
        <v>22</v>
      </c>
      <c r="AP236" s="26" t="s">
        <v>22</v>
      </c>
      <c r="AQ236" s="26" t="s">
        <v>22</v>
      </c>
      <c r="AR236" s="26" t="s">
        <v>22</v>
      </c>
      <c r="AS236" s="26" t="s">
        <v>22</v>
      </c>
      <c r="AT236" s="104">
        <f t="shared" ref="AT236:AT241" si="240">AJ236/AI236</f>
        <v>0.63407407407407401</v>
      </c>
      <c r="AU236" s="104">
        <f t="shared" si="209"/>
        <v>0.33777777777777779</v>
      </c>
      <c r="AV236" s="196">
        <v>34</v>
      </c>
      <c r="AW236" s="105">
        <v>0.47060000000000002</v>
      </c>
      <c r="AX236" s="105">
        <v>0.29409999999999997</v>
      </c>
      <c r="AY236" s="105">
        <v>0.2059</v>
      </c>
      <c r="AZ236" s="105">
        <v>0.23530000000000001</v>
      </c>
      <c r="BA236" s="105">
        <v>0.23530000000000001</v>
      </c>
      <c r="BB236" s="105">
        <v>0.1176</v>
      </c>
      <c r="BC236" s="105" t="s">
        <v>22</v>
      </c>
      <c r="BD236" s="26" t="s">
        <v>22</v>
      </c>
      <c r="BE236" s="26" t="s">
        <v>22</v>
      </c>
      <c r="BF236" s="26" t="s">
        <v>22</v>
      </c>
      <c r="BG236" s="26" t="s">
        <v>22</v>
      </c>
      <c r="BH236" s="104">
        <f t="shared" ref="BH236:BH241" si="241">AX236/AW236</f>
        <v>0.62494687632809176</v>
      </c>
      <c r="BI236" s="203">
        <f t="shared" si="211"/>
        <v>0.24989375265618358</v>
      </c>
      <c r="BK236" s="90"/>
      <c r="BL236" s="254">
        <v>46083</v>
      </c>
      <c r="BM236" s="200">
        <v>1057</v>
      </c>
      <c r="BN236" s="105">
        <v>0.13059999999999999</v>
      </c>
      <c r="BO236" s="105">
        <v>7.0000000000000007E-2</v>
      </c>
      <c r="BP236" s="105">
        <v>5.1999999999999998E-2</v>
      </c>
      <c r="BQ236" s="105">
        <v>4.3499999999999997E-2</v>
      </c>
      <c r="BR236" s="105">
        <v>2.8400000000000002E-2</v>
      </c>
      <c r="BS236" s="105">
        <v>3.3099999999999997E-2</v>
      </c>
      <c r="BT236" s="105" t="s">
        <v>22</v>
      </c>
      <c r="BU236" s="26" t="s">
        <v>22</v>
      </c>
      <c r="BV236" s="26" t="s">
        <v>22</v>
      </c>
      <c r="BW236" s="26" t="s">
        <v>22</v>
      </c>
      <c r="BX236" s="26" t="s">
        <v>22</v>
      </c>
      <c r="BY236" s="104">
        <f t="shared" ref="BY236:BY241" si="242">BO236/BN236</f>
        <v>0.53598774885145495</v>
      </c>
      <c r="BZ236" s="104">
        <f t="shared" si="213"/>
        <v>0.25344563552833077</v>
      </c>
      <c r="CA236" s="196">
        <v>50</v>
      </c>
      <c r="CB236" s="105">
        <v>0.64</v>
      </c>
      <c r="CC236" s="105">
        <v>0.48</v>
      </c>
      <c r="CD236" s="105">
        <v>0.28000000000000003</v>
      </c>
      <c r="CE236" s="105">
        <v>0.28000000000000003</v>
      </c>
      <c r="CF236" s="105">
        <v>0.18</v>
      </c>
      <c r="CG236" s="105">
        <v>0.14000000000000001</v>
      </c>
      <c r="CH236" s="105" t="s">
        <v>22</v>
      </c>
      <c r="CI236" s="26" t="s">
        <v>22</v>
      </c>
      <c r="CJ236" s="26" t="s">
        <v>22</v>
      </c>
      <c r="CK236" s="26" t="s">
        <v>22</v>
      </c>
      <c r="CL236" s="26" t="s">
        <v>22</v>
      </c>
      <c r="CM236" s="104">
        <f t="shared" ref="CM236:CM241" si="243">CC236/CB236</f>
        <v>0.75</v>
      </c>
      <c r="CN236" s="203">
        <f t="shared" si="215"/>
        <v>0.21875000000000003</v>
      </c>
    </row>
    <row r="237" spans="1:92" ht="13.7" customHeight="1">
      <c r="A237" s="547" t="s">
        <v>33</v>
      </c>
      <c r="B237" s="312">
        <v>46084</v>
      </c>
      <c r="C237" s="241">
        <f t="shared" si="232"/>
        <v>2061</v>
      </c>
      <c r="D237" s="105">
        <f t="shared" si="236"/>
        <v>8.5884279475982525E-2</v>
      </c>
      <c r="E237" s="105">
        <f t="shared" si="236"/>
        <v>5.5331441048034939E-2</v>
      </c>
      <c r="F237" s="105">
        <f t="shared" si="236"/>
        <v>4.171877729257642E-2</v>
      </c>
      <c r="G237" s="105">
        <f t="shared" si="236"/>
        <v>3.6895633187772926E-2</v>
      </c>
      <c r="H237" s="105">
        <f t="shared" si="236"/>
        <v>3.1995196506550215E-2</v>
      </c>
      <c r="I237" s="105">
        <f t="shared" si="236"/>
        <v>3.1514847161572053E-2</v>
      </c>
      <c r="J237" s="105" t="s">
        <v>22</v>
      </c>
      <c r="K237" s="105" t="s">
        <v>22</v>
      </c>
      <c r="L237" s="105" t="s">
        <v>22</v>
      </c>
      <c r="M237" s="105" t="s">
        <v>22</v>
      </c>
      <c r="N237" s="105" t="s">
        <v>22</v>
      </c>
      <c r="O237" s="104">
        <f t="shared" si="238"/>
        <v>0.64425575187492068</v>
      </c>
      <c r="P237" s="104">
        <f t="shared" si="205"/>
        <v>0.36694546841235542</v>
      </c>
      <c r="Q237" s="95">
        <f t="shared" si="233"/>
        <v>89</v>
      </c>
      <c r="R237" s="105">
        <f t="shared" si="237"/>
        <v>0.55054606741573042</v>
      </c>
      <c r="S237" s="105">
        <f t="shared" si="237"/>
        <v>0.40446404494382016</v>
      </c>
      <c r="T237" s="105">
        <f t="shared" si="237"/>
        <v>0.34830337078651685</v>
      </c>
      <c r="U237" s="105">
        <f t="shared" si="237"/>
        <v>0.37079438202247195</v>
      </c>
      <c r="V237" s="105">
        <f t="shared" si="237"/>
        <v>0.30333595505617977</v>
      </c>
      <c r="W237" s="105">
        <f t="shared" si="237"/>
        <v>0.25844494382022476</v>
      </c>
      <c r="X237" s="105" t="s">
        <v>22</v>
      </c>
      <c r="Y237" s="105" t="s">
        <v>22</v>
      </c>
      <c r="Z237" s="105" t="s">
        <v>22</v>
      </c>
      <c r="AA237" s="105" t="s">
        <v>22</v>
      </c>
      <c r="AB237" s="105" t="s">
        <v>22</v>
      </c>
      <c r="AC237" s="104">
        <f t="shared" si="239"/>
        <v>0.73465976578922643</v>
      </c>
      <c r="AD237" s="203">
        <f t="shared" si="207"/>
        <v>0.46943382055813837</v>
      </c>
      <c r="AE237" s="1"/>
      <c r="AF237" s="510" t="s">
        <v>33</v>
      </c>
      <c r="AG237" s="312">
        <v>46084</v>
      </c>
      <c r="AH237" s="200">
        <v>1017</v>
      </c>
      <c r="AI237" s="105">
        <v>6.3899999999999998E-2</v>
      </c>
      <c r="AJ237" s="105">
        <v>4.1300000000000003E-2</v>
      </c>
      <c r="AK237" s="105">
        <v>3.6400000000000002E-2</v>
      </c>
      <c r="AL237" s="105">
        <v>2.9499999999999998E-2</v>
      </c>
      <c r="AM237" s="105">
        <v>2.8500000000000001E-2</v>
      </c>
      <c r="AN237" s="105">
        <v>2.6499999999999999E-2</v>
      </c>
      <c r="AO237" s="105" t="s">
        <v>22</v>
      </c>
      <c r="AP237" s="26" t="s">
        <v>22</v>
      </c>
      <c r="AQ237" s="26" t="s">
        <v>22</v>
      </c>
      <c r="AR237" s="26" t="s">
        <v>22</v>
      </c>
      <c r="AS237" s="26" t="s">
        <v>22</v>
      </c>
      <c r="AT237" s="104">
        <f t="shared" si="240"/>
        <v>0.64632237871674503</v>
      </c>
      <c r="AU237" s="104">
        <f t="shared" si="209"/>
        <v>0.41471048513302033</v>
      </c>
      <c r="AV237" s="196">
        <v>33</v>
      </c>
      <c r="AW237" s="105">
        <v>0.42420000000000002</v>
      </c>
      <c r="AX237" s="105">
        <v>0.33329999999999999</v>
      </c>
      <c r="AY237" s="105">
        <v>0.30299999999999999</v>
      </c>
      <c r="AZ237" s="105">
        <v>0.2727</v>
      </c>
      <c r="BA237" s="105">
        <v>0.21210000000000001</v>
      </c>
      <c r="BB237" s="105">
        <v>0.2424</v>
      </c>
      <c r="BC237" s="105" t="s">
        <v>22</v>
      </c>
      <c r="BD237" s="26" t="s">
        <v>22</v>
      </c>
      <c r="BE237" s="26" t="s">
        <v>22</v>
      </c>
      <c r="BF237" s="26" t="s">
        <v>22</v>
      </c>
      <c r="BG237" s="26" t="s">
        <v>22</v>
      </c>
      <c r="BH237" s="104">
        <f t="shared" si="241"/>
        <v>0.78571428571428559</v>
      </c>
      <c r="BI237" s="203">
        <f t="shared" si="211"/>
        <v>0.5714285714285714</v>
      </c>
      <c r="BK237" s="527" t="s">
        <v>33</v>
      </c>
      <c r="BL237" s="312">
        <v>46084</v>
      </c>
      <c r="BM237" s="200">
        <v>1044</v>
      </c>
      <c r="BN237" s="105">
        <v>0.10730000000000001</v>
      </c>
      <c r="BO237" s="105">
        <v>6.9000000000000006E-2</v>
      </c>
      <c r="BP237" s="105">
        <v>4.6899999999999997E-2</v>
      </c>
      <c r="BQ237" s="105">
        <v>4.41E-2</v>
      </c>
      <c r="BR237" s="105">
        <v>3.5400000000000001E-2</v>
      </c>
      <c r="BS237" s="105">
        <v>3.6400000000000002E-2</v>
      </c>
      <c r="BT237" s="105" t="s">
        <v>22</v>
      </c>
      <c r="BU237" s="26" t="s">
        <v>22</v>
      </c>
      <c r="BV237" s="26" t="s">
        <v>22</v>
      </c>
      <c r="BW237" s="26" t="s">
        <v>22</v>
      </c>
      <c r="BX237" s="26" t="s">
        <v>22</v>
      </c>
      <c r="BY237" s="104">
        <f t="shared" si="242"/>
        <v>0.64305684995340173</v>
      </c>
      <c r="BZ237" s="104">
        <f t="shared" si="213"/>
        <v>0.33923578751164957</v>
      </c>
      <c r="CA237" s="196">
        <v>56</v>
      </c>
      <c r="CB237" s="105">
        <v>0.625</v>
      </c>
      <c r="CC237" s="105">
        <v>0.44640000000000002</v>
      </c>
      <c r="CD237" s="105">
        <v>0.375</v>
      </c>
      <c r="CE237" s="105">
        <v>0.42859999999999998</v>
      </c>
      <c r="CF237" s="105">
        <v>0.35709999999999997</v>
      </c>
      <c r="CG237" s="105">
        <v>0.26790000000000003</v>
      </c>
      <c r="CH237" s="105" t="s">
        <v>22</v>
      </c>
      <c r="CI237" s="26" t="s">
        <v>22</v>
      </c>
      <c r="CJ237" s="26" t="s">
        <v>22</v>
      </c>
      <c r="CK237" s="26" t="s">
        <v>22</v>
      </c>
      <c r="CL237" s="26" t="s">
        <v>22</v>
      </c>
      <c r="CM237" s="104">
        <f t="shared" si="243"/>
        <v>0.71423999999999999</v>
      </c>
      <c r="CN237" s="203">
        <f t="shared" si="215"/>
        <v>0.42864000000000002</v>
      </c>
    </row>
    <row r="238" spans="1:92" ht="13.7" customHeight="1">
      <c r="A238" s="506"/>
      <c r="B238" s="312">
        <v>46085</v>
      </c>
      <c r="C238" s="241">
        <f t="shared" si="232"/>
        <v>1642</v>
      </c>
      <c r="D238" s="105">
        <f t="shared" si="236"/>
        <v>9.0784409257003651E-2</v>
      </c>
      <c r="E238" s="105">
        <f t="shared" si="236"/>
        <v>6.0305237515225332E-2</v>
      </c>
      <c r="F238" s="105">
        <f t="shared" si="236"/>
        <v>4.6885383678440917E-2</v>
      </c>
      <c r="G238" s="105">
        <f t="shared" si="236"/>
        <v>4.2673934226552981E-2</v>
      </c>
      <c r="H238" s="105">
        <f t="shared" si="236"/>
        <v>3.528964677222899E-2</v>
      </c>
      <c r="I238" s="105">
        <f t="shared" si="236"/>
        <v>3.4701948842874537E-2</v>
      </c>
      <c r="J238" s="105" t="s">
        <v>22</v>
      </c>
      <c r="K238" s="105" t="s">
        <v>22</v>
      </c>
      <c r="L238" s="105" t="s">
        <v>22</v>
      </c>
      <c r="M238" s="105" t="s">
        <v>22</v>
      </c>
      <c r="N238" s="105" t="s">
        <v>22</v>
      </c>
      <c r="O238" s="104">
        <f t="shared" si="238"/>
        <v>0.66426865591542117</v>
      </c>
      <c r="P238" s="104">
        <f t="shared" si="205"/>
        <v>0.38224568653232077</v>
      </c>
      <c r="Q238" s="95">
        <f t="shared" si="233"/>
        <v>69</v>
      </c>
      <c r="R238" s="105">
        <f t="shared" si="237"/>
        <v>0.49273913043478262</v>
      </c>
      <c r="S238" s="105">
        <f t="shared" si="237"/>
        <v>0.43474347826086962</v>
      </c>
      <c r="T238" s="105">
        <f t="shared" si="237"/>
        <v>0.26087391304347823</v>
      </c>
      <c r="U238" s="105">
        <f t="shared" si="237"/>
        <v>0.2898217391304348</v>
      </c>
      <c r="V238" s="105">
        <f t="shared" si="237"/>
        <v>0.27534347826086958</v>
      </c>
      <c r="W238" s="105">
        <f t="shared" si="237"/>
        <v>0.27540434782608697</v>
      </c>
      <c r="X238" s="105" t="s">
        <v>22</v>
      </c>
      <c r="Y238" s="105" t="s">
        <v>22</v>
      </c>
      <c r="Z238" s="105" t="s">
        <v>22</v>
      </c>
      <c r="AA238" s="105" t="s">
        <v>22</v>
      </c>
      <c r="AB238" s="105" t="s">
        <v>22</v>
      </c>
      <c r="AC238" s="104">
        <f t="shared" si="239"/>
        <v>0.88229947939645292</v>
      </c>
      <c r="AD238" s="203">
        <f t="shared" si="207"/>
        <v>0.55892526250772079</v>
      </c>
      <c r="AE238" s="1"/>
      <c r="AF238" s="506"/>
      <c r="AG238" s="312">
        <v>46085</v>
      </c>
      <c r="AH238" s="200">
        <v>902</v>
      </c>
      <c r="AI238" s="105">
        <v>7.0999999999999994E-2</v>
      </c>
      <c r="AJ238" s="105">
        <v>3.6600000000000001E-2</v>
      </c>
      <c r="AK238" s="105">
        <v>3.9899999999999998E-2</v>
      </c>
      <c r="AL238" s="105">
        <v>3.3300000000000003E-2</v>
      </c>
      <c r="AM238" s="105">
        <v>2.8799999999999999E-2</v>
      </c>
      <c r="AN238" s="105">
        <v>2.3300000000000001E-2</v>
      </c>
      <c r="AO238" s="105" t="s">
        <v>22</v>
      </c>
      <c r="AP238" s="26" t="s">
        <v>22</v>
      </c>
      <c r="AQ238" s="26" t="s">
        <v>22</v>
      </c>
      <c r="AR238" s="26" t="s">
        <v>22</v>
      </c>
      <c r="AS238" s="26" t="s">
        <v>22</v>
      </c>
      <c r="AT238" s="104">
        <f t="shared" si="240"/>
        <v>0.51549295774647896</v>
      </c>
      <c r="AU238" s="104">
        <f t="shared" si="209"/>
        <v>0.3281690140845071</v>
      </c>
      <c r="AV238" s="196">
        <v>30</v>
      </c>
      <c r="AW238" s="105">
        <v>0.3</v>
      </c>
      <c r="AX238" s="105">
        <v>0.23330000000000001</v>
      </c>
      <c r="AY238" s="105">
        <v>0.2</v>
      </c>
      <c r="AZ238" s="105">
        <v>0.23330000000000001</v>
      </c>
      <c r="BA238" s="105">
        <v>0.2</v>
      </c>
      <c r="BB238" s="105">
        <v>0.26669999999999999</v>
      </c>
      <c r="BC238" s="105" t="s">
        <v>22</v>
      </c>
      <c r="BD238" s="26" t="s">
        <v>22</v>
      </c>
      <c r="BE238" s="26" t="s">
        <v>22</v>
      </c>
      <c r="BF238" s="26" t="s">
        <v>22</v>
      </c>
      <c r="BG238" s="26" t="s">
        <v>22</v>
      </c>
      <c r="BH238" s="104">
        <f t="shared" si="241"/>
        <v>0.77766666666666673</v>
      </c>
      <c r="BI238" s="203">
        <f t="shared" si="211"/>
        <v>0.88900000000000001</v>
      </c>
      <c r="BK238" s="506"/>
      <c r="BL238" s="312">
        <v>46085</v>
      </c>
      <c r="BM238" s="200">
        <v>740</v>
      </c>
      <c r="BN238" s="105">
        <v>0.1149</v>
      </c>
      <c r="BO238" s="105">
        <v>8.9200000000000002E-2</v>
      </c>
      <c r="BP238" s="105">
        <v>5.5399999999999998E-2</v>
      </c>
      <c r="BQ238" s="105">
        <v>5.4100000000000002E-2</v>
      </c>
      <c r="BR238" s="105">
        <v>4.3200000000000002E-2</v>
      </c>
      <c r="BS238" s="105">
        <v>4.8599999999999997E-2</v>
      </c>
      <c r="BT238" s="105" t="s">
        <v>22</v>
      </c>
      <c r="BU238" s="26" t="s">
        <v>22</v>
      </c>
      <c r="BV238" s="26" t="s">
        <v>22</v>
      </c>
      <c r="BW238" s="26" t="s">
        <v>22</v>
      </c>
      <c r="BX238" s="26" t="s">
        <v>22</v>
      </c>
      <c r="BY238" s="104">
        <f t="shared" si="242"/>
        <v>0.77632724107919926</v>
      </c>
      <c r="BZ238" s="104">
        <f t="shared" si="213"/>
        <v>0.42297650130548298</v>
      </c>
      <c r="CA238" s="196">
        <v>39</v>
      </c>
      <c r="CB238" s="105">
        <v>0.64100000000000001</v>
      </c>
      <c r="CC238" s="105">
        <v>0.5897</v>
      </c>
      <c r="CD238" s="105">
        <v>0.30769999999999997</v>
      </c>
      <c r="CE238" s="105">
        <v>0.33329999999999999</v>
      </c>
      <c r="CF238" s="105">
        <v>0.33329999999999999</v>
      </c>
      <c r="CG238" s="105">
        <v>0.28210000000000002</v>
      </c>
      <c r="CH238" s="105" t="s">
        <v>22</v>
      </c>
      <c r="CI238" s="26" t="s">
        <v>22</v>
      </c>
      <c r="CJ238" s="26" t="s">
        <v>22</v>
      </c>
      <c r="CK238" s="26" t="s">
        <v>22</v>
      </c>
      <c r="CL238" s="26" t="s">
        <v>22</v>
      </c>
      <c r="CM238" s="104">
        <f t="shared" si="243"/>
        <v>0.91996879875195003</v>
      </c>
      <c r="CN238" s="203">
        <f t="shared" si="215"/>
        <v>0.4400936037441498</v>
      </c>
    </row>
    <row r="239" spans="1:92" ht="13.7" customHeight="1">
      <c r="A239" s="506"/>
      <c r="B239" s="312">
        <v>46086</v>
      </c>
      <c r="C239" s="241">
        <f t="shared" si="232"/>
        <v>1481</v>
      </c>
      <c r="D239" s="105">
        <f t="shared" si="236"/>
        <v>0.1053088453747468</v>
      </c>
      <c r="E239" s="105">
        <f t="shared" si="236"/>
        <v>5.8746455097906825E-2</v>
      </c>
      <c r="F239" s="105">
        <f t="shared" si="236"/>
        <v>5.7372923700202569E-2</v>
      </c>
      <c r="G239" s="105">
        <f t="shared" si="236"/>
        <v>4.2537474679270763E-2</v>
      </c>
      <c r="H239" s="105">
        <f t="shared" si="236"/>
        <v>3.3781093855503042E-2</v>
      </c>
      <c r="I239" s="105">
        <f t="shared" si="236"/>
        <v>2.7004388926401078E-2</v>
      </c>
      <c r="J239" s="105" t="s">
        <v>22</v>
      </c>
      <c r="K239" s="105" t="s">
        <v>22</v>
      </c>
      <c r="L239" s="105" t="s">
        <v>22</v>
      </c>
      <c r="M239" s="105" t="s">
        <v>22</v>
      </c>
      <c r="N239" s="105" t="s">
        <v>22</v>
      </c>
      <c r="O239" s="104">
        <f t="shared" si="238"/>
        <v>0.55784919955066092</v>
      </c>
      <c r="P239" s="104">
        <f t="shared" si="205"/>
        <v>0.25643039604417472</v>
      </c>
      <c r="Q239" s="95">
        <f t="shared" si="233"/>
        <v>74</v>
      </c>
      <c r="R239" s="105">
        <f t="shared" si="237"/>
        <v>0.55407027027027023</v>
      </c>
      <c r="S239" s="105">
        <f t="shared" si="237"/>
        <v>0.39190270270270272</v>
      </c>
      <c r="T239" s="105">
        <f t="shared" si="237"/>
        <v>0.3513945945945946</v>
      </c>
      <c r="U239" s="105">
        <f t="shared" si="237"/>
        <v>0.28375945945945941</v>
      </c>
      <c r="V239" s="105">
        <f t="shared" si="237"/>
        <v>0.22974324324324322</v>
      </c>
      <c r="W239" s="105">
        <f t="shared" si="237"/>
        <v>0.22974324324324322</v>
      </c>
      <c r="X239" s="105" t="s">
        <v>22</v>
      </c>
      <c r="Y239" s="105" t="s">
        <v>22</v>
      </c>
      <c r="Z239" s="105" t="s">
        <v>22</v>
      </c>
      <c r="AA239" s="105" t="s">
        <v>22</v>
      </c>
      <c r="AB239" s="105" t="s">
        <v>22</v>
      </c>
      <c r="AC239" s="104">
        <f t="shared" si="239"/>
        <v>0.70731588343755802</v>
      </c>
      <c r="AD239" s="203">
        <f t="shared" si="207"/>
        <v>0.41464640059315333</v>
      </c>
      <c r="AE239" s="1"/>
      <c r="AF239" s="506"/>
      <c r="AG239" s="312">
        <v>46086</v>
      </c>
      <c r="AH239" s="200">
        <v>770</v>
      </c>
      <c r="AI239" s="105">
        <v>7.6600000000000001E-2</v>
      </c>
      <c r="AJ239" s="105">
        <v>4.4200000000000003E-2</v>
      </c>
      <c r="AK239" s="105">
        <v>5.1900000000000002E-2</v>
      </c>
      <c r="AL239" s="105">
        <v>3.3799999999999997E-2</v>
      </c>
      <c r="AM239" s="105">
        <v>2.7300000000000001E-2</v>
      </c>
      <c r="AN239" s="105">
        <v>2.47E-2</v>
      </c>
      <c r="AO239" s="105" t="s">
        <v>22</v>
      </c>
      <c r="AP239" s="26" t="s">
        <v>22</v>
      </c>
      <c r="AQ239" s="26" t="s">
        <v>22</v>
      </c>
      <c r="AR239" s="26" t="s">
        <v>22</v>
      </c>
      <c r="AS239" s="26" t="s">
        <v>22</v>
      </c>
      <c r="AT239" s="104">
        <f t="shared" si="240"/>
        <v>0.57702349869451697</v>
      </c>
      <c r="AU239" s="104">
        <f t="shared" si="209"/>
        <v>0.32245430809399478</v>
      </c>
      <c r="AV239" s="196">
        <v>32</v>
      </c>
      <c r="AW239" s="105">
        <v>0.59379999999999999</v>
      </c>
      <c r="AX239" s="105">
        <v>0.3125</v>
      </c>
      <c r="AY239" s="105">
        <v>0.28129999999999999</v>
      </c>
      <c r="AZ239" s="105">
        <v>0.1875</v>
      </c>
      <c r="BA239" s="105">
        <v>0.15629999999999999</v>
      </c>
      <c r="BB239" s="105">
        <v>0.15629999999999999</v>
      </c>
      <c r="BC239" s="105" t="s">
        <v>22</v>
      </c>
      <c r="BD239" s="26" t="s">
        <v>22</v>
      </c>
      <c r="BE239" s="26" t="s">
        <v>22</v>
      </c>
      <c r="BF239" s="26" t="s">
        <v>22</v>
      </c>
      <c r="BG239" s="26" t="s">
        <v>22</v>
      </c>
      <c r="BH239" s="104">
        <f t="shared" si="241"/>
        <v>0.5262714718760525</v>
      </c>
      <c r="BI239" s="203">
        <f t="shared" si="211"/>
        <v>0.26321993937352645</v>
      </c>
      <c r="BK239" s="506"/>
      <c r="BL239" s="312">
        <v>46086</v>
      </c>
      <c r="BM239" s="200">
        <v>711</v>
      </c>
      <c r="BN239" s="105">
        <v>0.13639999999999999</v>
      </c>
      <c r="BO239" s="105">
        <v>7.4499999999999997E-2</v>
      </c>
      <c r="BP239" s="105">
        <v>6.3299999999999995E-2</v>
      </c>
      <c r="BQ239" s="105">
        <v>5.1999999999999998E-2</v>
      </c>
      <c r="BR239" s="105">
        <v>4.0800000000000003E-2</v>
      </c>
      <c r="BS239" s="105">
        <v>2.9499999999999998E-2</v>
      </c>
      <c r="BT239" s="105" t="s">
        <v>22</v>
      </c>
      <c r="BU239" s="26" t="s">
        <v>22</v>
      </c>
      <c r="BV239" s="26" t="s">
        <v>22</v>
      </c>
      <c r="BW239" s="26" t="s">
        <v>22</v>
      </c>
      <c r="BX239" s="26" t="s">
        <v>22</v>
      </c>
      <c r="BY239" s="104">
        <f t="shared" si="242"/>
        <v>0.54618768328445744</v>
      </c>
      <c r="BZ239" s="104">
        <f t="shared" si="213"/>
        <v>0.21627565982404692</v>
      </c>
      <c r="CA239" s="196">
        <v>42</v>
      </c>
      <c r="CB239" s="105">
        <v>0.52380000000000004</v>
      </c>
      <c r="CC239" s="105">
        <v>0.45240000000000002</v>
      </c>
      <c r="CD239" s="105">
        <v>0.40479999999999999</v>
      </c>
      <c r="CE239" s="105">
        <v>0.35709999999999997</v>
      </c>
      <c r="CF239" s="105">
        <v>0.28570000000000001</v>
      </c>
      <c r="CG239" s="105">
        <v>0.28570000000000001</v>
      </c>
      <c r="CH239" s="105" t="s">
        <v>22</v>
      </c>
      <c r="CI239" s="26" t="s">
        <v>22</v>
      </c>
      <c r="CJ239" s="26" t="s">
        <v>22</v>
      </c>
      <c r="CK239" s="26" t="s">
        <v>22</v>
      </c>
      <c r="CL239" s="26" t="s">
        <v>22</v>
      </c>
      <c r="CM239" s="104">
        <f t="shared" si="243"/>
        <v>0.86368843069873991</v>
      </c>
      <c r="CN239" s="203">
        <f t="shared" si="215"/>
        <v>0.54543718976708666</v>
      </c>
    </row>
    <row r="240" spans="1:92" ht="13.7" customHeight="1">
      <c r="A240" s="548" t="s">
        <v>34</v>
      </c>
      <c r="B240" s="271">
        <v>46087</v>
      </c>
      <c r="C240" s="240">
        <f t="shared" si="232"/>
        <v>1321</v>
      </c>
      <c r="D240" s="105">
        <f>($AH240*AI240+$BM240*BN240)/$C240</f>
        <v>0.12489333838001515</v>
      </c>
      <c r="E240" s="105">
        <f>($AH240*AJ240+$BM240*BO240)/$C240</f>
        <v>8.2532702498107499E-2</v>
      </c>
      <c r="F240" s="105">
        <f>($AH240*AK240+$BM240*BP240)/$C240</f>
        <v>5.2999545798637394E-2</v>
      </c>
      <c r="G240" s="105">
        <f>($AH240*AL240+$BM240*BQ240)/$C240</f>
        <v>4.7717486752460257E-2</v>
      </c>
      <c r="H240" s="105">
        <f>($AH240*AM240+$BM240*BR240)/$C240</f>
        <v>3.2549205147615445E-2</v>
      </c>
      <c r="I240" s="105" t="s">
        <v>22</v>
      </c>
      <c r="J240" s="105" t="s">
        <v>22</v>
      </c>
      <c r="K240" s="105" t="s">
        <v>22</v>
      </c>
      <c r="L240" s="105" t="s">
        <v>22</v>
      </c>
      <c r="M240" s="105" t="s">
        <v>22</v>
      </c>
      <c r="N240" s="105" t="s">
        <v>22</v>
      </c>
      <c r="O240" s="104">
        <f t="shared" si="238"/>
        <v>0.66082549772978116</v>
      </c>
      <c r="P240" s="104" t="s">
        <v>22</v>
      </c>
      <c r="Q240" s="458">
        <f t="shared" si="233"/>
        <v>83</v>
      </c>
      <c r="R240" s="105">
        <f>($AV240*AW240+$CA240*CB240)/$Q240</f>
        <v>0.48194096385542168</v>
      </c>
      <c r="S240" s="105">
        <f>($AV240*AX240+$CA240*CC240)/$Q240</f>
        <v>0.39756867469879525</v>
      </c>
      <c r="T240" s="105">
        <f>($AV240*AY240+$CA240*CD240)/$Q240</f>
        <v>0.24099397590361446</v>
      </c>
      <c r="U240" s="105">
        <f>($AV240*AZ240+$CA240*CE240)/$Q240</f>
        <v>0.22888554216867474</v>
      </c>
      <c r="V240" s="105">
        <f>($AV240*BA240+$CA240*CF240)/$Q240</f>
        <v>0.18069759036144581</v>
      </c>
      <c r="W240" s="105" t="s">
        <v>22</v>
      </c>
      <c r="X240" s="105" t="s">
        <v>22</v>
      </c>
      <c r="Y240" s="105" t="s">
        <v>22</v>
      </c>
      <c r="Z240" s="105" t="s">
        <v>22</v>
      </c>
      <c r="AA240" s="105" t="s">
        <v>22</v>
      </c>
      <c r="AB240" s="105" t="s">
        <v>22</v>
      </c>
      <c r="AC240" s="104">
        <f t="shared" si="239"/>
        <v>0.82493231436135528</v>
      </c>
      <c r="AD240" s="203" t="s">
        <v>22</v>
      </c>
      <c r="AE240" s="1"/>
      <c r="AF240" s="511" t="s">
        <v>34</v>
      </c>
      <c r="AG240" s="271">
        <v>46087</v>
      </c>
      <c r="AH240" s="200">
        <v>728</v>
      </c>
      <c r="AI240" s="105">
        <v>0.1099</v>
      </c>
      <c r="AJ240" s="105">
        <v>5.91E-2</v>
      </c>
      <c r="AK240" s="105">
        <v>3.85E-2</v>
      </c>
      <c r="AL240" s="105">
        <v>4.2599999999999999E-2</v>
      </c>
      <c r="AM240" s="105">
        <v>2.1999999999999999E-2</v>
      </c>
      <c r="AN240" s="105" t="s">
        <v>22</v>
      </c>
      <c r="AO240" s="105" t="s">
        <v>22</v>
      </c>
      <c r="AP240" s="26" t="s">
        <v>22</v>
      </c>
      <c r="AQ240" s="26" t="s">
        <v>22</v>
      </c>
      <c r="AR240" s="26" t="s">
        <v>22</v>
      </c>
      <c r="AS240" s="26" t="s">
        <v>22</v>
      </c>
      <c r="AT240" s="104">
        <f t="shared" si="240"/>
        <v>0.53776160145586893</v>
      </c>
      <c r="AU240" s="104" t="s">
        <v>22</v>
      </c>
      <c r="AV240" s="196">
        <v>36</v>
      </c>
      <c r="AW240" s="105">
        <v>0.36109999999999998</v>
      </c>
      <c r="AX240" s="105">
        <v>0.25</v>
      </c>
      <c r="AY240" s="105">
        <v>0.16669999999999999</v>
      </c>
      <c r="AZ240" s="105">
        <v>0.19439999999999999</v>
      </c>
      <c r="BA240" s="105">
        <v>8.3299999999999999E-2</v>
      </c>
      <c r="BB240" s="105" t="s">
        <v>22</v>
      </c>
      <c r="BC240" s="105" t="s">
        <v>22</v>
      </c>
      <c r="BD240" s="26" t="s">
        <v>22</v>
      </c>
      <c r="BE240" s="26" t="s">
        <v>22</v>
      </c>
      <c r="BF240" s="26" t="s">
        <v>22</v>
      </c>
      <c r="BG240" s="26" t="s">
        <v>22</v>
      </c>
      <c r="BH240" s="104">
        <f t="shared" si="241"/>
        <v>0.69232899473829967</v>
      </c>
      <c r="BI240" s="203" t="s">
        <v>22</v>
      </c>
      <c r="BK240" s="528" t="s">
        <v>34</v>
      </c>
      <c r="BL240" s="271">
        <v>46087</v>
      </c>
      <c r="BM240" s="200">
        <v>593</v>
      </c>
      <c r="BN240" s="105">
        <v>0.14330000000000001</v>
      </c>
      <c r="BO240" s="105">
        <v>0.1113</v>
      </c>
      <c r="BP240" s="105">
        <v>7.0800000000000002E-2</v>
      </c>
      <c r="BQ240" s="105">
        <v>5.3999999999999999E-2</v>
      </c>
      <c r="BR240" s="105">
        <v>4.5499999999999999E-2</v>
      </c>
      <c r="BS240" s="105" t="s">
        <v>22</v>
      </c>
      <c r="BT240" s="105" t="s">
        <v>22</v>
      </c>
      <c r="BU240" s="26" t="s">
        <v>22</v>
      </c>
      <c r="BV240" s="26" t="s">
        <v>22</v>
      </c>
      <c r="BW240" s="26" t="s">
        <v>22</v>
      </c>
      <c r="BX240" s="26" t="s">
        <v>22</v>
      </c>
      <c r="BY240" s="104">
        <f t="shared" si="242"/>
        <v>0.77669225401256092</v>
      </c>
      <c r="BZ240" s="104" t="s">
        <v>22</v>
      </c>
      <c r="CA240" s="196">
        <v>47</v>
      </c>
      <c r="CB240" s="105">
        <v>0.57450000000000001</v>
      </c>
      <c r="CC240" s="105">
        <v>0.51060000000000005</v>
      </c>
      <c r="CD240" s="105">
        <v>0.2979</v>
      </c>
      <c r="CE240" s="105">
        <v>0.25530000000000003</v>
      </c>
      <c r="CF240" s="105">
        <v>0.25530000000000003</v>
      </c>
      <c r="CG240" s="105" t="s">
        <v>22</v>
      </c>
      <c r="CH240" s="105" t="s">
        <v>22</v>
      </c>
      <c r="CI240" s="26" t="s">
        <v>22</v>
      </c>
      <c r="CJ240" s="26" t="s">
        <v>22</v>
      </c>
      <c r="CK240" s="26" t="s">
        <v>22</v>
      </c>
      <c r="CL240" s="26" t="s">
        <v>22</v>
      </c>
      <c r="CM240" s="104">
        <f t="shared" si="243"/>
        <v>0.88877284595300265</v>
      </c>
      <c r="CN240" s="203" t="s">
        <v>22</v>
      </c>
    </row>
    <row r="241" spans="1:92" ht="13.7" customHeight="1">
      <c r="A241" s="509"/>
      <c r="B241" s="271">
        <v>46088</v>
      </c>
      <c r="C241" s="240">
        <f t="shared" si="232"/>
        <v>2023</v>
      </c>
      <c r="D241" s="105">
        <f>($AH241*AI241+$BM241*BN241)/$C241</f>
        <v>9.0461591695501734E-2</v>
      </c>
      <c r="E241" s="105">
        <f>($AH241*AJ241+$BM241*BO241)/$C241</f>
        <v>4.5482698961937712E-2</v>
      </c>
      <c r="F241" s="105">
        <f>($AH241*AK241+$BM241*BP241)/$C241</f>
        <v>3.5116955017301041E-2</v>
      </c>
      <c r="G241" s="105">
        <f>($AH241*AL241+$BM241*BQ241)/$C241</f>
        <v>2.3754671280276817E-2</v>
      </c>
      <c r="H241" s="105" t="s">
        <v>22</v>
      </c>
      <c r="I241" s="105" t="s">
        <v>22</v>
      </c>
      <c r="J241" s="105" t="s">
        <v>22</v>
      </c>
      <c r="K241" s="105" t="s">
        <v>22</v>
      </c>
      <c r="L241" s="105" t="s">
        <v>22</v>
      </c>
      <c r="M241" s="105" t="s">
        <v>22</v>
      </c>
      <c r="N241" s="105" t="s">
        <v>22</v>
      </c>
      <c r="O241" s="104">
        <f t="shared" si="238"/>
        <v>0.50278464163039227</v>
      </c>
      <c r="P241" s="104" t="s">
        <v>22</v>
      </c>
      <c r="Q241" s="458">
        <f t="shared" si="233"/>
        <v>69</v>
      </c>
      <c r="R241" s="105">
        <f>($AV241*AW241+$CA241*CB241)/$Q241</f>
        <v>0.4927652173913043</v>
      </c>
      <c r="S241" s="105">
        <f>($AV241*AX241+$CA241*CC241)/$Q241</f>
        <v>0.34782608695652173</v>
      </c>
      <c r="T241" s="105">
        <f>($AV241*AY241+$CA241*CD241)/$Q241</f>
        <v>0.26088985507246376</v>
      </c>
      <c r="U241" s="105">
        <f>($AV241*AZ241+$CA241*CE241)/$Q241</f>
        <v>0.21737246376811595</v>
      </c>
      <c r="V241" s="105" t="s">
        <v>22</v>
      </c>
      <c r="W241" s="105" t="s">
        <v>22</v>
      </c>
      <c r="X241" s="105" t="s">
        <v>22</v>
      </c>
      <c r="Y241" s="105" t="s">
        <v>22</v>
      </c>
      <c r="Z241" s="105" t="s">
        <v>22</v>
      </c>
      <c r="AA241" s="105" t="s">
        <v>22</v>
      </c>
      <c r="AB241" s="105" t="s">
        <v>22</v>
      </c>
      <c r="AC241" s="104">
        <f t="shared" si="239"/>
        <v>0.70586574433542748</v>
      </c>
      <c r="AD241" s="203" t="s">
        <v>22</v>
      </c>
      <c r="AE241" s="1"/>
      <c r="AF241" s="509"/>
      <c r="AG241" s="271">
        <v>46088</v>
      </c>
      <c r="AH241" s="200">
        <v>1120</v>
      </c>
      <c r="AI241" s="105">
        <v>8.3900000000000002E-2</v>
      </c>
      <c r="AJ241" s="105">
        <v>3.6600000000000001E-2</v>
      </c>
      <c r="AK241" s="105">
        <v>2.86E-2</v>
      </c>
      <c r="AL241" s="105">
        <v>1.8800000000000001E-2</v>
      </c>
      <c r="AM241" s="105" t="s">
        <v>22</v>
      </c>
      <c r="AN241" s="105" t="s">
        <v>22</v>
      </c>
      <c r="AO241" s="105" t="s">
        <v>22</v>
      </c>
      <c r="AP241" s="26" t="s">
        <v>22</v>
      </c>
      <c r="AQ241" s="26" t="s">
        <v>22</v>
      </c>
      <c r="AR241" s="26" t="s">
        <v>22</v>
      </c>
      <c r="AS241" s="26" t="s">
        <v>22</v>
      </c>
      <c r="AT241" s="104">
        <f t="shared" si="240"/>
        <v>0.43623361144219308</v>
      </c>
      <c r="AU241" s="104" t="s">
        <v>22</v>
      </c>
      <c r="AV241" s="196">
        <v>32</v>
      </c>
      <c r="AW241" s="105">
        <v>0.625</v>
      </c>
      <c r="AX241" s="105">
        <v>0.46879999999999999</v>
      </c>
      <c r="AY241" s="105">
        <v>0.375</v>
      </c>
      <c r="AZ241" s="105">
        <v>0.3125</v>
      </c>
      <c r="BA241" s="105" t="s">
        <v>22</v>
      </c>
      <c r="BB241" s="105" t="s">
        <v>22</v>
      </c>
      <c r="BC241" s="105" t="s">
        <v>22</v>
      </c>
      <c r="BD241" s="26" t="s">
        <v>22</v>
      </c>
      <c r="BE241" s="26" t="s">
        <v>22</v>
      </c>
      <c r="BF241" s="26" t="s">
        <v>22</v>
      </c>
      <c r="BG241" s="26" t="s">
        <v>22</v>
      </c>
      <c r="BH241" s="104">
        <f t="shared" si="241"/>
        <v>0.75007999999999997</v>
      </c>
      <c r="BI241" s="203" t="s">
        <v>22</v>
      </c>
      <c r="BK241" s="509"/>
      <c r="BL241" s="271">
        <v>46088</v>
      </c>
      <c r="BM241" s="200">
        <v>903</v>
      </c>
      <c r="BN241" s="105">
        <v>9.8599999999999993E-2</v>
      </c>
      <c r="BO241" s="105">
        <v>5.6500000000000002E-2</v>
      </c>
      <c r="BP241" s="105">
        <v>4.3200000000000002E-2</v>
      </c>
      <c r="BQ241" s="105">
        <v>2.9899999999999999E-2</v>
      </c>
      <c r="BR241" s="105" t="s">
        <v>22</v>
      </c>
      <c r="BS241" s="105" t="s">
        <v>22</v>
      </c>
      <c r="BT241" s="105" t="s">
        <v>22</v>
      </c>
      <c r="BU241" s="26" t="s">
        <v>22</v>
      </c>
      <c r="BV241" s="26" t="s">
        <v>22</v>
      </c>
      <c r="BW241" s="26" t="s">
        <v>22</v>
      </c>
      <c r="BX241" s="26" t="s">
        <v>22</v>
      </c>
      <c r="BY241" s="104">
        <f t="shared" si="242"/>
        <v>0.57302231237322521</v>
      </c>
      <c r="BZ241" s="104" t="s">
        <v>22</v>
      </c>
      <c r="CA241" s="196">
        <v>37</v>
      </c>
      <c r="CB241" s="105">
        <v>0.37840000000000001</v>
      </c>
      <c r="CC241" s="105">
        <v>0.2432</v>
      </c>
      <c r="CD241" s="105">
        <v>0.16220000000000001</v>
      </c>
      <c r="CE241" s="105">
        <v>0.1351</v>
      </c>
      <c r="CF241" s="105" t="s">
        <v>22</v>
      </c>
      <c r="CG241" s="105" t="s">
        <v>22</v>
      </c>
      <c r="CH241" s="105" t="s">
        <v>22</v>
      </c>
      <c r="CI241" s="26" t="s">
        <v>22</v>
      </c>
      <c r="CJ241" s="26" t="s">
        <v>22</v>
      </c>
      <c r="CK241" s="26" t="s">
        <v>22</v>
      </c>
      <c r="CL241" s="26" t="s">
        <v>22</v>
      </c>
      <c r="CM241" s="104">
        <f t="shared" si="243"/>
        <v>0.64270613107822405</v>
      </c>
      <c r="CN241" s="203" t="s">
        <v>22</v>
      </c>
    </row>
    <row r="242" spans="1:92" ht="13.7" customHeight="1">
      <c r="A242" s="90"/>
      <c r="B242" s="319">
        <v>46089</v>
      </c>
      <c r="C242" s="169">
        <f t="shared" si="232"/>
        <v>1721</v>
      </c>
      <c r="D242" s="162">
        <f t="shared" ref="D242:F243" si="244">($AH242*AI242+$BM242*BN242)/$C242</f>
        <v>7.6107379430563629E-2</v>
      </c>
      <c r="E242" s="162">
        <f t="shared" si="244"/>
        <v>4.8818768158047643E-2</v>
      </c>
      <c r="F242" s="162">
        <f t="shared" si="244"/>
        <v>3.3132364904125508E-2</v>
      </c>
      <c r="G242" s="162" t="s">
        <v>22</v>
      </c>
      <c r="H242" s="162" t="s">
        <v>22</v>
      </c>
      <c r="I242" s="162" t="s">
        <v>22</v>
      </c>
      <c r="J242" s="162" t="s">
        <v>22</v>
      </c>
      <c r="K242" s="162" t="s">
        <v>22</v>
      </c>
      <c r="L242" s="162" t="s">
        <v>22</v>
      </c>
      <c r="M242" s="162" t="s">
        <v>22</v>
      </c>
      <c r="N242" s="162" t="s">
        <v>22</v>
      </c>
      <c r="O242" s="291">
        <f t="shared" si="238"/>
        <v>0.64144592184503368</v>
      </c>
      <c r="P242" s="291" t="s">
        <v>22</v>
      </c>
      <c r="Q242" s="98">
        <f t="shared" si="233"/>
        <v>75</v>
      </c>
      <c r="R242" s="162">
        <f t="shared" ref="R242:T243" si="245">($AV242*AW242+$CA242*CB242)/$Q242</f>
        <v>0.40000399999999997</v>
      </c>
      <c r="S242" s="162">
        <f t="shared" si="245"/>
        <v>0.29332533333333333</v>
      </c>
      <c r="T242" s="162">
        <f t="shared" si="245"/>
        <v>0.25330133333333338</v>
      </c>
      <c r="U242" s="162" t="s">
        <v>22</v>
      </c>
      <c r="V242" s="162" t="s">
        <v>22</v>
      </c>
      <c r="W242" s="162" t="s">
        <v>22</v>
      </c>
      <c r="X242" s="162" t="s">
        <v>22</v>
      </c>
      <c r="Y242" s="162" t="s">
        <v>22</v>
      </c>
      <c r="Z242" s="162" t="s">
        <v>22</v>
      </c>
      <c r="AA242" s="162" t="s">
        <v>22</v>
      </c>
      <c r="AB242" s="162" t="s">
        <v>22</v>
      </c>
      <c r="AC242" s="291">
        <f t="shared" si="239"/>
        <v>0.73330600027333059</v>
      </c>
      <c r="AD242" s="293" t="s">
        <v>22</v>
      </c>
      <c r="AE242" s="1"/>
      <c r="AF242" s="90"/>
      <c r="AG242" s="319">
        <v>46089</v>
      </c>
      <c r="AH242" s="288">
        <v>963</v>
      </c>
      <c r="AI242" s="162">
        <v>4.8800000000000003E-2</v>
      </c>
      <c r="AJ242" s="162">
        <v>3.0099999999999998E-2</v>
      </c>
      <c r="AK242" s="162">
        <v>2.0799999999999999E-2</v>
      </c>
      <c r="AL242" s="162" t="s">
        <v>22</v>
      </c>
      <c r="AM242" s="162" t="s">
        <v>22</v>
      </c>
      <c r="AN242" s="162" t="s">
        <v>22</v>
      </c>
      <c r="AO242" s="162" t="s">
        <v>22</v>
      </c>
      <c r="AP242" s="280" t="s">
        <v>22</v>
      </c>
      <c r="AQ242" s="280" t="s">
        <v>22</v>
      </c>
      <c r="AR242" s="280" t="s">
        <v>22</v>
      </c>
      <c r="AS242" s="280" t="s">
        <v>22</v>
      </c>
      <c r="AT242" s="291" t="s">
        <v>22</v>
      </c>
      <c r="AU242" s="449" t="s">
        <v>22</v>
      </c>
      <c r="AV242" s="450">
        <v>28</v>
      </c>
      <c r="AW242" s="162">
        <v>0.46429999999999999</v>
      </c>
      <c r="AX242" s="162">
        <v>0.32140000000000002</v>
      </c>
      <c r="AY242" s="162">
        <v>0.28570000000000001</v>
      </c>
      <c r="AZ242" s="162" t="s">
        <v>22</v>
      </c>
      <c r="BA242" s="162" t="s">
        <v>22</v>
      </c>
      <c r="BB242" s="162" t="s">
        <v>22</v>
      </c>
      <c r="BC242" s="162" t="s">
        <v>22</v>
      </c>
      <c r="BD242" s="280" t="s">
        <v>22</v>
      </c>
      <c r="BE242" s="280" t="s">
        <v>22</v>
      </c>
      <c r="BF242" s="280" t="s">
        <v>22</v>
      </c>
      <c r="BG242" s="280" t="s">
        <v>22</v>
      </c>
      <c r="BH242" s="291" t="s">
        <v>22</v>
      </c>
      <c r="BI242" s="442" t="s">
        <v>22</v>
      </c>
      <c r="BK242" s="90"/>
      <c r="BL242" s="319">
        <v>46089</v>
      </c>
      <c r="BM242" s="288">
        <v>758</v>
      </c>
      <c r="BN242" s="162">
        <v>0.1108</v>
      </c>
      <c r="BO242" s="162">
        <v>7.2599999999999998E-2</v>
      </c>
      <c r="BP242" s="162">
        <v>4.8800000000000003E-2</v>
      </c>
      <c r="BQ242" s="162" t="s">
        <v>22</v>
      </c>
      <c r="BR242" s="162" t="s">
        <v>22</v>
      </c>
      <c r="BS242" s="162" t="s">
        <v>22</v>
      </c>
      <c r="BT242" s="162" t="s">
        <v>22</v>
      </c>
      <c r="BU242" s="280" t="s">
        <v>22</v>
      </c>
      <c r="BV242" s="280" t="s">
        <v>22</v>
      </c>
      <c r="BW242" s="280" t="s">
        <v>22</v>
      </c>
      <c r="BX242" s="280" t="s">
        <v>22</v>
      </c>
      <c r="BY242" s="291" t="s">
        <v>22</v>
      </c>
      <c r="BZ242" s="449" t="s">
        <v>22</v>
      </c>
      <c r="CA242" s="450">
        <v>47</v>
      </c>
      <c r="CB242" s="162">
        <v>0.36170000000000002</v>
      </c>
      <c r="CC242" s="162">
        <v>0.27660000000000001</v>
      </c>
      <c r="CD242" s="162">
        <v>0.23400000000000001</v>
      </c>
      <c r="CE242" s="162" t="s">
        <v>22</v>
      </c>
      <c r="CF242" s="162" t="s">
        <v>22</v>
      </c>
      <c r="CG242" s="162" t="s">
        <v>22</v>
      </c>
      <c r="CH242" s="162" t="s">
        <v>22</v>
      </c>
      <c r="CI242" s="280" t="s">
        <v>22</v>
      </c>
      <c r="CJ242" s="280" t="s">
        <v>22</v>
      </c>
      <c r="CK242" s="280" t="s">
        <v>22</v>
      </c>
      <c r="CL242" s="280" t="s">
        <v>22</v>
      </c>
      <c r="CM242" s="291" t="s">
        <v>22</v>
      </c>
      <c r="CN242" s="442" t="s">
        <v>22</v>
      </c>
    </row>
    <row r="243" spans="1:92" ht="27.75" customHeight="1">
      <c r="B243" s="444" t="s">
        <v>35</v>
      </c>
      <c r="C243" s="445">
        <f>SUM(C189:C242)</f>
        <v>110798</v>
      </c>
      <c r="D243" s="156">
        <f t="shared" si="244"/>
        <v>7.9587483528583552E-2</v>
      </c>
      <c r="E243" s="156">
        <f t="shared" si="244"/>
        <v>4.7373494106391807E-2</v>
      </c>
      <c r="F243" s="156">
        <f t="shared" si="244"/>
        <v>3.5937148684994313E-2</v>
      </c>
      <c r="G243" s="156">
        <f>($AH243*AL243+$BM243*BQ243)/$C243</f>
        <v>3.0729718947995453E-2</v>
      </c>
      <c r="H243" s="156">
        <f>($AH243*AM243+$BM243*BR243)/$C243</f>
        <v>2.6660307947796894E-2</v>
      </c>
      <c r="I243" s="156">
        <f>($AH243*AN243+$BM243*BS243)/$C243</f>
        <v>2.505783136879727E-2</v>
      </c>
      <c r="J243" s="156">
        <f>($AH243*AO243+$BM243*BT243)/$C243</f>
        <v>1.401900936840015E-2</v>
      </c>
      <c r="K243" s="156">
        <f>($AH243*AP243+$BM243*BU243)/$C243</f>
        <v>1.0235542157800682E-2</v>
      </c>
      <c r="L243" s="156" t="s">
        <v>22</v>
      </c>
      <c r="M243" s="156" t="s">
        <v>22</v>
      </c>
      <c r="N243" s="156" t="s">
        <v>22</v>
      </c>
      <c r="O243" s="175">
        <f t="shared" si="238"/>
        <v>0.59523799479572426</v>
      </c>
      <c r="P243" s="175">
        <f>I243/D243</f>
        <v>0.31484638359997702</v>
      </c>
      <c r="Q243" s="374">
        <f>SUM(Q189:Q242)</f>
        <v>3737</v>
      </c>
      <c r="R243" s="156">
        <f t="shared" si="245"/>
        <v>0.45414487556863797</v>
      </c>
      <c r="S243" s="156">
        <f t="shared" si="245"/>
        <v>0.3291008830612791</v>
      </c>
      <c r="T243" s="156">
        <f t="shared" si="245"/>
        <v>0.25462475247524757</v>
      </c>
      <c r="U243" s="156">
        <f>($AV243*AZ243+$CA243*CE243)/$Q243</f>
        <v>0.23032793684773883</v>
      </c>
      <c r="V243" s="156">
        <f>($AV243*BA243+$CA243*CF243)/$Q243</f>
        <v>0.20776802247792348</v>
      </c>
      <c r="W243" s="156">
        <f>($AV243*BB243+$CA243*CG243)/$Q243</f>
        <v>0.18775962001605564</v>
      </c>
      <c r="X243" s="156">
        <f>($AV243*BC243+$CA243*CH243)/$Q243</f>
        <v>0.10863443938988494</v>
      </c>
      <c r="Y243" s="156">
        <f>($AV243*BD243+$CA243*CI243)/$Q243</f>
        <v>8.0589001873160301E-2</v>
      </c>
      <c r="Z243" s="156" t="s">
        <v>22</v>
      </c>
      <c r="AA243" s="156" t="s">
        <v>22</v>
      </c>
      <c r="AB243" s="156" t="s">
        <v>22</v>
      </c>
      <c r="AC243" s="175">
        <f t="shared" si="239"/>
        <v>0.72466056706950532</v>
      </c>
      <c r="AD243" s="176">
        <f>W243/R243</f>
        <v>0.41343551390062588</v>
      </c>
      <c r="AE243" s="1"/>
      <c r="AG243" s="444" t="s">
        <v>35</v>
      </c>
      <c r="AH243" s="445">
        <f>SUM(AH189:AH242)</f>
        <v>65930</v>
      </c>
      <c r="AI243" s="156">
        <v>7.0800000000000002E-2</v>
      </c>
      <c r="AJ243" s="156">
        <v>4.2999999999999997E-2</v>
      </c>
      <c r="AK243" s="156">
        <v>3.2899999999999999E-2</v>
      </c>
      <c r="AL243" s="156">
        <v>2.8299999999999999E-2</v>
      </c>
      <c r="AM243" s="156">
        <v>2.5000000000000001E-2</v>
      </c>
      <c r="AN243" s="156">
        <v>2.3599999999999999E-2</v>
      </c>
      <c r="AO243" s="156">
        <v>1.41E-2</v>
      </c>
      <c r="AP243" s="446">
        <v>1.06E-2</v>
      </c>
      <c r="AQ243" s="447" t="s">
        <v>22</v>
      </c>
      <c r="AR243" s="446" t="s">
        <v>22</v>
      </c>
      <c r="AS243" s="446" t="s">
        <v>22</v>
      </c>
      <c r="AT243" s="175">
        <f>AJ243/AI243</f>
        <v>0.60734463276836148</v>
      </c>
      <c r="AU243" s="176">
        <f>AN243/AI243</f>
        <v>0.33333333333333331</v>
      </c>
      <c r="AV243" s="440">
        <f>SUM(AV189:AV242)</f>
        <v>1736</v>
      </c>
      <c r="AW243" s="156">
        <v>0.43609999999999999</v>
      </c>
      <c r="AX243" s="156">
        <v>0.30869999999999997</v>
      </c>
      <c r="AY243" s="156">
        <v>0.2467</v>
      </c>
      <c r="AZ243" s="156">
        <v>0.22159999999999999</v>
      </c>
      <c r="BA243" s="156">
        <v>0.20069999999999999</v>
      </c>
      <c r="BB243" s="156">
        <v>0.19289999999999999</v>
      </c>
      <c r="BC243" s="156">
        <v>0.1134</v>
      </c>
      <c r="BD243" s="446">
        <v>0.08</v>
      </c>
      <c r="BE243" s="447" t="s">
        <v>22</v>
      </c>
      <c r="BF243" s="446" t="s">
        <v>22</v>
      </c>
      <c r="BG243" s="446" t="s">
        <v>22</v>
      </c>
      <c r="BH243" s="175">
        <f>AX243/AW243</f>
        <v>0.7078651685393258</v>
      </c>
      <c r="BI243" s="176">
        <f>BB243/AW243</f>
        <v>0.44232974088511806</v>
      </c>
      <c r="BK243" s="41"/>
      <c r="BL243" s="444" t="s">
        <v>35</v>
      </c>
      <c r="BM243" s="445">
        <f>SUM(BM189:BM242)</f>
        <v>44868</v>
      </c>
      <c r="BN243" s="156">
        <v>9.2499999999999999E-2</v>
      </c>
      <c r="BO243" s="156">
        <v>5.3800000000000001E-2</v>
      </c>
      <c r="BP243" s="156">
        <v>4.0399999999999998E-2</v>
      </c>
      <c r="BQ243" s="156">
        <v>3.4299999999999997E-2</v>
      </c>
      <c r="BR243" s="156">
        <v>2.9100000000000001E-2</v>
      </c>
      <c r="BS243" s="156">
        <v>2.7199999999999998E-2</v>
      </c>
      <c r="BT243" s="156">
        <v>1.3899999999999999E-2</v>
      </c>
      <c r="BU243" s="446">
        <v>9.7000000000000003E-3</v>
      </c>
      <c r="BV243" s="447">
        <v>6.3E-3</v>
      </c>
      <c r="BW243" s="447" t="s">
        <v>22</v>
      </c>
      <c r="BX243" s="446" t="s">
        <v>22</v>
      </c>
      <c r="BY243" s="175">
        <f>BO243/BN243</f>
        <v>0.58162162162162168</v>
      </c>
      <c r="BZ243" s="175">
        <f>BS243/BN243</f>
        <v>0.29405405405405405</v>
      </c>
      <c r="CA243" s="374">
        <f>SUM(CA189:CA242)</f>
        <v>2001</v>
      </c>
      <c r="CB243" s="156">
        <v>0.4698</v>
      </c>
      <c r="CC243" s="156">
        <v>0.3468</v>
      </c>
      <c r="CD243" s="156">
        <v>0.26150000000000001</v>
      </c>
      <c r="CE243" s="156">
        <v>0.2379</v>
      </c>
      <c r="CF243" s="156">
        <v>0.21390000000000001</v>
      </c>
      <c r="CG243" s="156">
        <v>0.18329999999999999</v>
      </c>
      <c r="CH243" s="156">
        <v>0.1045</v>
      </c>
      <c r="CI243" s="446">
        <v>8.1100000000000005E-2</v>
      </c>
      <c r="CJ243" s="446">
        <v>5.1799999999999999E-2</v>
      </c>
      <c r="CK243" s="446" t="s">
        <v>22</v>
      </c>
      <c r="CL243" s="446" t="s">
        <v>22</v>
      </c>
      <c r="CM243" s="175">
        <f>CC243/CB243</f>
        <v>0.73818646232439333</v>
      </c>
      <c r="CN243" s="176">
        <f>CG243/CB243</f>
        <v>0.39016602809706258</v>
      </c>
    </row>
    <row r="244" spans="1:92" s="404" customFormat="1" ht="13.5" customHeight="1">
      <c r="A244" s="405"/>
      <c r="B244" s="405"/>
      <c r="C244" s="220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116"/>
      <c r="P244" s="116"/>
      <c r="Q244" s="220"/>
      <c r="R244" s="415"/>
      <c r="S244" s="415"/>
      <c r="T244" s="415"/>
      <c r="U244" s="415"/>
      <c r="V244" s="415"/>
      <c r="W244" s="415"/>
      <c r="X244" s="415"/>
      <c r="Y244" s="415"/>
      <c r="Z244" s="415"/>
      <c r="AA244" s="415"/>
      <c r="AB244" s="415"/>
      <c r="AC244" s="116"/>
      <c r="AD244" s="116"/>
      <c r="AE244" s="1"/>
      <c r="AF244" s="405"/>
      <c r="AG244" s="405"/>
      <c r="AH244" s="220"/>
      <c r="AI244" s="237"/>
      <c r="AJ244" s="237"/>
      <c r="AK244" s="237"/>
      <c r="AL244" s="237"/>
      <c r="AM244" s="237"/>
      <c r="AN244" s="237"/>
      <c r="AO244" s="237"/>
      <c r="AP244" s="237"/>
      <c r="AQ244" s="237"/>
      <c r="AR244" s="237"/>
      <c r="AS244" s="237"/>
      <c r="AT244" s="116"/>
      <c r="AU244" s="116"/>
      <c r="AV244" s="220"/>
      <c r="AW244" s="237"/>
      <c r="AX244" s="237"/>
      <c r="AY244" s="237"/>
      <c r="AZ244" s="237"/>
      <c r="BA244" s="237"/>
      <c r="BB244" s="237"/>
      <c r="BC244" s="237"/>
      <c r="BD244" s="237"/>
      <c r="BE244" s="237"/>
      <c r="BF244" s="237"/>
      <c r="BG244" s="237"/>
      <c r="BH244" s="116"/>
      <c r="BI244" s="116"/>
      <c r="BJ244" s="1"/>
      <c r="BL244" s="405"/>
      <c r="BM244" s="220"/>
      <c r="BN244" s="237"/>
      <c r="BO244" s="237"/>
      <c r="BP244" s="237"/>
      <c r="BQ244" s="237"/>
      <c r="BR244" s="237"/>
      <c r="BS244" s="237"/>
      <c r="BT244" s="237"/>
      <c r="BU244" s="237"/>
      <c r="BV244" s="237"/>
      <c r="BW244" s="237"/>
      <c r="BX244" s="237"/>
      <c r="BY244" s="116"/>
      <c r="BZ244" s="116"/>
      <c r="CA244" s="220"/>
      <c r="CB244" s="237"/>
      <c r="CC244" s="237"/>
      <c r="CD244" s="237"/>
      <c r="CE244" s="237"/>
      <c r="CF244" s="237"/>
      <c r="CG244" s="237"/>
      <c r="CH244" s="237"/>
      <c r="CI244" s="237"/>
      <c r="CJ244" s="237"/>
      <c r="CK244" s="237"/>
      <c r="CL244" s="237"/>
      <c r="CM244" s="116"/>
      <c r="CN244" s="116"/>
    </row>
    <row r="245" spans="1:92" s="404" customFormat="1" ht="14.25" customHeight="1">
      <c r="A245" s="405"/>
      <c r="B245" s="252" t="s">
        <v>3</v>
      </c>
      <c r="C245" s="255" t="s">
        <v>43</v>
      </c>
      <c r="D245" s="247" t="s">
        <v>66</v>
      </c>
      <c r="E245" s="247" t="s">
        <v>67</v>
      </c>
      <c r="F245" s="247" t="s">
        <v>68</v>
      </c>
      <c r="G245" s="247" t="s">
        <v>69</v>
      </c>
      <c r="H245" s="247" t="s">
        <v>70</v>
      </c>
      <c r="I245" s="247" t="s">
        <v>71</v>
      </c>
      <c r="J245" s="247" t="s">
        <v>72</v>
      </c>
      <c r="K245" s="247" t="s">
        <v>73</v>
      </c>
      <c r="L245" s="247" t="s">
        <v>74</v>
      </c>
      <c r="M245" s="247" t="s">
        <v>75</v>
      </c>
      <c r="N245" s="247" t="s">
        <v>76</v>
      </c>
      <c r="O245" s="247" t="s">
        <v>77</v>
      </c>
      <c r="P245" s="258" t="s">
        <v>78</v>
      </c>
      <c r="Q245" s="245" t="s">
        <v>79</v>
      </c>
      <c r="R245" s="246" t="s">
        <v>80</v>
      </c>
      <c r="S245" s="247" t="s">
        <v>81</v>
      </c>
      <c r="T245" s="247" t="s">
        <v>82</v>
      </c>
      <c r="U245" s="247" t="s">
        <v>83</v>
      </c>
      <c r="V245" s="247" t="s">
        <v>84</v>
      </c>
      <c r="W245" s="247" t="s">
        <v>85</v>
      </c>
      <c r="X245" s="247" t="s">
        <v>86</v>
      </c>
      <c r="Y245" s="247" t="s">
        <v>87</v>
      </c>
      <c r="Z245" s="247" t="s">
        <v>88</v>
      </c>
      <c r="AA245" s="247" t="s">
        <v>89</v>
      </c>
      <c r="AB245" s="247" t="s">
        <v>90</v>
      </c>
      <c r="AC245" s="247" t="s">
        <v>77</v>
      </c>
      <c r="AD245" s="249" t="s">
        <v>78</v>
      </c>
      <c r="AE245" s="1"/>
      <c r="AF245" s="405"/>
      <c r="AG245" s="252" t="s">
        <v>3</v>
      </c>
      <c r="AH245" s="255" t="s">
        <v>43</v>
      </c>
      <c r="AI245" s="247" t="s">
        <v>66</v>
      </c>
      <c r="AJ245" s="247" t="s">
        <v>67</v>
      </c>
      <c r="AK245" s="247" t="s">
        <v>68</v>
      </c>
      <c r="AL245" s="247" t="s">
        <v>69</v>
      </c>
      <c r="AM245" s="247" t="s">
        <v>70</v>
      </c>
      <c r="AN245" s="247" t="s">
        <v>71</v>
      </c>
      <c r="AO245" s="247" t="s">
        <v>72</v>
      </c>
      <c r="AP245" s="247" t="s">
        <v>73</v>
      </c>
      <c r="AQ245" s="247" t="s">
        <v>74</v>
      </c>
      <c r="AR245" s="247" t="s">
        <v>75</v>
      </c>
      <c r="AS245" s="247" t="s">
        <v>76</v>
      </c>
      <c r="AT245" s="247" t="s">
        <v>77</v>
      </c>
      <c r="AU245" s="258" t="s">
        <v>78</v>
      </c>
      <c r="AV245" s="245" t="s">
        <v>79</v>
      </c>
      <c r="AW245" s="246" t="s">
        <v>80</v>
      </c>
      <c r="AX245" s="247" t="s">
        <v>81</v>
      </c>
      <c r="AY245" s="247" t="s">
        <v>82</v>
      </c>
      <c r="AZ245" s="247" t="s">
        <v>83</v>
      </c>
      <c r="BA245" s="247" t="s">
        <v>84</v>
      </c>
      <c r="BB245" s="247" t="s">
        <v>85</v>
      </c>
      <c r="BC245" s="247" t="s">
        <v>86</v>
      </c>
      <c r="BD245" s="247" t="s">
        <v>87</v>
      </c>
      <c r="BE245" s="247" t="s">
        <v>88</v>
      </c>
      <c r="BF245" s="247" t="s">
        <v>89</v>
      </c>
      <c r="BG245" s="247" t="s">
        <v>90</v>
      </c>
      <c r="BH245" s="247" t="s">
        <v>77</v>
      </c>
      <c r="BI245" s="249" t="s">
        <v>78</v>
      </c>
      <c r="BJ245" s="1"/>
      <c r="BL245" s="252" t="s">
        <v>3</v>
      </c>
      <c r="BM245" s="255" t="s">
        <v>43</v>
      </c>
      <c r="BN245" s="247" t="s">
        <v>66</v>
      </c>
      <c r="BO245" s="247" t="s">
        <v>67</v>
      </c>
      <c r="BP245" s="247" t="s">
        <v>68</v>
      </c>
      <c r="BQ245" s="247" t="s">
        <v>69</v>
      </c>
      <c r="BR245" s="247" t="s">
        <v>70</v>
      </c>
      <c r="BS245" s="247" t="s">
        <v>71</v>
      </c>
      <c r="BT245" s="247" t="s">
        <v>72</v>
      </c>
      <c r="BU245" s="247" t="s">
        <v>73</v>
      </c>
      <c r="BV245" s="247" t="s">
        <v>74</v>
      </c>
      <c r="BW245" s="247" t="s">
        <v>75</v>
      </c>
      <c r="BX245" s="247" t="s">
        <v>76</v>
      </c>
      <c r="BY245" s="247" t="s">
        <v>77</v>
      </c>
      <c r="BZ245" s="258" t="s">
        <v>78</v>
      </c>
      <c r="CA245" s="245" t="s">
        <v>79</v>
      </c>
      <c r="CB245" s="246" t="s">
        <v>80</v>
      </c>
      <c r="CC245" s="247" t="s">
        <v>81</v>
      </c>
      <c r="CD245" s="247" t="s">
        <v>82</v>
      </c>
      <c r="CE245" s="247" t="s">
        <v>83</v>
      </c>
      <c r="CF245" s="247" t="s">
        <v>84</v>
      </c>
      <c r="CG245" s="247" t="s">
        <v>85</v>
      </c>
      <c r="CH245" s="247" t="s">
        <v>86</v>
      </c>
      <c r="CI245" s="247" t="s">
        <v>87</v>
      </c>
      <c r="CJ245" s="247" t="s">
        <v>88</v>
      </c>
      <c r="CK245" s="247" t="s">
        <v>89</v>
      </c>
      <c r="CL245" s="247" t="s">
        <v>90</v>
      </c>
      <c r="CM245" s="247" t="s">
        <v>77</v>
      </c>
      <c r="CN245" s="249" t="s">
        <v>78</v>
      </c>
    </row>
    <row r="246" spans="1:92" s="404" customFormat="1" ht="14.25" customHeight="1">
      <c r="A246" s="405"/>
      <c r="B246" s="405" t="s">
        <v>36</v>
      </c>
      <c r="C246" s="220">
        <f>SUM(C172:C173)</f>
        <v>4043</v>
      </c>
      <c r="D246" s="415">
        <f t="shared" ref="D246:N247" si="246">($AH246*AI246+$BM246*BN246)/$C246</f>
        <v>8.0428839970319077E-2</v>
      </c>
      <c r="E246" s="415">
        <f t="shared" si="246"/>
        <v>4.3570541676972545E-2</v>
      </c>
      <c r="F246" s="415">
        <f t="shared" si="246"/>
        <v>3.5099999999999999E-2</v>
      </c>
      <c r="G246" s="415">
        <f t="shared" si="246"/>
        <v>2.5225154588177093E-2</v>
      </c>
      <c r="H246" s="415">
        <f t="shared" si="246"/>
        <v>2.623905515706159E-2</v>
      </c>
      <c r="I246" s="415">
        <f t="shared" si="246"/>
        <v>2.2711773435567649E-2</v>
      </c>
      <c r="J246" s="415">
        <f t="shared" si="246"/>
        <v>1.4320850853326739E-2</v>
      </c>
      <c r="K246" s="415">
        <f t="shared" si="246"/>
        <v>1.0154563442987881E-2</v>
      </c>
      <c r="L246" s="415">
        <f t="shared" si="246"/>
        <v>5.9721988622310172E-3</v>
      </c>
      <c r="M246" s="415">
        <f t="shared" si="246"/>
        <v>3.9604254266633688E-3</v>
      </c>
      <c r="N246" s="415">
        <f t="shared" si="246"/>
        <v>2.6930497155577536E-3</v>
      </c>
      <c r="O246" s="116">
        <f>E246/D246</f>
        <v>0.54172783908174638</v>
      </c>
      <c r="P246" s="116">
        <f>I246/D246</f>
        <v>0.28238345155729028</v>
      </c>
      <c r="Q246" s="220">
        <f>SUM(Q172:Q173)</f>
        <v>134</v>
      </c>
      <c r="R246" s="415">
        <f t="shared" ref="R246:AB247" si="247">($AH246*AW246+$BM246*CB246)/$C246</f>
        <v>0.39984187484541184</v>
      </c>
      <c r="S246" s="415">
        <f t="shared" si="247"/>
        <v>0.27959727924808309</v>
      </c>
      <c r="T246" s="415">
        <f t="shared" si="247"/>
        <v>0.23819633935196635</v>
      </c>
      <c r="U246" s="415">
        <f t="shared" si="247"/>
        <v>0.18366111798169676</v>
      </c>
      <c r="V246" s="415">
        <f t="shared" si="247"/>
        <v>0.14711427158050952</v>
      </c>
      <c r="W246" s="415">
        <f t="shared" si="247"/>
        <v>0.12569980212713333</v>
      </c>
      <c r="X246" s="415">
        <f t="shared" si="247"/>
        <v>8.421437051694286E-2</v>
      </c>
      <c r="Y246" s="415">
        <f t="shared" si="247"/>
        <v>7.5934182537719511E-2</v>
      </c>
      <c r="Z246" s="415">
        <f t="shared" si="247"/>
        <v>6.7653994558496161E-2</v>
      </c>
      <c r="AA246" s="415">
        <f t="shared" si="247"/>
        <v>3.7974845411822902E-2</v>
      </c>
      <c r="AB246" s="415">
        <f t="shared" si="247"/>
        <v>3.7974845411822902E-2</v>
      </c>
      <c r="AC246" s="116">
        <f>S246/R246</f>
        <v>0.69926962841543772</v>
      </c>
      <c r="AD246" s="116">
        <f>W246/R246</f>
        <v>0.31437378132475946</v>
      </c>
      <c r="AE246" s="1"/>
      <c r="AF246" s="405"/>
      <c r="AG246" s="405" t="s">
        <v>36</v>
      </c>
      <c r="AH246" s="220">
        <f>SUM(AH172:AH173)</f>
        <v>3416</v>
      </c>
      <c r="AI246" s="237">
        <v>8.2600000000000007E-2</v>
      </c>
      <c r="AJ246" s="237">
        <v>4.6300000000000001E-2</v>
      </c>
      <c r="AK246" s="237">
        <v>3.5099999999999999E-2</v>
      </c>
      <c r="AL246" s="237">
        <v>2.4E-2</v>
      </c>
      <c r="AM246" s="237">
        <v>2.52E-2</v>
      </c>
      <c r="AN246" s="237">
        <v>2.2200000000000001E-2</v>
      </c>
      <c r="AO246" s="237">
        <v>1.46E-2</v>
      </c>
      <c r="AP246" s="237">
        <v>9.1000000000000004E-3</v>
      </c>
      <c r="AQ246" s="237">
        <v>5.5999999999999999E-3</v>
      </c>
      <c r="AR246" s="237">
        <v>4.1000000000000003E-3</v>
      </c>
      <c r="AS246" s="237">
        <v>2.5999999999999999E-3</v>
      </c>
      <c r="AT246" s="116">
        <f>AJ246/AI246</f>
        <v>0.56053268765133168</v>
      </c>
      <c r="AU246" s="116">
        <f>AN246/AI246</f>
        <v>0.26876513317191281</v>
      </c>
      <c r="AV246" s="220">
        <f>SUM(AV172:AV173)</f>
        <v>102</v>
      </c>
      <c r="AW246" s="237">
        <v>0.42159999999999997</v>
      </c>
      <c r="AX246" s="237">
        <v>0.31369999999999998</v>
      </c>
      <c r="AY246" s="237">
        <v>0.26469999999999999</v>
      </c>
      <c r="AZ246" s="237">
        <v>0.2059</v>
      </c>
      <c r="BA246" s="237">
        <v>0.15690000000000001</v>
      </c>
      <c r="BB246" s="237">
        <v>0.13730000000000001</v>
      </c>
      <c r="BC246" s="237">
        <v>8.8200000000000001E-2</v>
      </c>
      <c r="BD246" s="237">
        <v>7.8399999999999997E-2</v>
      </c>
      <c r="BE246" s="237">
        <v>6.8599999999999994E-2</v>
      </c>
      <c r="BF246" s="237">
        <v>3.9199999999999999E-2</v>
      </c>
      <c r="BG246" s="237">
        <v>3.9199999999999999E-2</v>
      </c>
      <c r="BH246" s="116">
        <f>AX246/AW246</f>
        <v>0.7440702087286527</v>
      </c>
      <c r="BI246" s="116">
        <f>BB246/AW246</f>
        <v>0.32566413662239091</v>
      </c>
      <c r="BJ246" s="1"/>
      <c r="BL246" s="405" t="s">
        <v>36</v>
      </c>
      <c r="BM246" s="220">
        <f>SUM(BM172:BM173)</f>
        <v>627</v>
      </c>
      <c r="BN246" s="237">
        <v>6.8599999999999994E-2</v>
      </c>
      <c r="BO246" s="237">
        <v>2.87E-2</v>
      </c>
      <c r="BP246" s="237">
        <v>3.5099999999999999E-2</v>
      </c>
      <c r="BQ246" s="237">
        <v>3.1899999999999998E-2</v>
      </c>
      <c r="BR246" s="237">
        <v>3.1899999999999998E-2</v>
      </c>
      <c r="BS246" s="237">
        <v>2.5499999999999998E-2</v>
      </c>
      <c r="BT246" s="237">
        <v>1.2800000000000001E-2</v>
      </c>
      <c r="BU246" s="237">
        <v>1.5900000000000001E-2</v>
      </c>
      <c r="BV246" s="237">
        <v>8.0000000000000002E-3</v>
      </c>
      <c r="BW246" s="237">
        <v>3.2000000000000002E-3</v>
      </c>
      <c r="BX246" s="237">
        <v>3.2000000000000002E-3</v>
      </c>
      <c r="BY246" s="116">
        <f>BO246/BN246</f>
        <v>0.41836734693877553</v>
      </c>
      <c r="BZ246" s="116">
        <f>BS246/BN246</f>
        <v>0.3717201166180758</v>
      </c>
      <c r="CA246" s="220">
        <f>SUM(CA172:CA173)</f>
        <v>32</v>
      </c>
      <c r="CB246" s="237">
        <v>0.28129999999999999</v>
      </c>
      <c r="CC246" s="237">
        <v>9.3799999999999994E-2</v>
      </c>
      <c r="CD246" s="237">
        <v>9.3799999999999994E-2</v>
      </c>
      <c r="CE246" s="237">
        <v>6.25E-2</v>
      </c>
      <c r="CF246" s="237">
        <v>9.3799999999999994E-2</v>
      </c>
      <c r="CG246" s="237">
        <v>6.25E-2</v>
      </c>
      <c r="CH246" s="237">
        <v>6.25E-2</v>
      </c>
      <c r="CI246" s="237">
        <v>6.25E-2</v>
      </c>
      <c r="CJ246" s="237">
        <v>6.25E-2</v>
      </c>
      <c r="CK246" s="237">
        <v>3.1300000000000001E-2</v>
      </c>
      <c r="CL246" s="237">
        <v>3.1300000000000001E-2</v>
      </c>
      <c r="CM246" s="116">
        <f>CC246/CB246</f>
        <v>0.33345183078563811</v>
      </c>
      <c r="CN246" s="116">
        <f>CG246/CB246</f>
        <v>0.22218272307145398</v>
      </c>
    </row>
    <row r="247" spans="1:92" s="404" customFormat="1" ht="14.25" customHeight="1">
      <c r="A247" s="405"/>
      <c r="B247" s="405" t="s">
        <v>37</v>
      </c>
      <c r="C247" s="220">
        <f>SUM(C175:C187,C189:C206)</f>
        <v>78188</v>
      </c>
      <c r="D247" s="415">
        <f t="shared" si="246"/>
        <v>7.5519414743950478E-2</v>
      </c>
      <c r="E247" s="415">
        <f t="shared" si="246"/>
        <v>4.3209175321021129E-2</v>
      </c>
      <c r="F247" s="415">
        <f t="shared" si="246"/>
        <v>3.2419148718473421E-2</v>
      </c>
      <c r="G247" s="415">
        <f t="shared" si="246"/>
        <v>2.7899201923568831E-2</v>
      </c>
      <c r="H247" s="415">
        <f t="shared" si="246"/>
        <v>2.4404321635033508E-2</v>
      </c>
      <c r="I247" s="415">
        <f t="shared" si="246"/>
        <v>2.3044215224842689E-2</v>
      </c>
      <c r="J247" s="415">
        <f t="shared" si="246"/>
        <v>1.3269281731211949E-2</v>
      </c>
      <c r="K247" s="415">
        <f t="shared" si="246"/>
        <v>8.7943482375812138E-3</v>
      </c>
      <c r="L247" s="415">
        <f t="shared" si="246"/>
        <v>6.2994679490458892E-3</v>
      </c>
      <c r="M247" s="415">
        <f t="shared" si="246"/>
        <v>5.284640865605976E-3</v>
      </c>
      <c r="N247" s="415">
        <f t="shared" si="246"/>
        <v>4.3447472757967972E-3</v>
      </c>
      <c r="O247" s="116">
        <f>E247/D247</f>
        <v>0.57215982760886563</v>
      </c>
      <c r="P247" s="116">
        <f>I247/D247</f>
        <v>0.30514292653054037</v>
      </c>
      <c r="Q247" s="220">
        <f>SUM(Q175:Q187,Q189:Q206)</f>
        <v>2459</v>
      </c>
      <c r="R247" s="415">
        <f t="shared" si="247"/>
        <v>0.403942950324858</v>
      </c>
      <c r="S247" s="415">
        <f t="shared" si="247"/>
        <v>0.26960385481148003</v>
      </c>
      <c r="T247" s="415">
        <f t="shared" si="247"/>
        <v>0.20316209904333143</v>
      </c>
      <c r="U247" s="415">
        <f t="shared" si="247"/>
        <v>0.17653111474906638</v>
      </c>
      <c r="V247" s="415">
        <f t="shared" si="247"/>
        <v>0.15565132756944799</v>
      </c>
      <c r="W247" s="415">
        <f t="shared" si="247"/>
        <v>0.14468989103187188</v>
      </c>
      <c r="X247" s="415">
        <f t="shared" si="247"/>
        <v>8.9027591190464009E-2</v>
      </c>
      <c r="Y247" s="415">
        <f t="shared" si="247"/>
        <v>6.6504120836957073E-2</v>
      </c>
      <c r="Z247" s="415">
        <f t="shared" si="247"/>
        <v>5.5494945515935951E-2</v>
      </c>
      <c r="AA247" s="415">
        <f t="shared" si="247"/>
        <v>4.5513030132501152E-2</v>
      </c>
      <c r="AB247" s="415">
        <f t="shared" si="247"/>
        <v>3.3064227247147894E-2</v>
      </c>
      <c r="AC247" s="116">
        <f>S247/R247</f>
        <v>0.66743052352977039</v>
      </c>
      <c r="AD247" s="116">
        <f>W247/R247</f>
        <v>0.35819387593101881</v>
      </c>
      <c r="AE247" s="1"/>
      <c r="AF247" s="405"/>
      <c r="AG247" s="405" t="s">
        <v>37</v>
      </c>
      <c r="AH247" s="220">
        <f>SUM(AH175:AH187,AH189:AH206)</f>
        <v>42993</v>
      </c>
      <c r="AI247" s="237">
        <v>7.7499999999999999E-2</v>
      </c>
      <c r="AJ247" s="237">
        <v>4.5999999999999999E-2</v>
      </c>
      <c r="AK247" s="237">
        <v>3.5299999999999998E-2</v>
      </c>
      <c r="AL247" s="237">
        <v>3.0599999999999999E-2</v>
      </c>
      <c r="AM247" s="237">
        <v>2.6700000000000002E-2</v>
      </c>
      <c r="AN247" s="237">
        <v>2.5700000000000001E-2</v>
      </c>
      <c r="AO247" s="237">
        <v>1.5699999999999999E-2</v>
      </c>
      <c r="AP247" s="237">
        <v>1.0999999999999999E-2</v>
      </c>
      <c r="AQ247" s="237">
        <v>8.0999999999999996E-3</v>
      </c>
      <c r="AR247" s="237">
        <v>6.4999999999999997E-3</v>
      </c>
      <c r="AS247" s="237">
        <v>5.1999999999999998E-3</v>
      </c>
      <c r="AT247" s="116">
        <f>AJ247/AI247</f>
        <v>0.59354838709677415</v>
      </c>
      <c r="AU247" s="116">
        <f>AN247/AI247</f>
        <v>0.33161290322580644</v>
      </c>
      <c r="AV247" s="220">
        <f>SUM(AV175:AV187,AV189:AV206)</f>
        <v>1157</v>
      </c>
      <c r="AW247" s="237">
        <v>0.42780000000000001</v>
      </c>
      <c r="AX247" s="237">
        <v>0.29039999999999999</v>
      </c>
      <c r="AY247" s="237">
        <v>0.22989999999999999</v>
      </c>
      <c r="AZ247" s="237">
        <v>0.20660000000000001</v>
      </c>
      <c r="BA247" s="237">
        <v>0.185</v>
      </c>
      <c r="BB247" s="237">
        <v>0.1789</v>
      </c>
      <c r="BC247" s="237">
        <v>0.11409999999999999</v>
      </c>
      <c r="BD247" s="237">
        <v>8.6400000000000005E-2</v>
      </c>
      <c r="BE247" s="237">
        <v>7.2599999999999998E-2</v>
      </c>
      <c r="BF247" s="237">
        <v>6.9099999999999995E-2</v>
      </c>
      <c r="BG247" s="237">
        <v>5.2600000000000001E-2</v>
      </c>
      <c r="BH247" s="116">
        <f>AX247/AW247</f>
        <v>0.67882187938288918</v>
      </c>
      <c r="BI247" s="116">
        <f>BB247/AW247</f>
        <v>0.41818606825619448</v>
      </c>
      <c r="BJ247" s="1"/>
      <c r="BK247" s="405"/>
      <c r="BL247" s="405" t="s">
        <v>37</v>
      </c>
      <c r="BM247" s="220">
        <f>SUM(BM175:BM187,BM189:BM206)</f>
        <v>35195</v>
      </c>
      <c r="BN247" s="237">
        <v>7.3099999999999998E-2</v>
      </c>
      <c r="BO247" s="237">
        <v>3.9800000000000002E-2</v>
      </c>
      <c r="BP247" s="237">
        <v>2.8899999999999999E-2</v>
      </c>
      <c r="BQ247" s="237">
        <v>2.46E-2</v>
      </c>
      <c r="BR247" s="237">
        <v>2.1600000000000001E-2</v>
      </c>
      <c r="BS247" s="237">
        <v>1.9800000000000002E-2</v>
      </c>
      <c r="BT247" s="237">
        <v>1.03E-2</v>
      </c>
      <c r="BU247" s="237">
        <v>6.1000000000000004E-3</v>
      </c>
      <c r="BV247" s="237">
        <v>4.1000000000000003E-3</v>
      </c>
      <c r="BW247" s="237">
        <v>3.8E-3</v>
      </c>
      <c r="BX247" s="380">
        <v>3.3E-3</v>
      </c>
      <c r="BY247" s="116">
        <f>BO247/BN247</f>
        <v>0.54445964432284544</v>
      </c>
      <c r="BZ247" s="116">
        <f>BS247/BN247</f>
        <v>0.27086183310533518</v>
      </c>
      <c r="CA247" s="220">
        <f>SUM(CA175:CA187,CA189:CA206)</f>
        <v>1302</v>
      </c>
      <c r="CB247" s="237">
        <v>0.37480000000000002</v>
      </c>
      <c r="CC247" s="237">
        <v>0.2442</v>
      </c>
      <c r="CD247" s="237">
        <v>0.17050000000000001</v>
      </c>
      <c r="CE247" s="237">
        <v>0.13980000000000001</v>
      </c>
      <c r="CF247" s="237">
        <v>0.1198</v>
      </c>
      <c r="CG247" s="237">
        <v>0.10290000000000001</v>
      </c>
      <c r="CH247" s="237">
        <v>5.8400000000000001E-2</v>
      </c>
      <c r="CI247" s="237">
        <v>4.2200000000000001E-2</v>
      </c>
      <c r="CJ247" s="237">
        <v>3.4599999999999999E-2</v>
      </c>
      <c r="CK247" s="237">
        <v>1.67E-2</v>
      </c>
      <c r="CL247" s="380">
        <v>9.1999999999999998E-3</v>
      </c>
      <c r="CM247" s="116">
        <f>CC247/CB247</f>
        <v>0.65154749199573103</v>
      </c>
      <c r="CN247" s="116">
        <f>CG247/CB247</f>
        <v>0.27454642475987195</v>
      </c>
    </row>
    <row r="248" spans="1:92" s="404" customFormat="1" ht="14.25" customHeight="1">
      <c r="A248" s="405"/>
      <c r="B248" s="405" t="s">
        <v>38</v>
      </c>
      <c r="C248" s="220">
        <f>SUM(C207:C234)</f>
        <v>53671</v>
      </c>
      <c r="D248" s="415">
        <f t="shared" ref="D248:L248" si="248">($AH248*AI248+$BM248*BN248)/$C248</f>
        <v>7.8194209163235273E-2</v>
      </c>
      <c r="E248" s="415">
        <f t="shared" si="248"/>
        <v>4.8263240856328375E-2</v>
      </c>
      <c r="F248" s="415">
        <f t="shared" si="248"/>
        <v>3.7930237931098731E-2</v>
      </c>
      <c r="G248" s="415">
        <f t="shared" si="248"/>
        <v>3.2564179910938865E-2</v>
      </c>
      <c r="H248" s="415">
        <f t="shared" si="248"/>
        <v>2.8364492929142365E-2</v>
      </c>
      <c r="I248" s="415">
        <f t="shared" si="248"/>
        <v>2.6031437834212145E-2</v>
      </c>
      <c r="J248" s="415">
        <f t="shared" si="248"/>
        <v>1.4998800096886587E-2</v>
      </c>
      <c r="K248" s="415">
        <f t="shared" si="248"/>
        <v>1.1232481228223807E-2</v>
      </c>
      <c r="L248" s="415">
        <f t="shared" si="248"/>
        <v>8.1993739635930016E-3</v>
      </c>
      <c r="M248" s="415" t="s">
        <v>22</v>
      </c>
      <c r="N248" s="188" t="s">
        <v>22</v>
      </c>
      <c r="O248" s="116">
        <f>E248/D248</f>
        <v>0.61722269938910512</v>
      </c>
      <c r="P248" s="116">
        <f>I248/D248</f>
        <v>0.3329074890938522</v>
      </c>
      <c r="Q248" s="220">
        <f>SUM(Q207:Q234)</f>
        <v>1557</v>
      </c>
      <c r="R248" s="415">
        <f t="shared" ref="R248:Z248" si="249">($AH248*AW248+$BM248*CB248)/$C248</f>
        <v>0.49185285908591231</v>
      </c>
      <c r="S248" s="415">
        <f t="shared" si="249"/>
        <v>0.3659861750293455</v>
      </c>
      <c r="T248" s="415">
        <f t="shared" si="249"/>
        <v>0.29182147342140075</v>
      </c>
      <c r="U248" s="415">
        <f t="shared" si="249"/>
        <v>0.26262256898511299</v>
      </c>
      <c r="V248" s="415">
        <f t="shared" si="249"/>
        <v>0.24115484153453445</v>
      </c>
      <c r="W248" s="415">
        <f t="shared" si="249"/>
        <v>0.22112747293696783</v>
      </c>
      <c r="X248" s="415">
        <f t="shared" si="249"/>
        <v>0.14152898585828474</v>
      </c>
      <c r="Y248" s="415">
        <f t="shared" si="249"/>
        <v>0.10332543831864507</v>
      </c>
      <c r="Z248" s="415">
        <f t="shared" si="249"/>
        <v>5.9728255482476574E-2</v>
      </c>
      <c r="AA248" s="415" t="s">
        <v>22</v>
      </c>
      <c r="AB248" s="415" t="s">
        <v>22</v>
      </c>
      <c r="AC248" s="116">
        <f>S248/R248</f>
        <v>0.74409687423493942</v>
      </c>
      <c r="AD248" s="116">
        <f>W248/R248</f>
        <v>0.4495805378623271</v>
      </c>
      <c r="AE248" s="1"/>
      <c r="AF248" s="405"/>
      <c r="AG248" s="405" t="s">
        <v>38</v>
      </c>
      <c r="AH248" s="220">
        <f>SUM(AH207:AH234)</f>
        <v>35790</v>
      </c>
      <c r="AI248" s="237">
        <v>6.7100000000000007E-2</v>
      </c>
      <c r="AJ248" s="237">
        <v>4.1700000000000001E-2</v>
      </c>
      <c r="AK248" s="237">
        <v>3.2000000000000001E-2</v>
      </c>
      <c r="AL248" s="237">
        <v>2.7799999999999998E-2</v>
      </c>
      <c r="AM248" s="237">
        <v>2.4199999999999999E-2</v>
      </c>
      <c r="AN248" s="237">
        <v>2.24E-2</v>
      </c>
      <c r="AO248" s="237">
        <v>1.2699999999999999E-2</v>
      </c>
      <c r="AP248" s="237">
        <v>9.5999999999999992E-3</v>
      </c>
      <c r="AQ248" s="237">
        <v>7.0000000000000001E-3</v>
      </c>
      <c r="AR248" s="237" t="s">
        <v>22</v>
      </c>
      <c r="AS248" s="237" t="s">
        <v>22</v>
      </c>
      <c r="AT248" s="116">
        <f>AJ248/AI248</f>
        <v>0.62146050670640829</v>
      </c>
      <c r="AU248" s="116">
        <f>AN248/AI248</f>
        <v>0.33383010432190757</v>
      </c>
      <c r="AV248" s="220">
        <f>SUM(AV207:AV234)</f>
        <v>810</v>
      </c>
      <c r="AW248" s="237">
        <v>0.46539999999999998</v>
      </c>
      <c r="AX248" s="237">
        <v>0.33950000000000002</v>
      </c>
      <c r="AY248" s="237">
        <v>0.26910000000000001</v>
      </c>
      <c r="AZ248" s="237">
        <v>0.24199999999999999</v>
      </c>
      <c r="BA248" s="237">
        <v>0.2185</v>
      </c>
      <c r="BB248" s="237">
        <v>0.2099</v>
      </c>
      <c r="BC248" s="237">
        <v>0.13320000000000001</v>
      </c>
      <c r="BD248" s="237">
        <v>8.8200000000000001E-2</v>
      </c>
      <c r="BE248" s="237">
        <v>0.05</v>
      </c>
      <c r="BF248" s="237" t="s">
        <v>22</v>
      </c>
      <c r="BG248" s="237" t="s">
        <v>22</v>
      </c>
      <c r="BH248" s="116">
        <f>AX248/AW248</f>
        <v>0.7294800171895145</v>
      </c>
      <c r="BI248" s="116">
        <f>BB248/AW248</f>
        <v>0.45100988397077785</v>
      </c>
      <c r="BJ248" s="1"/>
      <c r="BK248" s="405"/>
      <c r="BL248" s="405" t="s">
        <v>38</v>
      </c>
      <c r="BM248" s="220">
        <f>SUM(BM207:BM234)</f>
        <v>17881</v>
      </c>
      <c r="BN248" s="237">
        <v>0.1004</v>
      </c>
      <c r="BO248" s="237">
        <v>6.1400000000000003E-2</v>
      </c>
      <c r="BP248" s="237">
        <v>4.9799999999999997E-2</v>
      </c>
      <c r="BQ248" s="237">
        <v>4.2099999999999999E-2</v>
      </c>
      <c r="BR248" s="237">
        <v>3.6700000000000003E-2</v>
      </c>
      <c r="BS248" s="237">
        <v>3.3300000000000003E-2</v>
      </c>
      <c r="BT248" s="237">
        <v>1.9599999999999999E-2</v>
      </c>
      <c r="BU248" s="237">
        <v>1.4500000000000001E-2</v>
      </c>
      <c r="BV248" s="237">
        <v>1.06E-2</v>
      </c>
      <c r="BW248" s="237" t="s">
        <v>22</v>
      </c>
      <c r="BX248" s="188" t="s">
        <v>22</v>
      </c>
      <c r="BY248" s="116">
        <f>BO248/BN248</f>
        <v>0.61155378486055778</v>
      </c>
      <c r="BZ248" s="116">
        <f>BS248/BN248</f>
        <v>0.33167330677290841</v>
      </c>
      <c r="CA248" s="220">
        <f>SUM(CA207:CA234)</f>
        <v>747</v>
      </c>
      <c r="CB248" s="237">
        <v>0.54479999999999995</v>
      </c>
      <c r="CC248" s="237">
        <v>0.41899999999999998</v>
      </c>
      <c r="CD248" s="237">
        <v>0.33729999999999999</v>
      </c>
      <c r="CE248" s="237">
        <v>0.3039</v>
      </c>
      <c r="CF248" s="237">
        <v>0.28649999999999998</v>
      </c>
      <c r="CG248" s="237">
        <v>0.24360000000000001</v>
      </c>
      <c r="CH248" s="237">
        <v>0.15820000000000001</v>
      </c>
      <c r="CI248" s="237">
        <v>0.1336</v>
      </c>
      <c r="CJ248" s="237">
        <v>7.9200000000000007E-2</v>
      </c>
      <c r="CK248" s="237" t="s">
        <v>22</v>
      </c>
      <c r="CL248" s="188" t="s">
        <v>22</v>
      </c>
      <c r="CM248" s="116">
        <f>CC248/CB248</f>
        <v>0.76908957415565349</v>
      </c>
      <c r="CN248" s="116">
        <f>CG248/CB248</f>
        <v>0.44713656387665202</v>
      </c>
    </row>
    <row r="249" spans="1:92" s="404" customFormat="1" ht="13.5" customHeight="1">
      <c r="A249" s="405"/>
      <c r="B249" s="405"/>
      <c r="C249" s="405"/>
      <c r="D249" s="405"/>
      <c r="E249" s="405"/>
      <c r="F249" s="405"/>
      <c r="G249" s="405"/>
      <c r="H249" s="405"/>
      <c r="I249" s="405"/>
      <c r="J249" s="405"/>
      <c r="K249" s="405"/>
      <c r="L249" s="405"/>
      <c r="M249" s="405"/>
      <c r="N249" s="405"/>
      <c r="O249" s="405"/>
      <c r="P249" s="405"/>
      <c r="Q249" s="405"/>
      <c r="R249" s="405"/>
      <c r="S249" s="405"/>
      <c r="T249" s="405"/>
      <c r="U249" s="405"/>
      <c r="V249" s="405"/>
      <c r="W249" s="405"/>
      <c r="X249" s="405"/>
      <c r="Y249" s="405"/>
      <c r="Z249" s="405"/>
      <c r="AA249" s="405"/>
      <c r="AB249" s="405"/>
      <c r="AC249" s="405"/>
      <c r="AD249" s="405"/>
      <c r="AE249" s="405"/>
      <c r="AF249" s="405"/>
      <c r="AG249" s="405"/>
      <c r="AH249" s="405"/>
      <c r="AJ249" s="405"/>
      <c r="AL249" s="405"/>
      <c r="AN249" s="405"/>
      <c r="AO249" s="405"/>
      <c r="AQ249" s="405"/>
      <c r="AR249" s="405"/>
      <c r="AT249" s="405"/>
      <c r="AU249" s="405"/>
      <c r="AZ249" s="405"/>
      <c r="BG249" s="405"/>
      <c r="BJ249" s="231"/>
      <c r="CL249" s="1"/>
    </row>
    <row r="250" spans="1:92" s="404" customFormat="1" ht="13.5" customHeight="1">
      <c r="A250" s="405"/>
      <c r="B250" s="405"/>
      <c r="C250" s="405"/>
      <c r="D250" s="405"/>
      <c r="E250" s="405"/>
      <c r="F250" s="405"/>
      <c r="G250" s="405"/>
      <c r="H250" s="405"/>
      <c r="I250" s="405"/>
      <c r="J250" s="405"/>
      <c r="K250" s="405"/>
      <c r="L250" s="405"/>
      <c r="M250" s="405"/>
      <c r="N250" s="405"/>
      <c r="O250" s="405"/>
      <c r="P250" s="405"/>
      <c r="Q250" s="405"/>
      <c r="R250" s="405"/>
      <c r="S250" s="405"/>
      <c r="T250" s="405"/>
      <c r="U250" s="405"/>
      <c r="V250" s="405"/>
      <c r="W250" s="405"/>
      <c r="X250" s="405"/>
      <c r="Y250" s="405"/>
      <c r="Z250" s="405"/>
      <c r="AA250" s="405"/>
      <c r="AB250" s="405"/>
      <c r="AC250" s="405"/>
      <c r="AD250" s="405"/>
      <c r="AE250" s="405"/>
      <c r="AF250" s="405"/>
      <c r="AG250" s="242"/>
      <c r="AH250" s="405"/>
      <c r="AJ250" s="405"/>
      <c r="AL250" s="405"/>
      <c r="AN250" s="405"/>
      <c r="AO250" s="405"/>
      <c r="AQ250" s="405"/>
      <c r="AR250" s="405"/>
      <c r="AT250" s="242"/>
      <c r="AU250" s="405"/>
      <c r="AZ250" s="405"/>
      <c r="BG250" s="405"/>
      <c r="BJ250" s="231"/>
      <c r="BW250" s="231"/>
    </row>
    <row r="251" spans="1:92" ht="13.5" customHeight="1">
      <c r="AG251" s="231"/>
      <c r="AT251" s="231"/>
      <c r="BJ251" s="231"/>
      <c r="BW251" s="231"/>
    </row>
    <row r="252" spans="1:92" ht="13.5" customHeight="1">
      <c r="AG252" s="231"/>
      <c r="AT252" s="231"/>
      <c r="BJ252" s="231"/>
      <c r="BW252" s="231"/>
    </row>
    <row r="253" spans="1:92" ht="13.5" customHeight="1">
      <c r="AG253" s="231"/>
      <c r="AT253" s="231"/>
      <c r="BJ253" s="231"/>
      <c r="BW253" s="231"/>
    </row>
    <row r="254" spans="1:92" ht="13.5" customHeight="1">
      <c r="AG254" s="231"/>
      <c r="AT254" s="231"/>
      <c r="BJ254" s="231"/>
      <c r="BW254" s="231"/>
    </row>
    <row r="255" spans="1:92" ht="13.5" customHeight="1">
      <c r="AG255" s="231"/>
      <c r="AT255" s="231"/>
      <c r="BJ255" s="231"/>
      <c r="BW255" s="231"/>
    </row>
    <row r="256" spans="1:92" ht="13.5" customHeight="1">
      <c r="AG256" s="231"/>
      <c r="AT256" s="231"/>
      <c r="BW256" s="231"/>
    </row>
    <row r="257" spans="33:75" ht="13.5" customHeight="1">
      <c r="AG257" s="231"/>
      <c r="AT257" s="231"/>
      <c r="BW257" s="231"/>
    </row>
    <row r="258" spans="33:75" ht="13.5" customHeight="1">
      <c r="AG258" s="231"/>
      <c r="AT258" s="231"/>
    </row>
    <row r="259" spans="33:75" ht="13.5" customHeight="1">
      <c r="AG259" s="231"/>
      <c r="AT259" s="231"/>
    </row>
  </sheetData>
  <mergeCells count="135">
    <mergeCell ref="AQ11:AQ17"/>
    <mergeCell ref="A109:A111"/>
    <mergeCell ref="A106:A107"/>
    <mergeCell ref="A35:A36"/>
    <mergeCell ref="V35:V36"/>
    <mergeCell ref="AQ35:AQ36"/>
    <mergeCell ref="A120:A121"/>
    <mergeCell ref="A197:A199"/>
    <mergeCell ref="A194:A196"/>
    <mergeCell ref="A180:A186"/>
    <mergeCell ref="A191:A192"/>
    <mergeCell ref="V24:V26"/>
    <mergeCell ref="A95:A101"/>
    <mergeCell ref="V21:V22"/>
    <mergeCell ref="A21:A22"/>
    <mergeCell ref="A11:A17"/>
    <mergeCell ref="V27:V29"/>
    <mergeCell ref="A24:A26"/>
    <mergeCell ref="AQ21:AQ22"/>
    <mergeCell ref="AQ24:AQ26"/>
    <mergeCell ref="AQ27:AQ29"/>
    <mergeCell ref="V11:V17"/>
    <mergeCell ref="A27:A29"/>
    <mergeCell ref="A117:A119"/>
    <mergeCell ref="A32:A34"/>
    <mergeCell ref="V32:V34"/>
    <mergeCell ref="AQ32:AQ34"/>
    <mergeCell ref="A202:A204"/>
    <mergeCell ref="A39:A41"/>
    <mergeCell ref="A42:A44"/>
    <mergeCell ref="V39:V41"/>
    <mergeCell ref="V42:V44"/>
    <mergeCell ref="AQ39:AQ41"/>
    <mergeCell ref="AQ42:AQ44"/>
    <mergeCell ref="A124:A126"/>
    <mergeCell ref="A127:A129"/>
    <mergeCell ref="A112:A114"/>
    <mergeCell ref="A45:A47"/>
    <mergeCell ref="A50:A52"/>
    <mergeCell ref="A54:A58"/>
    <mergeCell ref="V45:V47"/>
    <mergeCell ref="V50:V52"/>
    <mergeCell ref="V54:V58"/>
    <mergeCell ref="AQ45:AQ47"/>
    <mergeCell ref="AQ50:AQ52"/>
    <mergeCell ref="AQ54:AQ58"/>
    <mergeCell ref="A59:A61"/>
    <mergeCell ref="V59:V61"/>
    <mergeCell ref="AQ59:AQ61"/>
    <mergeCell ref="A144:A146"/>
    <mergeCell ref="A229:A231"/>
    <mergeCell ref="A62:A63"/>
    <mergeCell ref="A67:A69"/>
    <mergeCell ref="A70:A71"/>
    <mergeCell ref="V62:V63"/>
    <mergeCell ref="V67:V69"/>
    <mergeCell ref="V70:V71"/>
    <mergeCell ref="AQ62:AQ63"/>
    <mergeCell ref="AQ67:AQ69"/>
    <mergeCell ref="AQ70:AQ71"/>
    <mergeCell ref="A147:A148"/>
    <mergeCell ref="A152:A154"/>
    <mergeCell ref="A155:A156"/>
    <mergeCell ref="AF205:AF206"/>
    <mergeCell ref="AF202:AF204"/>
    <mergeCell ref="AF209:AF211"/>
    <mergeCell ref="AF212:AF214"/>
    <mergeCell ref="A209:A211"/>
    <mergeCell ref="A212:A214"/>
    <mergeCell ref="A130:A132"/>
    <mergeCell ref="A232:A233"/>
    <mergeCell ref="A237:A239"/>
    <mergeCell ref="A240:A241"/>
    <mergeCell ref="X109:X111"/>
    <mergeCell ref="X112:X114"/>
    <mergeCell ref="X106:X107"/>
    <mergeCell ref="X95:X101"/>
    <mergeCell ref="X120:X121"/>
    <mergeCell ref="X117:X119"/>
    <mergeCell ref="X124:X126"/>
    <mergeCell ref="X127:X129"/>
    <mergeCell ref="X130:X132"/>
    <mergeCell ref="X135:X137"/>
    <mergeCell ref="X139:X143"/>
    <mergeCell ref="X144:X146"/>
    <mergeCell ref="X147:X148"/>
    <mergeCell ref="X152:X154"/>
    <mergeCell ref="X155:X156"/>
    <mergeCell ref="A215:A217"/>
    <mergeCell ref="A220:A222"/>
    <mergeCell ref="A224:A228"/>
    <mergeCell ref="A135:A137"/>
    <mergeCell ref="A139:A143"/>
    <mergeCell ref="A205:A206"/>
    <mergeCell ref="AU95:AU101"/>
    <mergeCell ref="AU106:AU107"/>
    <mergeCell ref="AU109:AU111"/>
    <mergeCell ref="AU112:AU114"/>
    <mergeCell ref="AU120:AU121"/>
    <mergeCell ref="AU117:AU119"/>
    <mergeCell ref="AU124:AU126"/>
    <mergeCell ref="AU127:AU129"/>
    <mergeCell ref="AU130:AU132"/>
    <mergeCell ref="AU135:AU137"/>
    <mergeCell ref="AU139:AU143"/>
    <mergeCell ref="AU144:AU146"/>
    <mergeCell ref="AU147:AU148"/>
    <mergeCell ref="AU152:AU154"/>
    <mergeCell ref="AU155:AU156"/>
    <mergeCell ref="AF197:AF199"/>
    <mergeCell ref="AF194:AF196"/>
    <mergeCell ref="AF180:AF186"/>
    <mergeCell ref="AF191:AF192"/>
    <mergeCell ref="AF215:AF217"/>
    <mergeCell ref="AF220:AF222"/>
    <mergeCell ref="AF224:AF228"/>
    <mergeCell ref="AF229:AF231"/>
    <mergeCell ref="AF232:AF233"/>
    <mergeCell ref="AF237:AF239"/>
    <mergeCell ref="AF240:AF241"/>
    <mergeCell ref="BK194:BK196"/>
    <mergeCell ref="BK180:BK186"/>
    <mergeCell ref="BK197:BK199"/>
    <mergeCell ref="BK191:BK192"/>
    <mergeCell ref="BK205:BK206"/>
    <mergeCell ref="BK202:BK204"/>
    <mergeCell ref="BK209:BK211"/>
    <mergeCell ref="BK212:BK214"/>
    <mergeCell ref="BK215:BK217"/>
    <mergeCell ref="BK220:BK222"/>
    <mergeCell ref="BK224:BK228"/>
    <mergeCell ref="BK229:BK231"/>
    <mergeCell ref="BK232:BK233"/>
    <mergeCell ref="BK237:BK239"/>
    <mergeCell ref="BK240:BK241"/>
  </mergeCells>
  <phoneticPr fontId="1" type="noConversion"/>
  <conditionalFormatting sqref="D4:D33 J4:J33 P4:P33">
    <cfRule type="aboveAverage" dxfId="7" priority="57"/>
  </conditionalFormatting>
  <conditionalFormatting sqref="D34:D72 J34:J72 P34:P72">
    <cfRule type="aboveAverage" dxfId="6" priority="78"/>
  </conditionalFormatting>
  <conditionalFormatting sqref="D172:N173 D175:N187 D189:G242 H189:H240 I189:I239 J189:J232 K189:K225 L189:L216 M189:M200 N189:N191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7:O88 D90:O102 D104:G157 H104:I155 H156 J104:J154 K104:K147 L104:L140 M104:M131 N104:N115 O104:O106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72 K4:K72 Q4:Q72">
    <cfRule type="dataBar" priority="4">
      <dataBar>
        <cfvo type="min"/>
        <cfvo type="max"/>
        <color rgb="FFFE0300"/>
      </dataBar>
      <extLst>
        <ext xmlns:x14="http://schemas.microsoft.com/office/spreadsheetml/2009/9/main" uri="{B025F937-C7B1-47D3-B67F-A62EFF666E3E}">
          <x14:id>{FD31DA3D-F7BB-28BB-203B-8E7A6A6B41EE}</x14:id>
        </ext>
      </extLst>
    </cfRule>
  </conditionalFormatting>
  <conditionalFormatting sqref="F4:F72 L4:L72 R4:R72">
    <cfRule type="dataBar" priority="3">
      <dataBar>
        <cfvo type="min"/>
        <cfvo type="max"/>
        <color rgb="FF04B0F1"/>
      </dataBar>
      <extLst>
        <ext xmlns:x14="http://schemas.microsoft.com/office/spreadsheetml/2009/9/main" uri="{B025F937-C7B1-47D3-B67F-A62EFF666E3E}">
          <x14:id>{FF5FFC11-A93A-7A9D-98F6-0DAD367CAF0B}</x14:id>
        </ext>
      </extLst>
    </cfRule>
  </conditionalFormatting>
  <conditionalFormatting sqref="H157:J157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42:J242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57:O157 L141:O146 M132:O140 N116:O131 O107:O11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17:N232 L242:N242 M201:N206 M208:N216 N192:N200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7:N20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2:AB173 R175:AB187 R189:U242 V189:V240 V242:AB242 W189:W239 X189:X232 Y189:AB225 Z226:AB230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4 AE34 AK34">
    <cfRule type="aboveAverage" dxfId="5" priority="56"/>
  </conditionalFormatting>
  <conditionalFormatting sqref="Y37:Y72 AE37:AE72 AK37:AK72">
    <cfRule type="aboveAverage" dxfId="4" priority="75"/>
  </conditionalFormatting>
  <conditionalFormatting sqref="Y65:Y71">
    <cfRule type="aboveAverage" dxfId="3" priority="67"/>
  </conditionalFormatting>
  <conditionalFormatting sqref="Y226:Y230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7:Z72 AF37:AF72 AL37:AL72">
    <cfRule type="dataBar" priority="76">
      <dataBar>
        <cfvo type="min"/>
        <cfvo type="max"/>
        <color rgb="FFFE0300"/>
      </dataBar>
      <extLst>
        <ext xmlns:x14="http://schemas.microsoft.com/office/spreadsheetml/2009/9/main" uri="{B025F937-C7B1-47D3-B67F-A62EFF666E3E}">
          <x14:id>{357E722C-0E04-2113-4DE9-03C5274BF5B7}</x14:id>
        </ext>
      </extLst>
    </cfRule>
  </conditionalFormatting>
  <conditionalFormatting sqref="Z65:Z71">
    <cfRule type="dataBar" priority="8">
      <dataBar>
        <cfvo type="min"/>
        <cfvo type="max"/>
        <color rgb="FFFE0300"/>
      </dataBar>
      <extLst>
        <ext xmlns:x14="http://schemas.microsoft.com/office/spreadsheetml/2009/9/main" uri="{B025F937-C7B1-47D3-B67F-A62EFF666E3E}">
          <x14:id>{F546876A-65E6-D92B-5F2A-BBE6046614B9}</x14:id>
        </ext>
      </extLst>
    </cfRule>
  </conditionalFormatting>
  <conditionalFormatting sqref="AA4:AA64 AA72 AG4:AG64 AG72 AM4:AM64 AM72 AA37:AA72 AG37:AG72 AM37:AM72">
    <cfRule type="dataBar" priority="77">
      <dataBar>
        <cfvo type="min"/>
        <cfvo type="max"/>
        <color rgb="FF04B0F1"/>
      </dataBar>
      <extLst>
        <ext xmlns:x14="http://schemas.microsoft.com/office/spreadsheetml/2009/9/main" uri="{B025F937-C7B1-47D3-B67F-A62EFF666E3E}">
          <x14:id>{D813CA28-A686-9681-22D4-F81755A318FD}</x14:id>
        </ext>
      </extLst>
    </cfRule>
  </conditionalFormatting>
  <conditionalFormatting sqref="AA65:AA71">
    <cfRule type="dataBar" priority="7">
      <dataBar>
        <cfvo type="min"/>
        <cfvo type="max"/>
        <color rgb="FF04B0F1"/>
      </dataBar>
      <extLst>
        <ext xmlns:x14="http://schemas.microsoft.com/office/spreadsheetml/2009/9/main" uri="{B025F937-C7B1-47D3-B67F-A62EFF666E3E}">
          <x14:id>{7F5F379D-F593-DC2F-8BAB-01E6D9F893C2}</x14:id>
        </ext>
      </extLst>
    </cfRule>
  </conditionalFormatting>
  <conditionalFormatting sqref="AA87:AL88 AA90:AL102 AA104:AL149 AA157:AL157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50:AL156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5:AG71">
    <cfRule type="dataBar" priority="68">
      <dataBar>
        <cfvo type="min"/>
        <cfvo type="max"/>
        <color rgb="FF04B0F1"/>
      </dataBar>
      <extLst>
        <ext xmlns:x14="http://schemas.microsoft.com/office/spreadsheetml/2009/9/main" uri="{B025F937-C7B1-47D3-B67F-A62EFF666E3E}">
          <x14:id>{506444B8-E785-7DB5-46AC-D4FA4619D36B}</x14:id>
        </ext>
      </extLst>
    </cfRule>
  </conditionalFormatting>
  <conditionalFormatting sqref="AI172:AS173 AI175:AS187 AI189:AS24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:AK71">
    <cfRule type="aboveAverage" dxfId="2" priority="74"/>
  </conditionalFormatting>
  <conditionalFormatting sqref="AL65:AL71">
    <cfRule type="dataBar" priority="73">
      <dataBar>
        <cfvo type="min"/>
        <cfvo type="max"/>
        <color rgb="FFFE0300"/>
      </dataBar>
      <extLst>
        <ext xmlns:x14="http://schemas.microsoft.com/office/spreadsheetml/2009/9/main" uri="{B025F937-C7B1-47D3-B67F-A62EFF666E3E}">
          <x14:id>{33CD1A43-1F9A-145B-E24F-8395877BFFFA}</x14:id>
        </ext>
      </extLst>
    </cfRule>
  </conditionalFormatting>
  <conditionalFormatting sqref="AM65:AM71">
    <cfRule type="dataBar" priority="72">
      <dataBar>
        <cfvo type="min"/>
        <cfvo type="max"/>
        <color rgb="FF04B0F1"/>
      </dataBar>
      <extLst>
        <ext xmlns:x14="http://schemas.microsoft.com/office/spreadsheetml/2009/9/main" uri="{B025F937-C7B1-47D3-B67F-A62EFF666E3E}">
          <x14:id>{4639BF86-F0A8-5A19-D49C-4466CDD4B4A0}</x14:id>
        </ext>
      </extLst>
    </cfRule>
  </conditionalFormatting>
  <conditionalFormatting sqref="AT34 AZ34 BF34">
    <cfRule type="aboveAverage" dxfId="1" priority="53"/>
  </conditionalFormatting>
  <conditionalFormatting sqref="AT37:AT72 AZ37:AZ72 BF37:BF72">
    <cfRule type="aboveAverage" dxfId="0" priority="69"/>
  </conditionalFormatting>
  <conditionalFormatting sqref="AU37:AU72 BA37:BA72 BG37:BG72">
    <cfRule type="dataBar" priority="70">
      <dataBar>
        <cfvo type="min"/>
        <cfvo type="max"/>
        <color rgb="FFFE0300"/>
      </dataBar>
      <extLst>
        <ext xmlns:x14="http://schemas.microsoft.com/office/spreadsheetml/2009/9/main" uri="{B025F937-C7B1-47D3-B67F-A62EFF666E3E}">
          <x14:id>{E30D902D-6521-4132-AF17-6B7F00596116}</x14:id>
        </ext>
      </extLst>
    </cfRule>
  </conditionalFormatting>
  <conditionalFormatting sqref="AU65:AU71 BA65:BA71 BG65:BG71">
    <cfRule type="dataBar" priority="6">
      <dataBar>
        <cfvo type="min"/>
        <cfvo type="max"/>
        <color rgb="FFFE0300"/>
      </dataBar>
      <extLst>
        <ext xmlns:x14="http://schemas.microsoft.com/office/spreadsheetml/2009/9/main" uri="{B025F937-C7B1-47D3-B67F-A62EFF666E3E}">
          <x14:id>{5F551969-C0E9-DF4A-4E31-1303E63B57D1}</x14:id>
        </ext>
      </extLst>
    </cfRule>
  </conditionalFormatting>
  <conditionalFormatting sqref="AV37:AV72 BB37:BB72 BH37:BH72">
    <cfRule type="dataBar" priority="71">
      <dataBar>
        <cfvo type="min"/>
        <cfvo type="max"/>
        <color rgb="FF04B0F1"/>
      </dataBar>
      <extLst>
        <ext xmlns:x14="http://schemas.microsoft.com/office/spreadsheetml/2009/9/main" uri="{B025F937-C7B1-47D3-B67F-A62EFF666E3E}">
          <x14:id>{40DF5B3C-9705-8C23-FBAE-9C3036A4D420}</x14:id>
        </ext>
      </extLst>
    </cfRule>
  </conditionalFormatting>
  <conditionalFormatting sqref="AV65:AV71 BB65:BB71 BH65:BH71">
    <cfRule type="dataBar" priority="5">
      <dataBar>
        <cfvo type="min"/>
        <cfvo type="max"/>
        <color rgb="FF04B0F1"/>
      </dataBar>
      <extLst>
        <ext xmlns:x14="http://schemas.microsoft.com/office/spreadsheetml/2009/9/main" uri="{B025F937-C7B1-47D3-B67F-A62EFF666E3E}">
          <x14:id>{EB90A6A5-0E5E-D0B9-7F02-DD2F87F335F7}</x14:id>
        </ext>
      </extLst>
    </cfRule>
  </conditionalFormatting>
  <conditionalFormatting sqref="AW172:BG173 AW175:BG187 AW189:BG242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87:BI88 AX90:BI102 AX104:BI150 AX157:BI157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151:BI156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172:BX173 BN175:BX187 BN189:BX24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B172:CL173 CB175:CL187 CB189:CL24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31DA3D-F7BB-28BB-203B-8E7A6A6B41EE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E4:E72 K4:K72 Q4:Q72</xm:sqref>
        </x14:conditionalFormatting>
        <x14:conditionalFormatting xmlns:xm="http://schemas.microsoft.com/office/excel/2006/main">
          <x14:cfRule type="dataBar" id="{FF5FFC11-A93A-7A9D-98F6-0DAD367CAF0B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F4:F72 L4:L72 R4:R72</xm:sqref>
        </x14:conditionalFormatting>
        <x14:conditionalFormatting xmlns:xm="http://schemas.microsoft.com/office/excel/2006/main">
          <x14:cfRule type="dataBar" id="{357E722C-0E04-2113-4DE9-03C5274BF5B7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Z37:Z72 AF37:AF72 AL37:AL72</xm:sqref>
        </x14:conditionalFormatting>
        <x14:conditionalFormatting xmlns:xm="http://schemas.microsoft.com/office/excel/2006/main">
          <x14:cfRule type="dataBar" id="{F546876A-65E6-D92B-5F2A-BBE6046614B9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Z65:Z71</xm:sqref>
        </x14:conditionalFormatting>
        <x14:conditionalFormatting xmlns:xm="http://schemas.microsoft.com/office/excel/2006/main">
          <x14:cfRule type="dataBar" id="{D813CA28-A686-9681-22D4-F81755A318FD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AA4:AA64 AA72 AG4:AG64 AG72 AM4:AM64 AM72 AA37:AA72 AG37:AG72 AM37:AM72</xm:sqref>
        </x14:conditionalFormatting>
        <x14:conditionalFormatting xmlns:xm="http://schemas.microsoft.com/office/excel/2006/main">
          <x14:cfRule type="dataBar" id="{7F5F379D-F593-DC2F-8BAB-01E6D9F893C2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AA65:AA71</xm:sqref>
        </x14:conditionalFormatting>
        <x14:conditionalFormatting xmlns:xm="http://schemas.microsoft.com/office/excel/2006/main">
          <x14:cfRule type="dataBar" id="{506444B8-E785-7DB5-46AC-D4FA4619D36B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AG65:AG71</xm:sqref>
        </x14:conditionalFormatting>
        <x14:conditionalFormatting xmlns:xm="http://schemas.microsoft.com/office/excel/2006/main">
          <x14:cfRule type="dataBar" id="{33CD1A43-1F9A-145B-E24F-8395877BFFFA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AL65:AL71</xm:sqref>
        </x14:conditionalFormatting>
        <x14:conditionalFormatting xmlns:xm="http://schemas.microsoft.com/office/excel/2006/main">
          <x14:cfRule type="dataBar" id="{4639BF86-F0A8-5A19-D49C-4466CDD4B4A0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AM65:AM71</xm:sqref>
        </x14:conditionalFormatting>
        <x14:conditionalFormatting xmlns:xm="http://schemas.microsoft.com/office/excel/2006/main">
          <x14:cfRule type="dataBar" id="{E30D902D-6521-4132-AF17-6B7F00596116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AU37:AU72 BA37:BA72 BG37:BG72</xm:sqref>
        </x14:conditionalFormatting>
        <x14:conditionalFormatting xmlns:xm="http://schemas.microsoft.com/office/excel/2006/main">
          <x14:cfRule type="dataBar" id="{5F551969-C0E9-DF4A-4E31-1303E63B57D1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AU65:AU71 BA65:BA71 BG65:BG71</xm:sqref>
        </x14:conditionalFormatting>
        <x14:conditionalFormatting xmlns:xm="http://schemas.microsoft.com/office/excel/2006/main">
          <x14:cfRule type="dataBar" id="{40DF5B3C-9705-8C23-FBAE-9C3036A4D420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AV37:AV72 BB37:BB72 BH37:BH72</xm:sqref>
        </x14:conditionalFormatting>
        <x14:conditionalFormatting xmlns:xm="http://schemas.microsoft.com/office/excel/2006/main">
          <x14:cfRule type="dataBar" id="{EB90A6A5-0E5E-D0B9-7F02-DD2F87F335F7}">
            <x14:dataBar minLength="0" maxLength="100">
              <x14:cfvo type="autoMin"/>
              <x14:cfvo type="autoMax"/>
              <x14:negativeFillColor rgb="FFEA7D44"/>
              <x14:axisColor auto="1"/>
            </x14:dataBar>
          </x14:cfRule>
          <xm:sqref>AV65:AV71 BB65:BB71 BH65:BH71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D540-60C4-443A-9FE1-F8A252174E48}">
  <dimension ref="A1:L124"/>
  <sheetViews>
    <sheetView tabSelected="1" workbookViewId="0">
      <selection sqref="A1:XFD1"/>
    </sheetView>
  </sheetViews>
  <sheetFormatPr defaultRowHeight="15.75"/>
  <sheetData>
    <row r="1" spans="1:12" ht="33.75" thickBot="1">
      <c r="A1" s="13" t="s">
        <v>3</v>
      </c>
      <c r="B1" s="454" t="s">
        <v>91</v>
      </c>
      <c r="C1" s="454" t="s">
        <v>92</v>
      </c>
      <c r="D1" s="454" t="s">
        <v>93</v>
      </c>
      <c r="E1" s="454" t="s">
        <v>94</v>
      </c>
      <c r="F1" s="454" t="s">
        <v>95</v>
      </c>
      <c r="G1" s="454" t="s">
        <v>96</v>
      </c>
      <c r="H1" s="454" t="s">
        <v>97</v>
      </c>
      <c r="I1" s="454" t="s">
        <v>98</v>
      </c>
      <c r="J1" s="454" t="s">
        <v>99</v>
      </c>
      <c r="K1" s="454" t="s">
        <v>100</v>
      </c>
      <c r="L1" s="454" t="s">
        <v>101</v>
      </c>
    </row>
    <row r="2" spans="1:12" ht="16.5">
      <c r="A2" s="127">
        <v>46021</v>
      </c>
      <c r="B2" s="434">
        <f t="shared" ref="B2:C33" si="0">P2+AD2</f>
        <v>0</v>
      </c>
      <c r="C2" s="435">
        <f t="shared" si="0"/>
        <v>0</v>
      </c>
      <c r="D2" s="218" t="e">
        <f t="shared" ref="D2:D65" si="1">B2/C2</f>
        <v>#DIV/0!</v>
      </c>
      <c r="E2" s="435">
        <f t="shared" ref="E2:E65" si="2">S2+AG2</f>
        <v>0</v>
      </c>
      <c r="F2" s="218" t="e">
        <f t="shared" ref="F2:F65" si="3">B2/E2</f>
        <v>#DIV/0!</v>
      </c>
      <c r="G2" s="435">
        <f t="shared" ref="G2:G65" si="4">U2+AI2</f>
        <v>0</v>
      </c>
      <c r="H2" s="218" t="e">
        <f t="shared" ref="H2:H65" si="5">B2/G2</f>
        <v>#DIV/0!</v>
      </c>
      <c r="I2" s="435">
        <f t="shared" ref="I2:I65" si="6">W2+AK2</f>
        <v>0</v>
      </c>
      <c r="J2" s="436" t="e">
        <f t="shared" ref="J2:J65" si="7">I2/B2</f>
        <v>#DIV/0!</v>
      </c>
      <c r="K2" s="219" t="e">
        <f t="shared" ref="K2:K65" si="8">I2/G2</f>
        <v>#DIV/0!</v>
      </c>
      <c r="L2" s="437" t="s">
        <v>102</v>
      </c>
    </row>
    <row r="3" spans="1:12" ht="17.25" thickBot="1">
      <c r="A3" s="127">
        <v>46022</v>
      </c>
      <c r="B3" s="439">
        <f t="shared" si="0"/>
        <v>0</v>
      </c>
      <c r="C3" s="375">
        <f t="shared" si="0"/>
        <v>0</v>
      </c>
      <c r="D3" s="346" t="e">
        <f t="shared" si="1"/>
        <v>#DIV/0!</v>
      </c>
      <c r="E3" s="375">
        <f t="shared" si="2"/>
        <v>0</v>
      </c>
      <c r="F3" s="346" t="e">
        <f t="shared" si="3"/>
        <v>#DIV/0!</v>
      </c>
      <c r="G3" s="375">
        <f t="shared" si="4"/>
        <v>0</v>
      </c>
      <c r="H3" s="346" t="e">
        <f t="shared" si="5"/>
        <v>#DIV/0!</v>
      </c>
      <c r="I3" s="375">
        <f t="shared" si="6"/>
        <v>0</v>
      </c>
      <c r="J3" s="347" t="e">
        <f t="shared" si="7"/>
        <v>#DIV/0!</v>
      </c>
      <c r="K3" s="235" t="e">
        <f t="shared" si="8"/>
        <v>#DIV/0!</v>
      </c>
      <c r="L3" s="348" t="s">
        <v>102</v>
      </c>
    </row>
    <row r="4" spans="1:12" ht="16.5">
      <c r="A4" s="239">
        <v>46023</v>
      </c>
      <c r="B4" s="218">
        <f t="shared" si="0"/>
        <v>0</v>
      </c>
      <c r="C4" s="435">
        <f t="shared" si="0"/>
        <v>0</v>
      </c>
      <c r="D4" s="218" t="e">
        <f t="shared" si="1"/>
        <v>#DIV/0!</v>
      </c>
      <c r="E4" s="435">
        <f t="shared" si="2"/>
        <v>0</v>
      </c>
      <c r="F4" s="218" t="e">
        <f t="shared" si="3"/>
        <v>#DIV/0!</v>
      </c>
      <c r="G4" s="435">
        <f t="shared" si="4"/>
        <v>0</v>
      </c>
      <c r="H4" s="218" t="e">
        <f t="shared" si="5"/>
        <v>#DIV/0!</v>
      </c>
      <c r="I4" s="435">
        <f t="shared" si="6"/>
        <v>0</v>
      </c>
      <c r="J4" s="436" t="e">
        <f t="shared" si="7"/>
        <v>#DIV/0!</v>
      </c>
      <c r="K4" s="219" t="e">
        <f t="shared" si="8"/>
        <v>#DIV/0!</v>
      </c>
      <c r="L4" s="437" t="s">
        <v>102</v>
      </c>
    </row>
    <row r="5" spans="1:12" ht="16.5">
      <c r="A5" s="337">
        <v>46024</v>
      </c>
      <c r="B5" s="327">
        <f t="shared" si="0"/>
        <v>0</v>
      </c>
      <c r="C5" s="373">
        <f t="shared" si="0"/>
        <v>0</v>
      </c>
      <c r="D5" s="327" t="e">
        <f t="shared" si="1"/>
        <v>#DIV/0!</v>
      </c>
      <c r="E5" s="373">
        <f t="shared" si="2"/>
        <v>0</v>
      </c>
      <c r="F5" s="327" t="e">
        <f t="shared" si="3"/>
        <v>#DIV/0!</v>
      </c>
      <c r="G5" s="373">
        <f t="shared" si="4"/>
        <v>0</v>
      </c>
      <c r="H5" s="327" t="e">
        <f t="shared" si="5"/>
        <v>#DIV/0!</v>
      </c>
      <c r="I5" s="373">
        <f t="shared" si="6"/>
        <v>0</v>
      </c>
      <c r="J5" s="328" t="e">
        <f t="shared" si="7"/>
        <v>#DIV/0!</v>
      </c>
      <c r="K5" s="453" t="e">
        <f t="shared" si="8"/>
        <v>#DIV/0!</v>
      </c>
      <c r="L5" s="344" t="s">
        <v>102</v>
      </c>
    </row>
    <row r="6" spans="1:12" ht="16.5">
      <c r="A6" s="337">
        <v>46025</v>
      </c>
      <c r="B6" s="327">
        <f t="shared" si="0"/>
        <v>0</v>
      </c>
      <c r="C6" s="373">
        <f t="shared" si="0"/>
        <v>0</v>
      </c>
      <c r="D6" s="327" t="e">
        <f t="shared" si="1"/>
        <v>#DIV/0!</v>
      </c>
      <c r="E6" s="373">
        <f t="shared" si="2"/>
        <v>0</v>
      </c>
      <c r="F6" s="327" t="e">
        <f t="shared" si="3"/>
        <v>#DIV/0!</v>
      </c>
      <c r="G6" s="373">
        <f t="shared" si="4"/>
        <v>0</v>
      </c>
      <c r="H6" s="327" t="e">
        <f t="shared" si="5"/>
        <v>#DIV/0!</v>
      </c>
      <c r="I6" s="373">
        <f t="shared" si="6"/>
        <v>0</v>
      </c>
      <c r="J6" s="328" t="e">
        <f t="shared" si="7"/>
        <v>#DIV/0!</v>
      </c>
      <c r="K6" s="453" t="e">
        <f t="shared" si="8"/>
        <v>#DIV/0!</v>
      </c>
      <c r="L6" s="344" t="s">
        <v>102</v>
      </c>
    </row>
    <row r="7" spans="1:12" ht="16.5">
      <c r="A7" s="337">
        <v>46026</v>
      </c>
      <c r="B7" s="327">
        <f t="shared" si="0"/>
        <v>0</v>
      </c>
      <c r="C7" s="373">
        <f t="shared" si="0"/>
        <v>0</v>
      </c>
      <c r="D7" s="327" t="e">
        <f t="shared" si="1"/>
        <v>#DIV/0!</v>
      </c>
      <c r="E7" s="373">
        <f t="shared" si="2"/>
        <v>0</v>
      </c>
      <c r="F7" s="327" t="e">
        <f t="shared" si="3"/>
        <v>#DIV/0!</v>
      </c>
      <c r="G7" s="373">
        <f t="shared" si="4"/>
        <v>0</v>
      </c>
      <c r="H7" s="327" t="e">
        <f t="shared" si="5"/>
        <v>#DIV/0!</v>
      </c>
      <c r="I7" s="373">
        <f t="shared" si="6"/>
        <v>0</v>
      </c>
      <c r="J7" s="328" t="e">
        <f t="shared" si="7"/>
        <v>#DIV/0!</v>
      </c>
      <c r="K7" s="453" t="e">
        <f t="shared" si="8"/>
        <v>#DIV/0!</v>
      </c>
      <c r="L7" s="344" t="s">
        <v>102</v>
      </c>
    </row>
    <row r="8" spans="1:12" ht="16.5">
      <c r="A8" s="337">
        <v>46027</v>
      </c>
      <c r="B8" s="327">
        <f t="shared" si="0"/>
        <v>0</v>
      </c>
      <c r="C8" s="373">
        <f t="shared" si="0"/>
        <v>0</v>
      </c>
      <c r="D8" s="327" t="e">
        <f t="shared" si="1"/>
        <v>#DIV/0!</v>
      </c>
      <c r="E8" s="373">
        <f t="shared" si="2"/>
        <v>0</v>
      </c>
      <c r="F8" s="327" t="e">
        <f t="shared" si="3"/>
        <v>#DIV/0!</v>
      </c>
      <c r="G8" s="373">
        <f t="shared" si="4"/>
        <v>0</v>
      </c>
      <c r="H8" s="327" t="e">
        <f t="shared" si="5"/>
        <v>#DIV/0!</v>
      </c>
      <c r="I8" s="373">
        <f t="shared" si="6"/>
        <v>0</v>
      </c>
      <c r="J8" s="328" t="e">
        <f t="shared" si="7"/>
        <v>#DIV/0!</v>
      </c>
      <c r="K8" s="453" t="e">
        <f t="shared" si="8"/>
        <v>#DIV/0!</v>
      </c>
      <c r="L8" s="344" t="s">
        <v>102</v>
      </c>
    </row>
    <row r="9" spans="1:12" ht="16.5">
      <c r="A9" s="340">
        <v>46028</v>
      </c>
      <c r="B9" s="327">
        <f t="shared" si="0"/>
        <v>0</v>
      </c>
      <c r="C9" s="373">
        <f t="shared" si="0"/>
        <v>0</v>
      </c>
      <c r="D9" s="327" t="e">
        <f t="shared" si="1"/>
        <v>#DIV/0!</v>
      </c>
      <c r="E9" s="373">
        <f t="shared" si="2"/>
        <v>0</v>
      </c>
      <c r="F9" s="327" t="e">
        <f t="shared" si="3"/>
        <v>#DIV/0!</v>
      </c>
      <c r="G9" s="373">
        <f t="shared" si="4"/>
        <v>0</v>
      </c>
      <c r="H9" s="327" t="e">
        <f t="shared" si="5"/>
        <v>#DIV/0!</v>
      </c>
      <c r="I9" s="373">
        <f t="shared" si="6"/>
        <v>0</v>
      </c>
      <c r="J9" s="328" t="e">
        <f t="shared" si="7"/>
        <v>#DIV/0!</v>
      </c>
      <c r="K9" s="453" t="e">
        <f t="shared" si="8"/>
        <v>#DIV/0!</v>
      </c>
      <c r="L9" s="344" t="s">
        <v>102</v>
      </c>
    </row>
    <row r="10" spans="1:12" ht="16.5">
      <c r="A10" s="340">
        <v>46029</v>
      </c>
      <c r="B10" s="327">
        <f t="shared" si="0"/>
        <v>0</v>
      </c>
      <c r="C10" s="373">
        <f t="shared" si="0"/>
        <v>0</v>
      </c>
      <c r="D10" s="327" t="e">
        <f t="shared" si="1"/>
        <v>#DIV/0!</v>
      </c>
      <c r="E10" s="373">
        <f t="shared" si="2"/>
        <v>0</v>
      </c>
      <c r="F10" s="327" t="e">
        <f t="shared" si="3"/>
        <v>#DIV/0!</v>
      </c>
      <c r="G10" s="373">
        <f t="shared" si="4"/>
        <v>0</v>
      </c>
      <c r="H10" s="327" t="e">
        <f t="shared" si="5"/>
        <v>#DIV/0!</v>
      </c>
      <c r="I10" s="373">
        <f t="shared" si="6"/>
        <v>0</v>
      </c>
      <c r="J10" s="328" t="e">
        <f t="shared" si="7"/>
        <v>#DIV/0!</v>
      </c>
      <c r="K10" s="453" t="e">
        <f t="shared" si="8"/>
        <v>#DIV/0!</v>
      </c>
      <c r="L10" s="344" t="s">
        <v>102</v>
      </c>
    </row>
    <row r="11" spans="1:12" ht="16.5">
      <c r="A11" s="340">
        <v>46030</v>
      </c>
      <c r="B11" s="327">
        <f t="shared" si="0"/>
        <v>0</v>
      </c>
      <c r="C11" s="373">
        <f t="shared" si="0"/>
        <v>0</v>
      </c>
      <c r="D11" s="327" t="e">
        <f t="shared" si="1"/>
        <v>#DIV/0!</v>
      </c>
      <c r="E11" s="373">
        <f t="shared" si="2"/>
        <v>0</v>
      </c>
      <c r="F11" s="327" t="e">
        <f t="shared" si="3"/>
        <v>#DIV/0!</v>
      </c>
      <c r="G11" s="373">
        <f t="shared" si="4"/>
        <v>0</v>
      </c>
      <c r="H11" s="327" t="e">
        <f t="shared" si="5"/>
        <v>#DIV/0!</v>
      </c>
      <c r="I11" s="373">
        <f t="shared" si="6"/>
        <v>0</v>
      </c>
      <c r="J11" s="328" t="e">
        <f t="shared" si="7"/>
        <v>#DIV/0!</v>
      </c>
      <c r="K11" s="453" t="e">
        <f t="shared" si="8"/>
        <v>#DIV/0!</v>
      </c>
      <c r="L11" s="344" t="s">
        <v>102</v>
      </c>
    </row>
    <row r="12" spans="1:12" ht="16.5">
      <c r="A12" s="340">
        <v>46031</v>
      </c>
      <c r="B12" s="327">
        <f t="shared" si="0"/>
        <v>0</v>
      </c>
      <c r="C12" s="373">
        <f t="shared" si="0"/>
        <v>0</v>
      </c>
      <c r="D12" s="327" t="e">
        <f t="shared" si="1"/>
        <v>#DIV/0!</v>
      </c>
      <c r="E12" s="373">
        <f t="shared" si="2"/>
        <v>0</v>
      </c>
      <c r="F12" s="327" t="e">
        <f t="shared" si="3"/>
        <v>#DIV/0!</v>
      </c>
      <c r="G12" s="373">
        <f t="shared" si="4"/>
        <v>0</v>
      </c>
      <c r="H12" s="327" t="e">
        <f t="shared" si="5"/>
        <v>#DIV/0!</v>
      </c>
      <c r="I12" s="373">
        <f t="shared" si="6"/>
        <v>0</v>
      </c>
      <c r="J12" s="328" t="e">
        <f t="shared" si="7"/>
        <v>#DIV/0!</v>
      </c>
      <c r="K12" s="453" t="e">
        <f t="shared" si="8"/>
        <v>#DIV/0!</v>
      </c>
      <c r="L12" s="344" t="s">
        <v>102</v>
      </c>
    </row>
    <row r="13" spans="1:12" ht="16.5">
      <c r="A13" s="340">
        <v>46032</v>
      </c>
      <c r="B13" s="327">
        <f t="shared" si="0"/>
        <v>0</v>
      </c>
      <c r="C13" s="373">
        <f t="shared" si="0"/>
        <v>0</v>
      </c>
      <c r="D13" s="327" t="e">
        <f t="shared" si="1"/>
        <v>#DIV/0!</v>
      </c>
      <c r="E13" s="373">
        <f t="shared" si="2"/>
        <v>0</v>
      </c>
      <c r="F13" s="327" t="e">
        <f t="shared" si="3"/>
        <v>#DIV/0!</v>
      </c>
      <c r="G13" s="373">
        <f t="shared" si="4"/>
        <v>0</v>
      </c>
      <c r="H13" s="327" t="e">
        <f t="shared" si="5"/>
        <v>#DIV/0!</v>
      </c>
      <c r="I13" s="373">
        <f t="shared" si="6"/>
        <v>0</v>
      </c>
      <c r="J13" s="328" t="e">
        <f t="shared" si="7"/>
        <v>#DIV/0!</v>
      </c>
      <c r="K13" s="453" t="e">
        <f t="shared" si="8"/>
        <v>#DIV/0!</v>
      </c>
      <c r="L13" s="344" t="s">
        <v>102</v>
      </c>
    </row>
    <row r="14" spans="1:12" ht="16.5">
      <c r="A14" s="340">
        <v>46033</v>
      </c>
      <c r="B14" s="327">
        <f t="shared" si="0"/>
        <v>0</v>
      </c>
      <c r="C14" s="373">
        <f t="shared" si="0"/>
        <v>0</v>
      </c>
      <c r="D14" s="327" t="e">
        <f t="shared" si="1"/>
        <v>#DIV/0!</v>
      </c>
      <c r="E14" s="373">
        <f t="shared" si="2"/>
        <v>0</v>
      </c>
      <c r="F14" s="327" t="e">
        <f t="shared" si="3"/>
        <v>#DIV/0!</v>
      </c>
      <c r="G14" s="373">
        <f t="shared" si="4"/>
        <v>0</v>
      </c>
      <c r="H14" s="327" t="e">
        <f t="shared" si="5"/>
        <v>#DIV/0!</v>
      </c>
      <c r="I14" s="373">
        <f t="shared" si="6"/>
        <v>0</v>
      </c>
      <c r="J14" s="328" t="e">
        <f t="shared" si="7"/>
        <v>#DIV/0!</v>
      </c>
      <c r="K14" s="453" t="e">
        <f t="shared" si="8"/>
        <v>#DIV/0!</v>
      </c>
      <c r="L14" s="344" t="s">
        <v>102</v>
      </c>
    </row>
    <row r="15" spans="1:12" ht="16.5">
      <c r="A15" s="340">
        <v>46034</v>
      </c>
      <c r="B15" s="327">
        <f t="shared" si="0"/>
        <v>0</v>
      </c>
      <c r="C15" s="373">
        <f t="shared" si="0"/>
        <v>0</v>
      </c>
      <c r="D15" s="327" t="e">
        <f t="shared" si="1"/>
        <v>#DIV/0!</v>
      </c>
      <c r="E15" s="373">
        <f t="shared" si="2"/>
        <v>0</v>
      </c>
      <c r="F15" s="327" t="e">
        <f t="shared" si="3"/>
        <v>#DIV/0!</v>
      </c>
      <c r="G15" s="373">
        <f t="shared" si="4"/>
        <v>0</v>
      </c>
      <c r="H15" s="327" t="e">
        <f t="shared" si="5"/>
        <v>#DIV/0!</v>
      </c>
      <c r="I15" s="373">
        <f t="shared" si="6"/>
        <v>0</v>
      </c>
      <c r="J15" s="328" t="e">
        <f t="shared" si="7"/>
        <v>#DIV/0!</v>
      </c>
      <c r="K15" s="453" t="e">
        <f t="shared" si="8"/>
        <v>#DIV/0!</v>
      </c>
      <c r="L15" s="344" t="s">
        <v>102</v>
      </c>
    </row>
    <row r="16" spans="1:12" ht="17.25" thickBot="1">
      <c r="A16" s="337">
        <v>46035</v>
      </c>
      <c r="B16" s="346">
        <f t="shared" si="0"/>
        <v>0</v>
      </c>
      <c r="C16" s="375">
        <f t="shared" si="0"/>
        <v>0</v>
      </c>
      <c r="D16" s="346" t="e">
        <f t="shared" si="1"/>
        <v>#DIV/0!</v>
      </c>
      <c r="E16" s="375">
        <f t="shared" si="2"/>
        <v>0</v>
      </c>
      <c r="F16" s="346" t="e">
        <f t="shared" si="3"/>
        <v>#DIV/0!</v>
      </c>
      <c r="G16" s="375">
        <f t="shared" si="4"/>
        <v>0</v>
      </c>
      <c r="H16" s="346" t="e">
        <f t="shared" si="5"/>
        <v>#DIV/0!</v>
      </c>
      <c r="I16" s="375">
        <f t="shared" si="6"/>
        <v>0</v>
      </c>
      <c r="J16" s="347" t="e">
        <f t="shared" si="7"/>
        <v>#DIV/0!</v>
      </c>
      <c r="K16" s="235" t="e">
        <f t="shared" si="8"/>
        <v>#DIV/0!</v>
      </c>
      <c r="L16" s="348" t="s">
        <v>102</v>
      </c>
    </row>
    <row r="17" spans="1:12" ht="16.5">
      <c r="A17" s="239">
        <v>46036</v>
      </c>
      <c r="B17" s="218">
        <f t="shared" si="0"/>
        <v>0</v>
      </c>
      <c r="C17" s="435">
        <f t="shared" si="0"/>
        <v>0</v>
      </c>
      <c r="D17" s="218" t="e">
        <f t="shared" si="1"/>
        <v>#DIV/0!</v>
      </c>
      <c r="E17" s="435">
        <f t="shared" si="2"/>
        <v>0</v>
      </c>
      <c r="F17" s="218" t="e">
        <f t="shared" si="3"/>
        <v>#DIV/0!</v>
      </c>
      <c r="G17" s="435">
        <f t="shared" si="4"/>
        <v>0</v>
      </c>
      <c r="H17" s="218" t="e">
        <f t="shared" si="5"/>
        <v>#DIV/0!</v>
      </c>
      <c r="I17" s="435">
        <f t="shared" si="6"/>
        <v>0</v>
      </c>
      <c r="J17" s="436" t="e">
        <f t="shared" si="7"/>
        <v>#DIV/0!</v>
      </c>
      <c r="K17" s="219" t="e">
        <f t="shared" si="8"/>
        <v>#DIV/0!</v>
      </c>
      <c r="L17" s="437" t="s">
        <v>102</v>
      </c>
    </row>
    <row r="18" spans="1:12" ht="16.5">
      <c r="A18" s="337">
        <v>46037</v>
      </c>
      <c r="B18" s="327">
        <f t="shared" si="0"/>
        <v>0</v>
      </c>
      <c r="C18" s="373">
        <f t="shared" si="0"/>
        <v>0</v>
      </c>
      <c r="D18" s="327" t="e">
        <f t="shared" si="1"/>
        <v>#DIV/0!</v>
      </c>
      <c r="E18" s="373">
        <f t="shared" si="2"/>
        <v>0</v>
      </c>
      <c r="F18" s="327" t="e">
        <f t="shared" si="3"/>
        <v>#DIV/0!</v>
      </c>
      <c r="G18" s="373">
        <f t="shared" si="4"/>
        <v>0</v>
      </c>
      <c r="H18" s="327" t="e">
        <f t="shared" si="5"/>
        <v>#DIV/0!</v>
      </c>
      <c r="I18" s="373">
        <f t="shared" si="6"/>
        <v>0</v>
      </c>
      <c r="J18" s="328" t="e">
        <f t="shared" si="7"/>
        <v>#DIV/0!</v>
      </c>
      <c r="K18" s="453" t="e">
        <f t="shared" si="8"/>
        <v>#DIV/0!</v>
      </c>
      <c r="L18" s="344" t="s">
        <v>102</v>
      </c>
    </row>
    <row r="19" spans="1:12" ht="16.5">
      <c r="A19" s="341">
        <v>46038</v>
      </c>
      <c r="B19" s="327">
        <f t="shared" si="0"/>
        <v>0</v>
      </c>
      <c r="C19" s="373">
        <f t="shared" si="0"/>
        <v>0</v>
      </c>
      <c r="D19" s="327" t="e">
        <f t="shared" si="1"/>
        <v>#DIV/0!</v>
      </c>
      <c r="E19" s="373">
        <f t="shared" si="2"/>
        <v>0</v>
      </c>
      <c r="F19" s="327" t="e">
        <f t="shared" si="3"/>
        <v>#DIV/0!</v>
      </c>
      <c r="G19" s="373">
        <f t="shared" si="4"/>
        <v>0</v>
      </c>
      <c r="H19" s="327" t="e">
        <f t="shared" si="5"/>
        <v>#DIV/0!</v>
      </c>
      <c r="I19" s="373">
        <f t="shared" si="6"/>
        <v>0</v>
      </c>
      <c r="J19" s="328" t="e">
        <f t="shared" si="7"/>
        <v>#DIV/0!</v>
      </c>
      <c r="K19" s="453" t="e">
        <f t="shared" si="8"/>
        <v>#DIV/0!</v>
      </c>
      <c r="L19" s="344" t="s">
        <v>102</v>
      </c>
    </row>
    <row r="20" spans="1:12" ht="16.5">
      <c r="A20" s="341">
        <v>46039</v>
      </c>
      <c r="B20" s="327">
        <f t="shared" si="0"/>
        <v>0</v>
      </c>
      <c r="C20" s="373">
        <f t="shared" si="0"/>
        <v>0</v>
      </c>
      <c r="D20" s="327" t="e">
        <f t="shared" si="1"/>
        <v>#DIV/0!</v>
      </c>
      <c r="E20" s="373">
        <f t="shared" si="2"/>
        <v>0</v>
      </c>
      <c r="F20" s="327" t="e">
        <f t="shared" si="3"/>
        <v>#DIV/0!</v>
      </c>
      <c r="G20" s="373">
        <f t="shared" si="4"/>
        <v>0</v>
      </c>
      <c r="H20" s="327" t="e">
        <f t="shared" si="5"/>
        <v>#DIV/0!</v>
      </c>
      <c r="I20" s="373">
        <f t="shared" si="6"/>
        <v>0</v>
      </c>
      <c r="J20" s="328" t="e">
        <f t="shared" si="7"/>
        <v>#DIV/0!</v>
      </c>
      <c r="K20" s="453" t="e">
        <f t="shared" si="8"/>
        <v>#DIV/0!</v>
      </c>
      <c r="L20" s="344" t="s">
        <v>102</v>
      </c>
    </row>
    <row r="21" spans="1:12" ht="16.5">
      <c r="A21" s="337">
        <v>46040</v>
      </c>
      <c r="B21" s="327">
        <f t="shared" si="0"/>
        <v>0</v>
      </c>
      <c r="C21" s="373">
        <f t="shared" si="0"/>
        <v>0</v>
      </c>
      <c r="D21" s="327" t="e">
        <f t="shared" si="1"/>
        <v>#DIV/0!</v>
      </c>
      <c r="E21" s="373">
        <f t="shared" si="2"/>
        <v>0</v>
      </c>
      <c r="F21" s="327" t="e">
        <f t="shared" si="3"/>
        <v>#DIV/0!</v>
      </c>
      <c r="G21" s="373">
        <f t="shared" si="4"/>
        <v>0</v>
      </c>
      <c r="H21" s="327" t="e">
        <f t="shared" si="5"/>
        <v>#DIV/0!</v>
      </c>
      <c r="I21" s="373">
        <f t="shared" si="6"/>
        <v>0</v>
      </c>
      <c r="J21" s="328" t="e">
        <f t="shared" si="7"/>
        <v>#DIV/0!</v>
      </c>
      <c r="K21" s="453" t="e">
        <f t="shared" si="8"/>
        <v>#DIV/0!</v>
      </c>
      <c r="L21" s="344" t="s">
        <v>102</v>
      </c>
    </row>
    <row r="22" spans="1:12" ht="16.5">
      <c r="A22" s="341">
        <v>46041</v>
      </c>
      <c r="B22" s="327">
        <f t="shared" si="0"/>
        <v>0</v>
      </c>
      <c r="C22" s="373">
        <f t="shared" si="0"/>
        <v>0</v>
      </c>
      <c r="D22" s="327" t="e">
        <f t="shared" si="1"/>
        <v>#DIV/0!</v>
      </c>
      <c r="E22" s="373">
        <f t="shared" si="2"/>
        <v>0</v>
      </c>
      <c r="F22" s="327" t="e">
        <f t="shared" si="3"/>
        <v>#DIV/0!</v>
      </c>
      <c r="G22" s="373">
        <f t="shared" si="4"/>
        <v>0</v>
      </c>
      <c r="H22" s="327" t="e">
        <f t="shared" si="5"/>
        <v>#DIV/0!</v>
      </c>
      <c r="I22" s="373">
        <f t="shared" si="6"/>
        <v>0</v>
      </c>
      <c r="J22" s="328" t="e">
        <f t="shared" si="7"/>
        <v>#DIV/0!</v>
      </c>
      <c r="K22" s="453" t="e">
        <f t="shared" si="8"/>
        <v>#DIV/0!</v>
      </c>
      <c r="L22" s="344" t="s">
        <v>102</v>
      </c>
    </row>
    <row r="23" spans="1:12" ht="16.5">
      <c r="A23" s="341">
        <v>46042</v>
      </c>
      <c r="B23" s="327">
        <f t="shared" si="0"/>
        <v>0</v>
      </c>
      <c r="C23" s="373">
        <f t="shared" si="0"/>
        <v>0</v>
      </c>
      <c r="D23" s="327" t="e">
        <f t="shared" si="1"/>
        <v>#DIV/0!</v>
      </c>
      <c r="E23" s="373">
        <f t="shared" si="2"/>
        <v>0</v>
      </c>
      <c r="F23" s="327" t="e">
        <f t="shared" si="3"/>
        <v>#DIV/0!</v>
      </c>
      <c r="G23" s="373">
        <f t="shared" si="4"/>
        <v>0</v>
      </c>
      <c r="H23" s="327" t="e">
        <f t="shared" si="5"/>
        <v>#DIV/0!</v>
      </c>
      <c r="I23" s="373">
        <f t="shared" si="6"/>
        <v>0</v>
      </c>
      <c r="J23" s="328" t="e">
        <f t="shared" si="7"/>
        <v>#DIV/0!</v>
      </c>
      <c r="K23" s="453" t="e">
        <f t="shared" si="8"/>
        <v>#DIV/0!</v>
      </c>
      <c r="L23" s="344" t="s">
        <v>102</v>
      </c>
    </row>
    <row r="24" spans="1:12" ht="16.5">
      <c r="A24" s="341">
        <v>46043</v>
      </c>
      <c r="B24" s="327">
        <f t="shared" si="0"/>
        <v>0</v>
      </c>
      <c r="C24" s="373">
        <f t="shared" si="0"/>
        <v>0</v>
      </c>
      <c r="D24" s="327" t="e">
        <f t="shared" si="1"/>
        <v>#DIV/0!</v>
      </c>
      <c r="E24" s="373">
        <f t="shared" si="2"/>
        <v>0</v>
      </c>
      <c r="F24" s="327" t="e">
        <f t="shared" si="3"/>
        <v>#DIV/0!</v>
      </c>
      <c r="G24" s="373">
        <f t="shared" si="4"/>
        <v>0</v>
      </c>
      <c r="H24" s="327" t="e">
        <f t="shared" si="5"/>
        <v>#DIV/0!</v>
      </c>
      <c r="I24" s="373">
        <f t="shared" si="6"/>
        <v>0</v>
      </c>
      <c r="J24" s="328" t="e">
        <f t="shared" si="7"/>
        <v>#DIV/0!</v>
      </c>
      <c r="K24" s="453" t="e">
        <f t="shared" si="8"/>
        <v>#DIV/0!</v>
      </c>
      <c r="L24" s="344" t="s">
        <v>102</v>
      </c>
    </row>
    <row r="25" spans="1:12" ht="16.5">
      <c r="A25" s="342">
        <v>46044</v>
      </c>
      <c r="B25" s="327">
        <f t="shared" si="0"/>
        <v>0</v>
      </c>
      <c r="C25" s="373">
        <f t="shared" si="0"/>
        <v>0</v>
      </c>
      <c r="D25" s="327" t="e">
        <f t="shared" si="1"/>
        <v>#DIV/0!</v>
      </c>
      <c r="E25" s="373">
        <f t="shared" si="2"/>
        <v>0</v>
      </c>
      <c r="F25" s="327" t="e">
        <f t="shared" si="3"/>
        <v>#DIV/0!</v>
      </c>
      <c r="G25" s="373">
        <f t="shared" si="4"/>
        <v>0</v>
      </c>
      <c r="H25" s="327" t="e">
        <f t="shared" si="5"/>
        <v>#DIV/0!</v>
      </c>
      <c r="I25" s="373">
        <f t="shared" si="6"/>
        <v>0</v>
      </c>
      <c r="J25" s="328" t="e">
        <f t="shared" si="7"/>
        <v>#DIV/0!</v>
      </c>
      <c r="K25" s="453" t="e">
        <f t="shared" si="8"/>
        <v>#DIV/0!</v>
      </c>
      <c r="L25" s="344" t="s">
        <v>102</v>
      </c>
    </row>
    <row r="26" spans="1:12" ht="16.5">
      <c r="A26" s="342">
        <v>46045</v>
      </c>
      <c r="B26" s="327">
        <f t="shared" si="0"/>
        <v>0</v>
      </c>
      <c r="C26" s="373">
        <f t="shared" si="0"/>
        <v>0</v>
      </c>
      <c r="D26" s="327" t="e">
        <f t="shared" si="1"/>
        <v>#DIV/0!</v>
      </c>
      <c r="E26" s="373">
        <f t="shared" si="2"/>
        <v>0</v>
      </c>
      <c r="F26" s="327" t="e">
        <f t="shared" si="3"/>
        <v>#DIV/0!</v>
      </c>
      <c r="G26" s="373">
        <f t="shared" si="4"/>
        <v>0</v>
      </c>
      <c r="H26" s="327" t="e">
        <f t="shared" si="5"/>
        <v>#DIV/0!</v>
      </c>
      <c r="I26" s="373">
        <f t="shared" si="6"/>
        <v>0</v>
      </c>
      <c r="J26" s="328" t="e">
        <f t="shared" si="7"/>
        <v>#DIV/0!</v>
      </c>
      <c r="K26" s="453" t="e">
        <f t="shared" si="8"/>
        <v>#DIV/0!</v>
      </c>
      <c r="L26" s="344" t="s">
        <v>102</v>
      </c>
    </row>
    <row r="27" spans="1:12" ht="16.5">
      <c r="A27" s="342">
        <v>46046</v>
      </c>
      <c r="B27" s="327">
        <f t="shared" si="0"/>
        <v>0</v>
      </c>
      <c r="C27" s="373">
        <f t="shared" si="0"/>
        <v>0</v>
      </c>
      <c r="D27" s="327" t="e">
        <f t="shared" si="1"/>
        <v>#DIV/0!</v>
      </c>
      <c r="E27" s="373">
        <f t="shared" si="2"/>
        <v>0</v>
      </c>
      <c r="F27" s="327" t="e">
        <f t="shared" si="3"/>
        <v>#DIV/0!</v>
      </c>
      <c r="G27" s="373">
        <f t="shared" si="4"/>
        <v>0</v>
      </c>
      <c r="H27" s="327" t="e">
        <f t="shared" si="5"/>
        <v>#DIV/0!</v>
      </c>
      <c r="I27" s="373">
        <f t="shared" si="6"/>
        <v>0</v>
      </c>
      <c r="J27" s="328" t="e">
        <f t="shared" si="7"/>
        <v>#DIV/0!</v>
      </c>
      <c r="K27" s="453" t="e">
        <f t="shared" si="8"/>
        <v>#DIV/0!</v>
      </c>
      <c r="L27" s="344" t="s">
        <v>102</v>
      </c>
    </row>
    <row r="28" spans="1:12" ht="16.5">
      <c r="A28" s="337">
        <v>46047</v>
      </c>
      <c r="B28" s="327">
        <f t="shared" si="0"/>
        <v>0</v>
      </c>
      <c r="C28" s="373">
        <f t="shared" si="0"/>
        <v>0</v>
      </c>
      <c r="D28" s="327" t="e">
        <f t="shared" si="1"/>
        <v>#DIV/0!</v>
      </c>
      <c r="E28" s="373">
        <f t="shared" si="2"/>
        <v>0</v>
      </c>
      <c r="F28" s="327" t="e">
        <f t="shared" si="3"/>
        <v>#DIV/0!</v>
      </c>
      <c r="G28" s="373">
        <f t="shared" si="4"/>
        <v>0</v>
      </c>
      <c r="H28" s="327" t="e">
        <f t="shared" si="5"/>
        <v>#DIV/0!</v>
      </c>
      <c r="I28" s="373">
        <f t="shared" si="6"/>
        <v>0</v>
      </c>
      <c r="J28" s="328" t="e">
        <f t="shared" si="7"/>
        <v>#DIV/0!</v>
      </c>
      <c r="K28" s="453" t="e">
        <f t="shared" si="8"/>
        <v>#DIV/0!</v>
      </c>
      <c r="L28" s="344" t="s">
        <v>102</v>
      </c>
    </row>
    <row r="29" spans="1:12" ht="16.5">
      <c r="A29" s="337">
        <v>46048</v>
      </c>
      <c r="B29" s="327">
        <f t="shared" si="0"/>
        <v>0</v>
      </c>
      <c r="C29" s="373">
        <f t="shared" si="0"/>
        <v>0</v>
      </c>
      <c r="D29" s="327" t="e">
        <f t="shared" si="1"/>
        <v>#DIV/0!</v>
      </c>
      <c r="E29" s="373">
        <f t="shared" si="2"/>
        <v>0</v>
      </c>
      <c r="F29" s="327" t="e">
        <f t="shared" si="3"/>
        <v>#DIV/0!</v>
      </c>
      <c r="G29" s="373">
        <f t="shared" si="4"/>
        <v>0</v>
      </c>
      <c r="H29" s="327" t="e">
        <f t="shared" si="5"/>
        <v>#DIV/0!</v>
      </c>
      <c r="I29" s="373">
        <f t="shared" si="6"/>
        <v>0</v>
      </c>
      <c r="J29" s="328" t="e">
        <f t="shared" si="7"/>
        <v>#DIV/0!</v>
      </c>
      <c r="K29" s="453" t="e">
        <f t="shared" si="8"/>
        <v>#DIV/0!</v>
      </c>
      <c r="L29" s="344" t="s">
        <v>102</v>
      </c>
    </row>
    <row r="30" spans="1:12" ht="16.5">
      <c r="A30" s="341">
        <v>46049</v>
      </c>
      <c r="B30" s="327">
        <f t="shared" si="0"/>
        <v>0</v>
      </c>
      <c r="C30" s="373">
        <f t="shared" si="0"/>
        <v>0</v>
      </c>
      <c r="D30" s="327" t="e">
        <f t="shared" si="1"/>
        <v>#DIV/0!</v>
      </c>
      <c r="E30" s="373">
        <f t="shared" si="2"/>
        <v>0</v>
      </c>
      <c r="F30" s="327" t="e">
        <f t="shared" si="3"/>
        <v>#DIV/0!</v>
      </c>
      <c r="G30" s="373">
        <f t="shared" si="4"/>
        <v>0</v>
      </c>
      <c r="H30" s="327" t="e">
        <f t="shared" si="5"/>
        <v>#DIV/0!</v>
      </c>
      <c r="I30" s="373">
        <f t="shared" si="6"/>
        <v>0</v>
      </c>
      <c r="J30" s="328" t="e">
        <f t="shared" si="7"/>
        <v>#DIV/0!</v>
      </c>
      <c r="K30" s="453" t="e">
        <f t="shared" si="8"/>
        <v>#DIV/0!</v>
      </c>
      <c r="L30" s="344" t="s">
        <v>102</v>
      </c>
    </row>
    <row r="31" spans="1:12" ht="16.5">
      <c r="A31" s="341">
        <v>46050</v>
      </c>
      <c r="B31" s="327">
        <f t="shared" si="0"/>
        <v>0</v>
      </c>
      <c r="C31" s="373">
        <f t="shared" si="0"/>
        <v>0</v>
      </c>
      <c r="D31" s="327" t="e">
        <f t="shared" si="1"/>
        <v>#DIV/0!</v>
      </c>
      <c r="E31" s="373">
        <f t="shared" si="2"/>
        <v>0</v>
      </c>
      <c r="F31" s="327" t="e">
        <f t="shared" si="3"/>
        <v>#DIV/0!</v>
      </c>
      <c r="G31" s="373">
        <f t="shared" si="4"/>
        <v>0</v>
      </c>
      <c r="H31" s="327" t="e">
        <f t="shared" si="5"/>
        <v>#DIV/0!</v>
      </c>
      <c r="I31" s="373">
        <f t="shared" si="6"/>
        <v>0</v>
      </c>
      <c r="J31" s="328" t="e">
        <f t="shared" si="7"/>
        <v>#DIV/0!</v>
      </c>
      <c r="K31" s="453" t="e">
        <f t="shared" si="8"/>
        <v>#DIV/0!</v>
      </c>
      <c r="L31" s="344" t="s">
        <v>102</v>
      </c>
    </row>
    <row r="32" spans="1:12" ht="16.5">
      <c r="A32" s="341">
        <v>46051</v>
      </c>
      <c r="B32" s="327">
        <f t="shared" si="0"/>
        <v>0</v>
      </c>
      <c r="C32" s="373">
        <f t="shared" si="0"/>
        <v>0</v>
      </c>
      <c r="D32" s="327" t="e">
        <f t="shared" si="1"/>
        <v>#DIV/0!</v>
      </c>
      <c r="E32" s="373">
        <f t="shared" si="2"/>
        <v>0</v>
      </c>
      <c r="F32" s="327" t="e">
        <f t="shared" si="3"/>
        <v>#DIV/0!</v>
      </c>
      <c r="G32" s="373">
        <f t="shared" si="4"/>
        <v>0</v>
      </c>
      <c r="H32" s="327" t="e">
        <f t="shared" si="5"/>
        <v>#DIV/0!</v>
      </c>
      <c r="I32" s="373">
        <f t="shared" si="6"/>
        <v>0</v>
      </c>
      <c r="J32" s="328" t="e">
        <f t="shared" si="7"/>
        <v>#DIV/0!</v>
      </c>
      <c r="K32" s="453" t="e">
        <f t="shared" si="8"/>
        <v>#DIV/0!</v>
      </c>
      <c r="L32" s="344" t="s">
        <v>102</v>
      </c>
    </row>
    <row r="33" spans="1:12" ht="16.5">
      <c r="A33" s="341">
        <v>46052</v>
      </c>
      <c r="B33" s="327">
        <f t="shared" si="0"/>
        <v>0</v>
      </c>
      <c r="C33" s="373">
        <f t="shared" si="0"/>
        <v>0</v>
      </c>
      <c r="D33" s="327" t="e">
        <f t="shared" si="1"/>
        <v>#DIV/0!</v>
      </c>
      <c r="E33" s="373">
        <f t="shared" si="2"/>
        <v>0</v>
      </c>
      <c r="F33" s="327" t="e">
        <f t="shared" si="3"/>
        <v>#DIV/0!</v>
      </c>
      <c r="G33" s="373">
        <f t="shared" si="4"/>
        <v>0</v>
      </c>
      <c r="H33" s="327" t="e">
        <f t="shared" si="5"/>
        <v>#DIV/0!</v>
      </c>
      <c r="I33" s="373">
        <f t="shared" si="6"/>
        <v>0</v>
      </c>
      <c r="J33" s="328" t="e">
        <f t="shared" si="7"/>
        <v>#DIV/0!</v>
      </c>
      <c r="K33" s="453" t="e">
        <f t="shared" si="8"/>
        <v>#DIV/0!</v>
      </c>
      <c r="L33" s="344" t="s">
        <v>102</v>
      </c>
    </row>
    <row r="34" spans="1:12" ht="16.5">
      <c r="A34" s="341">
        <v>46053</v>
      </c>
      <c r="B34" s="327">
        <f t="shared" ref="B34:C65" si="9">P34+AD34</f>
        <v>0</v>
      </c>
      <c r="C34" s="373">
        <f t="shared" si="9"/>
        <v>0</v>
      </c>
      <c r="D34" s="327" t="e">
        <f t="shared" si="1"/>
        <v>#DIV/0!</v>
      </c>
      <c r="E34" s="373">
        <f t="shared" si="2"/>
        <v>0</v>
      </c>
      <c r="F34" s="327" t="e">
        <f t="shared" si="3"/>
        <v>#DIV/0!</v>
      </c>
      <c r="G34" s="373">
        <f t="shared" si="4"/>
        <v>0</v>
      </c>
      <c r="H34" s="327" t="e">
        <f t="shared" si="5"/>
        <v>#DIV/0!</v>
      </c>
      <c r="I34" s="373">
        <f t="shared" si="6"/>
        <v>0</v>
      </c>
      <c r="J34" s="328" t="e">
        <f t="shared" si="7"/>
        <v>#DIV/0!</v>
      </c>
      <c r="K34" s="453" t="e">
        <f t="shared" si="8"/>
        <v>#DIV/0!</v>
      </c>
      <c r="L34" s="344" t="s">
        <v>102</v>
      </c>
    </row>
    <row r="35" spans="1:12" ht="16.5">
      <c r="A35" s="410">
        <v>46054</v>
      </c>
      <c r="B35" s="327">
        <f t="shared" si="9"/>
        <v>0</v>
      </c>
      <c r="C35" s="373">
        <f t="shared" si="9"/>
        <v>0</v>
      </c>
      <c r="D35" s="327" t="e">
        <f t="shared" si="1"/>
        <v>#DIV/0!</v>
      </c>
      <c r="E35" s="373">
        <f t="shared" si="2"/>
        <v>0</v>
      </c>
      <c r="F35" s="327" t="e">
        <f t="shared" si="3"/>
        <v>#DIV/0!</v>
      </c>
      <c r="G35" s="373">
        <f t="shared" si="4"/>
        <v>0</v>
      </c>
      <c r="H35" s="327" t="e">
        <f t="shared" si="5"/>
        <v>#DIV/0!</v>
      </c>
      <c r="I35" s="373">
        <f t="shared" si="6"/>
        <v>0</v>
      </c>
      <c r="J35" s="328" t="e">
        <f t="shared" si="7"/>
        <v>#DIV/0!</v>
      </c>
      <c r="K35" s="453" t="e">
        <f t="shared" si="8"/>
        <v>#DIV/0!</v>
      </c>
      <c r="L35" s="344" t="s">
        <v>102</v>
      </c>
    </row>
    <row r="36" spans="1:12" ht="16.5">
      <c r="A36" s="410">
        <v>46055</v>
      </c>
      <c r="B36" s="327">
        <f t="shared" si="9"/>
        <v>0</v>
      </c>
      <c r="C36" s="373">
        <f t="shared" si="9"/>
        <v>0</v>
      </c>
      <c r="D36" s="327" t="e">
        <f t="shared" si="1"/>
        <v>#DIV/0!</v>
      </c>
      <c r="E36" s="373">
        <f t="shared" si="2"/>
        <v>0</v>
      </c>
      <c r="F36" s="327" t="e">
        <f t="shared" si="3"/>
        <v>#DIV/0!</v>
      </c>
      <c r="G36" s="373">
        <f t="shared" si="4"/>
        <v>0</v>
      </c>
      <c r="H36" s="327" t="e">
        <f t="shared" si="5"/>
        <v>#DIV/0!</v>
      </c>
      <c r="I36" s="373">
        <f t="shared" si="6"/>
        <v>0</v>
      </c>
      <c r="J36" s="328" t="e">
        <f t="shared" si="7"/>
        <v>#DIV/0!</v>
      </c>
      <c r="K36" s="453" t="e">
        <f t="shared" si="8"/>
        <v>#DIV/0!</v>
      </c>
      <c r="L36" s="344" t="s">
        <v>102</v>
      </c>
    </row>
    <row r="37" spans="1:12" ht="16.5">
      <c r="A37" s="88">
        <v>46056</v>
      </c>
      <c r="B37" s="327">
        <f t="shared" si="9"/>
        <v>0</v>
      </c>
      <c r="C37" s="373">
        <f t="shared" si="9"/>
        <v>0</v>
      </c>
      <c r="D37" s="327" t="e">
        <f t="shared" si="1"/>
        <v>#DIV/0!</v>
      </c>
      <c r="E37" s="373">
        <f t="shared" si="2"/>
        <v>0</v>
      </c>
      <c r="F37" s="327" t="e">
        <f t="shared" si="3"/>
        <v>#DIV/0!</v>
      </c>
      <c r="G37" s="373">
        <f t="shared" si="4"/>
        <v>0</v>
      </c>
      <c r="H37" s="327" t="e">
        <f t="shared" si="5"/>
        <v>#DIV/0!</v>
      </c>
      <c r="I37" s="373">
        <f t="shared" si="6"/>
        <v>0</v>
      </c>
      <c r="J37" s="328" t="e">
        <f t="shared" si="7"/>
        <v>#DIV/0!</v>
      </c>
      <c r="K37" s="453" t="e">
        <f t="shared" si="8"/>
        <v>#DIV/0!</v>
      </c>
      <c r="L37" s="344" t="s">
        <v>102</v>
      </c>
    </row>
    <row r="38" spans="1:12" ht="16.5">
      <c r="A38" s="88">
        <v>46057</v>
      </c>
      <c r="B38" s="327">
        <f t="shared" si="9"/>
        <v>0</v>
      </c>
      <c r="C38" s="373">
        <f t="shared" si="9"/>
        <v>0</v>
      </c>
      <c r="D38" s="327" t="e">
        <f t="shared" si="1"/>
        <v>#DIV/0!</v>
      </c>
      <c r="E38" s="373">
        <f t="shared" si="2"/>
        <v>0</v>
      </c>
      <c r="F38" s="327" t="e">
        <f t="shared" si="3"/>
        <v>#DIV/0!</v>
      </c>
      <c r="G38" s="373">
        <f t="shared" si="4"/>
        <v>0</v>
      </c>
      <c r="H38" s="327" t="e">
        <f t="shared" si="5"/>
        <v>#DIV/0!</v>
      </c>
      <c r="I38" s="373">
        <f t="shared" si="6"/>
        <v>0</v>
      </c>
      <c r="J38" s="328" t="e">
        <f t="shared" si="7"/>
        <v>#DIV/0!</v>
      </c>
      <c r="K38" s="453" t="e">
        <f t="shared" si="8"/>
        <v>#DIV/0!</v>
      </c>
      <c r="L38" s="344" t="s">
        <v>102</v>
      </c>
    </row>
    <row r="39" spans="1:12" ht="16.5">
      <c r="A39" s="88">
        <v>46058</v>
      </c>
      <c r="B39" s="327">
        <f t="shared" si="9"/>
        <v>0</v>
      </c>
      <c r="C39" s="373">
        <f t="shared" si="9"/>
        <v>0</v>
      </c>
      <c r="D39" s="327" t="e">
        <f t="shared" si="1"/>
        <v>#DIV/0!</v>
      </c>
      <c r="E39" s="373">
        <f t="shared" si="2"/>
        <v>0</v>
      </c>
      <c r="F39" s="327" t="e">
        <f t="shared" si="3"/>
        <v>#DIV/0!</v>
      </c>
      <c r="G39" s="373">
        <f t="shared" si="4"/>
        <v>0</v>
      </c>
      <c r="H39" s="327" t="e">
        <f t="shared" si="5"/>
        <v>#DIV/0!</v>
      </c>
      <c r="I39" s="373">
        <f t="shared" si="6"/>
        <v>0</v>
      </c>
      <c r="J39" s="328" t="e">
        <f t="shared" si="7"/>
        <v>#DIV/0!</v>
      </c>
      <c r="K39" s="453" t="e">
        <f t="shared" si="8"/>
        <v>#DIV/0!</v>
      </c>
      <c r="L39" s="344" t="s">
        <v>102</v>
      </c>
    </row>
    <row r="40" spans="1:12" ht="16.5">
      <c r="A40" s="132">
        <v>46059</v>
      </c>
      <c r="B40" s="327">
        <f t="shared" si="9"/>
        <v>0</v>
      </c>
      <c r="C40" s="373">
        <f t="shared" si="9"/>
        <v>0</v>
      </c>
      <c r="D40" s="327" t="e">
        <f t="shared" si="1"/>
        <v>#DIV/0!</v>
      </c>
      <c r="E40" s="373">
        <f t="shared" si="2"/>
        <v>0</v>
      </c>
      <c r="F40" s="327" t="e">
        <f t="shared" si="3"/>
        <v>#DIV/0!</v>
      </c>
      <c r="G40" s="373">
        <f t="shared" si="4"/>
        <v>0</v>
      </c>
      <c r="H40" s="327" t="e">
        <f t="shared" si="5"/>
        <v>#DIV/0!</v>
      </c>
      <c r="I40" s="373">
        <f t="shared" si="6"/>
        <v>0</v>
      </c>
      <c r="J40" s="328" t="e">
        <f t="shared" si="7"/>
        <v>#DIV/0!</v>
      </c>
      <c r="K40" s="453" t="e">
        <f t="shared" si="8"/>
        <v>#DIV/0!</v>
      </c>
      <c r="L40" s="344" t="s">
        <v>102</v>
      </c>
    </row>
    <row r="41" spans="1:12" ht="16.5">
      <c r="A41" s="132">
        <v>46060</v>
      </c>
      <c r="B41" s="327">
        <f t="shared" si="9"/>
        <v>0</v>
      </c>
      <c r="C41" s="373">
        <f t="shared" si="9"/>
        <v>0</v>
      </c>
      <c r="D41" s="327" t="e">
        <f t="shared" si="1"/>
        <v>#DIV/0!</v>
      </c>
      <c r="E41" s="373">
        <f t="shared" si="2"/>
        <v>0</v>
      </c>
      <c r="F41" s="327" t="e">
        <f t="shared" si="3"/>
        <v>#DIV/0!</v>
      </c>
      <c r="G41" s="373">
        <f t="shared" si="4"/>
        <v>0</v>
      </c>
      <c r="H41" s="327" t="e">
        <f t="shared" si="5"/>
        <v>#DIV/0!</v>
      </c>
      <c r="I41" s="373">
        <f t="shared" si="6"/>
        <v>0</v>
      </c>
      <c r="J41" s="328" t="e">
        <f t="shared" si="7"/>
        <v>#DIV/0!</v>
      </c>
      <c r="K41" s="453" t="e">
        <f t="shared" si="8"/>
        <v>#DIV/0!</v>
      </c>
      <c r="L41" s="344" t="s">
        <v>102</v>
      </c>
    </row>
    <row r="42" spans="1:12" ht="16.5">
      <c r="A42" s="132">
        <v>46061</v>
      </c>
      <c r="B42" s="327">
        <f t="shared" si="9"/>
        <v>0</v>
      </c>
      <c r="C42" s="373">
        <f t="shared" si="9"/>
        <v>0</v>
      </c>
      <c r="D42" s="327" t="e">
        <f t="shared" si="1"/>
        <v>#DIV/0!</v>
      </c>
      <c r="E42" s="373">
        <f t="shared" si="2"/>
        <v>0</v>
      </c>
      <c r="F42" s="327" t="e">
        <f t="shared" si="3"/>
        <v>#DIV/0!</v>
      </c>
      <c r="G42" s="373">
        <f t="shared" si="4"/>
        <v>0</v>
      </c>
      <c r="H42" s="327" t="e">
        <f t="shared" si="5"/>
        <v>#DIV/0!</v>
      </c>
      <c r="I42" s="373">
        <f t="shared" si="6"/>
        <v>0</v>
      </c>
      <c r="J42" s="328" t="e">
        <f t="shared" si="7"/>
        <v>#DIV/0!</v>
      </c>
      <c r="K42" s="453" t="e">
        <f t="shared" si="8"/>
        <v>#DIV/0!</v>
      </c>
      <c r="L42" s="344" t="s">
        <v>102</v>
      </c>
    </row>
    <row r="43" spans="1:12" ht="16.5">
      <c r="A43" s="88">
        <v>46062</v>
      </c>
      <c r="B43" s="327">
        <f t="shared" si="9"/>
        <v>0</v>
      </c>
      <c r="C43" s="373">
        <f t="shared" si="9"/>
        <v>0</v>
      </c>
      <c r="D43" s="327" t="e">
        <f t="shared" si="1"/>
        <v>#DIV/0!</v>
      </c>
      <c r="E43" s="373">
        <f t="shared" si="2"/>
        <v>0</v>
      </c>
      <c r="F43" s="327" t="e">
        <f t="shared" si="3"/>
        <v>#DIV/0!</v>
      </c>
      <c r="G43" s="373">
        <f t="shared" si="4"/>
        <v>0</v>
      </c>
      <c r="H43" s="327" t="e">
        <f t="shared" si="5"/>
        <v>#DIV/0!</v>
      </c>
      <c r="I43" s="373">
        <f t="shared" si="6"/>
        <v>0</v>
      </c>
      <c r="J43" s="328" t="e">
        <f t="shared" si="7"/>
        <v>#DIV/0!</v>
      </c>
      <c r="K43" s="453" t="e">
        <f t="shared" si="8"/>
        <v>#DIV/0!</v>
      </c>
      <c r="L43" s="344" t="s">
        <v>102</v>
      </c>
    </row>
    <row r="44" spans="1:12" ht="16.5">
      <c r="A44" s="88">
        <v>46063</v>
      </c>
      <c r="B44" s="327">
        <f t="shared" si="9"/>
        <v>0</v>
      </c>
      <c r="C44" s="373">
        <f t="shared" si="9"/>
        <v>0</v>
      </c>
      <c r="D44" s="327" t="e">
        <f t="shared" si="1"/>
        <v>#DIV/0!</v>
      </c>
      <c r="E44" s="373">
        <f t="shared" si="2"/>
        <v>0</v>
      </c>
      <c r="F44" s="327" t="e">
        <f t="shared" si="3"/>
        <v>#DIV/0!</v>
      </c>
      <c r="G44" s="373">
        <f t="shared" si="4"/>
        <v>0</v>
      </c>
      <c r="H44" s="327" t="e">
        <f t="shared" si="5"/>
        <v>#DIV/0!</v>
      </c>
      <c r="I44" s="373">
        <f t="shared" si="6"/>
        <v>0</v>
      </c>
      <c r="J44" s="328" t="e">
        <f t="shared" si="7"/>
        <v>#DIV/0!</v>
      </c>
      <c r="K44" s="453" t="e">
        <f t="shared" si="8"/>
        <v>#DIV/0!</v>
      </c>
      <c r="L44" s="344" t="s">
        <v>102</v>
      </c>
    </row>
    <row r="45" spans="1:12" ht="16.5">
      <c r="A45" s="88">
        <v>46064</v>
      </c>
      <c r="B45" s="327">
        <f t="shared" si="9"/>
        <v>0</v>
      </c>
      <c r="C45" s="373">
        <f t="shared" si="9"/>
        <v>0</v>
      </c>
      <c r="D45" s="327" t="e">
        <f t="shared" si="1"/>
        <v>#DIV/0!</v>
      </c>
      <c r="E45" s="373">
        <f t="shared" si="2"/>
        <v>0</v>
      </c>
      <c r="F45" s="327" t="e">
        <f t="shared" si="3"/>
        <v>#DIV/0!</v>
      </c>
      <c r="G45" s="373">
        <f t="shared" si="4"/>
        <v>0</v>
      </c>
      <c r="H45" s="327" t="e">
        <f t="shared" si="5"/>
        <v>#DIV/0!</v>
      </c>
      <c r="I45" s="373">
        <f t="shared" si="6"/>
        <v>0</v>
      </c>
      <c r="J45" s="328" t="e">
        <f t="shared" si="7"/>
        <v>#DIV/0!</v>
      </c>
      <c r="K45" s="453" t="e">
        <f t="shared" si="8"/>
        <v>#DIV/0!</v>
      </c>
      <c r="L45" s="344" t="s">
        <v>102</v>
      </c>
    </row>
    <row r="46" spans="1:12" ht="16.5">
      <c r="A46" s="216">
        <v>46065</v>
      </c>
      <c r="B46" s="327">
        <f t="shared" si="9"/>
        <v>0</v>
      </c>
      <c r="C46" s="373">
        <f t="shared" si="9"/>
        <v>0</v>
      </c>
      <c r="D46" s="327" t="e">
        <f t="shared" si="1"/>
        <v>#DIV/0!</v>
      </c>
      <c r="E46" s="373">
        <f t="shared" si="2"/>
        <v>0</v>
      </c>
      <c r="F46" s="327" t="e">
        <f t="shared" si="3"/>
        <v>#DIV/0!</v>
      </c>
      <c r="G46" s="373">
        <f t="shared" si="4"/>
        <v>0</v>
      </c>
      <c r="H46" s="327" t="e">
        <f t="shared" si="5"/>
        <v>#DIV/0!</v>
      </c>
      <c r="I46" s="373">
        <f t="shared" si="6"/>
        <v>0</v>
      </c>
      <c r="J46" s="328" t="e">
        <f t="shared" si="7"/>
        <v>#DIV/0!</v>
      </c>
      <c r="K46" s="453" t="e">
        <f t="shared" si="8"/>
        <v>#DIV/0!</v>
      </c>
      <c r="L46" s="344" t="s">
        <v>102</v>
      </c>
    </row>
    <row r="47" spans="1:12" ht="16.5">
      <c r="A47" s="216">
        <v>46066</v>
      </c>
      <c r="B47" s="327">
        <f t="shared" si="9"/>
        <v>0</v>
      </c>
      <c r="C47" s="373">
        <f t="shared" si="9"/>
        <v>0</v>
      </c>
      <c r="D47" s="327" t="e">
        <f t="shared" si="1"/>
        <v>#DIV/0!</v>
      </c>
      <c r="E47" s="373">
        <f t="shared" si="2"/>
        <v>0</v>
      </c>
      <c r="F47" s="327" t="e">
        <f t="shared" si="3"/>
        <v>#DIV/0!</v>
      </c>
      <c r="G47" s="373">
        <f t="shared" si="4"/>
        <v>0</v>
      </c>
      <c r="H47" s="327" t="e">
        <f t="shared" si="5"/>
        <v>#DIV/0!</v>
      </c>
      <c r="I47" s="373">
        <f t="shared" si="6"/>
        <v>0</v>
      </c>
      <c r="J47" s="328" t="e">
        <f t="shared" si="7"/>
        <v>#DIV/0!</v>
      </c>
      <c r="K47" s="453" t="e">
        <f t="shared" si="8"/>
        <v>#DIV/0!</v>
      </c>
      <c r="L47" s="344" t="s">
        <v>102</v>
      </c>
    </row>
    <row r="48" spans="1:12" ht="16.5">
      <c r="A48" s="132">
        <v>46067</v>
      </c>
      <c r="B48" s="327">
        <f t="shared" si="9"/>
        <v>0</v>
      </c>
      <c r="C48" s="373">
        <f t="shared" si="9"/>
        <v>0</v>
      </c>
      <c r="D48" s="327" t="e">
        <f t="shared" si="1"/>
        <v>#DIV/0!</v>
      </c>
      <c r="E48" s="373">
        <f t="shared" si="2"/>
        <v>0</v>
      </c>
      <c r="F48" s="327" t="e">
        <f t="shared" si="3"/>
        <v>#DIV/0!</v>
      </c>
      <c r="G48" s="373">
        <f t="shared" si="4"/>
        <v>0</v>
      </c>
      <c r="H48" s="327" t="e">
        <f t="shared" si="5"/>
        <v>#DIV/0!</v>
      </c>
      <c r="I48" s="373">
        <f t="shared" si="6"/>
        <v>0</v>
      </c>
      <c r="J48" s="328" t="e">
        <f t="shared" si="7"/>
        <v>#DIV/0!</v>
      </c>
      <c r="K48" s="453" t="e">
        <f t="shared" si="8"/>
        <v>#DIV/0!</v>
      </c>
      <c r="L48" s="344" t="s">
        <v>102</v>
      </c>
    </row>
    <row r="49" spans="1:12" ht="16.5">
      <c r="A49" s="132">
        <v>46068</v>
      </c>
      <c r="B49" s="327">
        <f t="shared" si="9"/>
        <v>0</v>
      </c>
      <c r="C49" s="373">
        <f t="shared" si="9"/>
        <v>0</v>
      </c>
      <c r="D49" s="327" t="e">
        <f t="shared" si="1"/>
        <v>#DIV/0!</v>
      </c>
      <c r="E49" s="373">
        <f t="shared" si="2"/>
        <v>0</v>
      </c>
      <c r="F49" s="327" t="e">
        <f t="shared" si="3"/>
        <v>#DIV/0!</v>
      </c>
      <c r="G49" s="373">
        <f t="shared" si="4"/>
        <v>0</v>
      </c>
      <c r="H49" s="327" t="e">
        <f t="shared" si="5"/>
        <v>#DIV/0!</v>
      </c>
      <c r="I49" s="373">
        <f t="shared" si="6"/>
        <v>0</v>
      </c>
      <c r="J49" s="328" t="e">
        <f t="shared" si="7"/>
        <v>#DIV/0!</v>
      </c>
      <c r="K49" s="453" t="e">
        <f t="shared" si="8"/>
        <v>#DIV/0!</v>
      </c>
      <c r="L49" s="344" t="s">
        <v>102</v>
      </c>
    </row>
    <row r="50" spans="1:12" ht="16.5">
      <c r="A50" s="132">
        <v>46069</v>
      </c>
      <c r="B50" s="327">
        <f t="shared" si="9"/>
        <v>0</v>
      </c>
      <c r="C50" s="373">
        <f t="shared" si="9"/>
        <v>0</v>
      </c>
      <c r="D50" s="327" t="e">
        <f t="shared" si="1"/>
        <v>#DIV/0!</v>
      </c>
      <c r="E50" s="373">
        <f t="shared" si="2"/>
        <v>0</v>
      </c>
      <c r="F50" s="327" t="e">
        <f t="shared" si="3"/>
        <v>#DIV/0!</v>
      </c>
      <c r="G50" s="373">
        <f t="shared" si="4"/>
        <v>0</v>
      </c>
      <c r="H50" s="327" t="e">
        <f t="shared" si="5"/>
        <v>#DIV/0!</v>
      </c>
      <c r="I50" s="373">
        <f t="shared" si="6"/>
        <v>0</v>
      </c>
      <c r="J50" s="328" t="e">
        <f t="shared" si="7"/>
        <v>#DIV/0!</v>
      </c>
      <c r="K50" s="453" t="e">
        <f t="shared" si="8"/>
        <v>#DIV/0!</v>
      </c>
      <c r="L50" s="344" t="s">
        <v>102</v>
      </c>
    </row>
    <row r="51" spans="1:12" ht="16.5">
      <c r="A51" s="216">
        <v>46070</v>
      </c>
      <c r="B51" s="327">
        <f t="shared" si="9"/>
        <v>0</v>
      </c>
      <c r="C51" s="373">
        <f t="shared" si="9"/>
        <v>0</v>
      </c>
      <c r="D51" s="327" t="e">
        <f t="shared" si="1"/>
        <v>#DIV/0!</v>
      </c>
      <c r="E51" s="373">
        <f t="shared" si="2"/>
        <v>0</v>
      </c>
      <c r="F51" s="327" t="e">
        <f t="shared" si="3"/>
        <v>#DIV/0!</v>
      </c>
      <c r="G51" s="373">
        <f t="shared" si="4"/>
        <v>0</v>
      </c>
      <c r="H51" s="327" t="e">
        <f t="shared" si="5"/>
        <v>#DIV/0!</v>
      </c>
      <c r="I51" s="373">
        <f t="shared" si="6"/>
        <v>0</v>
      </c>
      <c r="J51" s="328" t="e">
        <f t="shared" si="7"/>
        <v>#DIV/0!</v>
      </c>
      <c r="K51" s="453" t="e">
        <f t="shared" si="8"/>
        <v>#DIV/0!</v>
      </c>
      <c r="L51" s="344" t="s">
        <v>102</v>
      </c>
    </row>
    <row r="52" spans="1:12" ht="16.5">
      <c r="A52" s="132">
        <v>46071</v>
      </c>
      <c r="B52" s="327">
        <f t="shared" si="9"/>
        <v>0</v>
      </c>
      <c r="C52" s="373">
        <f t="shared" si="9"/>
        <v>0</v>
      </c>
      <c r="D52" s="327" t="e">
        <f t="shared" si="1"/>
        <v>#DIV/0!</v>
      </c>
      <c r="E52" s="373">
        <f t="shared" si="2"/>
        <v>0</v>
      </c>
      <c r="F52" s="327" t="e">
        <f t="shared" si="3"/>
        <v>#DIV/0!</v>
      </c>
      <c r="G52" s="373">
        <f t="shared" si="4"/>
        <v>0</v>
      </c>
      <c r="H52" s="327" t="e">
        <f t="shared" si="5"/>
        <v>#DIV/0!</v>
      </c>
      <c r="I52" s="373">
        <f t="shared" si="6"/>
        <v>0</v>
      </c>
      <c r="J52" s="328" t="e">
        <f t="shared" si="7"/>
        <v>#DIV/0!</v>
      </c>
      <c r="K52" s="453" t="e">
        <f t="shared" si="8"/>
        <v>#DIV/0!</v>
      </c>
      <c r="L52" s="344" t="s">
        <v>102</v>
      </c>
    </row>
    <row r="53" spans="1:12" ht="16.5">
      <c r="A53" s="132">
        <v>46072</v>
      </c>
      <c r="B53" s="327">
        <f t="shared" si="9"/>
        <v>0</v>
      </c>
      <c r="C53" s="373">
        <f t="shared" si="9"/>
        <v>0</v>
      </c>
      <c r="D53" s="327" t="e">
        <f t="shared" si="1"/>
        <v>#DIV/0!</v>
      </c>
      <c r="E53" s="373">
        <f t="shared" si="2"/>
        <v>0</v>
      </c>
      <c r="F53" s="327" t="e">
        <f t="shared" si="3"/>
        <v>#DIV/0!</v>
      </c>
      <c r="G53" s="373">
        <f t="shared" si="4"/>
        <v>0</v>
      </c>
      <c r="H53" s="327" t="e">
        <f t="shared" si="5"/>
        <v>#DIV/0!</v>
      </c>
      <c r="I53" s="373">
        <f t="shared" si="6"/>
        <v>0</v>
      </c>
      <c r="J53" s="328" t="e">
        <f t="shared" si="7"/>
        <v>#DIV/0!</v>
      </c>
      <c r="K53" s="453" t="e">
        <f t="shared" si="8"/>
        <v>#DIV/0!</v>
      </c>
      <c r="L53" s="344" t="s">
        <v>102</v>
      </c>
    </row>
    <row r="54" spans="1:12" ht="16.5">
      <c r="A54" s="132">
        <v>46073</v>
      </c>
      <c r="B54" s="327">
        <f t="shared" si="9"/>
        <v>0</v>
      </c>
      <c r="C54" s="373">
        <f t="shared" si="9"/>
        <v>0</v>
      </c>
      <c r="D54" s="327" t="e">
        <f t="shared" si="1"/>
        <v>#DIV/0!</v>
      </c>
      <c r="E54" s="373">
        <f t="shared" si="2"/>
        <v>0</v>
      </c>
      <c r="F54" s="327" t="e">
        <f t="shared" si="3"/>
        <v>#DIV/0!</v>
      </c>
      <c r="G54" s="373">
        <f t="shared" si="4"/>
        <v>0</v>
      </c>
      <c r="H54" s="327" t="e">
        <f t="shared" si="5"/>
        <v>#DIV/0!</v>
      </c>
      <c r="I54" s="373">
        <f t="shared" si="6"/>
        <v>0</v>
      </c>
      <c r="J54" s="328" t="e">
        <f t="shared" si="7"/>
        <v>#DIV/0!</v>
      </c>
      <c r="K54" s="453" t="e">
        <f t="shared" si="8"/>
        <v>#DIV/0!</v>
      </c>
      <c r="L54" s="344" t="s">
        <v>102</v>
      </c>
    </row>
    <row r="55" spans="1:12" ht="16.5">
      <c r="A55" s="132">
        <v>46074</v>
      </c>
      <c r="B55" s="327">
        <f t="shared" si="9"/>
        <v>0</v>
      </c>
      <c r="C55" s="373">
        <f t="shared" si="9"/>
        <v>0</v>
      </c>
      <c r="D55" s="327" t="e">
        <f t="shared" si="1"/>
        <v>#DIV/0!</v>
      </c>
      <c r="E55" s="373">
        <f t="shared" si="2"/>
        <v>0</v>
      </c>
      <c r="F55" s="327" t="e">
        <f t="shared" si="3"/>
        <v>#DIV/0!</v>
      </c>
      <c r="G55" s="373">
        <f t="shared" si="4"/>
        <v>0</v>
      </c>
      <c r="H55" s="327" t="e">
        <f t="shared" si="5"/>
        <v>#DIV/0!</v>
      </c>
      <c r="I55" s="373">
        <f t="shared" si="6"/>
        <v>0</v>
      </c>
      <c r="J55" s="328" t="e">
        <f t="shared" si="7"/>
        <v>#DIV/0!</v>
      </c>
      <c r="K55" s="453" t="e">
        <f t="shared" si="8"/>
        <v>#DIV/0!</v>
      </c>
      <c r="L55" s="344" t="s">
        <v>102</v>
      </c>
    </row>
    <row r="56" spans="1:12" ht="16.5">
      <c r="A56" s="132">
        <v>46075</v>
      </c>
      <c r="B56" s="327">
        <f t="shared" si="9"/>
        <v>0</v>
      </c>
      <c r="C56" s="373">
        <f t="shared" si="9"/>
        <v>0</v>
      </c>
      <c r="D56" s="327" t="e">
        <f t="shared" si="1"/>
        <v>#DIV/0!</v>
      </c>
      <c r="E56" s="373">
        <f t="shared" si="2"/>
        <v>0</v>
      </c>
      <c r="F56" s="327" t="e">
        <f t="shared" si="3"/>
        <v>#DIV/0!</v>
      </c>
      <c r="G56" s="373">
        <f t="shared" si="4"/>
        <v>0</v>
      </c>
      <c r="H56" s="327" t="e">
        <f t="shared" si="5"/>
        <v>#DIV/0!</v>
      </c>
      <c r="I56" s="373">
        <f t="shared" si="6"/>
        <v>0</v>
      </c>
      <c r="J56" s="328" t="e">
        <f t="shared" si="7"/>
        <v>#DIV/0!</v>
      </c>
      <c r="K56" s="453" t="e">
        <f t="shared" si="8"/>
        <v>#DIV/0!</v>
      </c>
      <c r="L56" s="344" t="s">
        <v>102</v>
      </c>
    </row>
    <row r="57" spans="1:12" ht="16.5">
      <c r="A57" s="132">
        <v>46076</v>
      </c>
      <c r="B57" s="327">
        <f t="shared" si="9"/>
        <v>0</v>
      </c>
      <c r="C57" s="373">
        <f t="shared" si="9"/>
        <v>0</v>
      </c>
      <c r="D57" s="327" t="e">
        <f t="shared" si="1"/>
        <v>#DIV/0!</v>
      </c>
      <c r="E57" s="373">
        <f t="shared" si="2"/>
        <v>0</v>
      </c>
      <c r="F57" s="327" t="e">
        <f t="shared" si="3"/>
        <v>#DIV/0!</v>
      </c>
      <c r="G57" s="373">
        <f t="shared" si="4"/>
        <v>0</v>
      </c>
      <c r="H57" s="327" t="e">
        <f t="shared" si="5"/>
        <v>#DIV/0!</v>
      </c>
      <c r="I57" s="373">
        <f t="shared" si="6"/>
        <v>0</v>
      </c>
      <c r="J57" s="328" t="e">
        <f t="shared" si="7"/>
        <v>#DIV/0!</v>
      </c>
      <c r="K57" s="453" t="e">
        <f t="shared" si="8"/>
        <v>#DIV/0!</v>
      </c>
      <c r="L57" s="344" t="s">
        <v>102</v>
      </c>
    </row>
    <row r="58" spans="1:12" ht="16.5">
      <c r="A58" s="132">
        <v>46077</v>
      </c>
      <c r="B58" s="327">
        <f t="shared" si="9"/>
        <v>0</v>
      </c>
      <c r="C58" s="373">
        <f t="shared" si="9"/>
        <v>0</v>
      </c>
      <c r="D58" s="327" t="e">
        <f t="shared" si="1"/>
        <v>#DIV/0!</v>
      </c>
      <c r="E58" s="373">
        <f t="shared" si="2"/>
        <v>0</v>
      </c>
      <c r="F58" s="327" t="e">
        <f t="shared" si="3"/>
        <v>#DIV/0!</v>
      </c>
      <c r="G58" s="373">
        <f t="shared" si="4"/>
        <v>0</v>
      </c>
      <c r="H58" s="327" t="e">
        <f t="shared" si="5"/>
        <v>#DIV/0!</v>
      </c>
      <c r="I58" s="373">
        <f t="shared" si="6"/>
        <v>0</v>
      </c>
      <c r="J58" s="328" t="e">
        <f t="shared" si="7"/>
        <v>#DIV/0!</v>
      </c>
      <c r="K58" s="453" t="e">
        <f t="shared" si="8"/>
        <v>#DIV/0!</v>
      </c>
      <c r="L58" s="344" t="s">
        <v>102</v>
      </c>
    </row>
    <row r="59" spans="1:12" ht="17.25" thickBot="1">
      <c r="A59" s="132">
        <v>46078</v>
      </c>
      <c r="B59" s="346">
        <f t="shared" si="9"/>
        <v>0</v>
      </c>
      <c r="C59" s="375">
        <f t="shared" si="9"/>
        <v>0</v>
      </c>
      <c r="D59" s="346" t="e">
        <f t="shared" si="1"/>
        <v>#DIV/0!</v>
      </c>
      <c r="E59" s="375">
        <f t="shared" si="2"/>
        <v>0</v>
      </c>
      <c r="F59" s="346" t="e">
        <f t="shared" si="3"/>
        <v>#DIV/0!</v>
      </c>
      <c r="G59" s="375">
        <f t="shared" si="4"/>
        <v>0</v>
      </c>
      <c r="H59" s="346" t="e">
        <f t="shared" si="5"/>
        <v>#DIV/0!</v>
      </c>
      <c r="I59" s="375">
        <f t="shared" si="6"/>
        <v>0</v>
      </c>
      <c r="J59" s="347" t="e">
        <f t="shared" si="7"/>
        <v>#DIV/0!</v>
      </c>
      <c r="K59" s="235" t="e">
        <f t="shared" si="8"/>
        <v>#DIV/0!</v>
      </c>
      <c r="L59" s="348" t="s">
        <v>102</v>
      </c>
    </row>
    <row r="60" spans="1:12" ht="16.5">
      <c r="A60" s="398">
        <v>46079</v>
      </c>
      <c r="B60" s="218">
        <f t="shared" si="9"/>
        <v>0</v>
      </c>
      <c r="C60" s="435">
        <f t="shared" si="9"/>
        <v>0</v>
      </c>
      <c r="D60" s="218" t="e">
        <f t="shared" si="1"/>
        <v>#DIV/0!</v>
      </c>
      <c r="E60" s="435">
        <f t="shared" si="2"/>
        <v>0</v>
      </c>
      <c r="F60" s="218" t="e">
        <f t="shared" si="3"/>
        <v>#DIV/0!</v>
      </c>
      <c r="G60" s="435">
        <f t="shared" si="4"/>
        <v>0</v>
      </c>
      <c r="H60" s="218" t="e">
        <f t="shared" si="5"/>
        <v>#DIV/0!</v>
      </c>
      <c r="I60" s="435">
        <f t="shared" si="6"/>
        <v>0</v>
      </c>
      <c r="J60" s="436" t="e">
        <f t="shared" si="7"/>
        <v>#DIV/0!</v>
      </c>
      <c r="K60" s="219" t="e">
        <f t="shared" si="8"/>
        <v>#DIV/0!</v>
      </c>
      <c r="L60" s="437" t="s">
        <v>102</v>
      </c>
    </row>
    <row r="61" spans="1:12" ht="16.5">
      <c r="A61" s="341">
        <v>46080</v>
      </c>
      <c r="B61" s="327">
        <f t="shared" si="9"/>
        <v>0</v>
      </c>
      <c r="C61" s="373">
        <f t="shared" si="9"/>
        <v>0</v>
      </c>
      <c r="D61" s="327" t="e">
        <f t="shared" si="1"/>
        <v>#DIV/0!</v>
      </c>
      <c r="E61" s="373">
        <f t="shared" si="2"/>
        <v>0</v>
      </c>
      <c r="F61" s="327" t="e">
        <f t="shared" si="3"/>
        <v>#DIV/0!</v>
      </c>
      <c r="G61" s="373">
        <f t="shared" si="4"/>
        <v>0</v>
      </c>
      <c r="H61" s="327" t="e">
        <f t="shared" si="5"/>
        <v>#DIV/0!</v>
      </c>
      <c r="I61" s="373">
        <f t="shared" si="6"/>
        <v>0</v>
      </c>
      <c r="J61" s="328" t="e">
        <f t="shared" si="7"/>
        <v>#DIV/0!</v>
      </c>
      <c r="K61" s="453" t="e">
        <f t="shared" si="8"/>
        <v>#DIV/0!</v>
      </c>
      <c r="L61" s="344" t="s">
        <v>102</v>
      </c>
    </row>
    <row r="62" spans="1:12" ht="16.5">
      <c r="A62" s="410">
        <v>46081</v>
      </c>
      <c r="B62" s="327">
        <f t="shared" si="9"/>
        <v>0</v>
      </c>
      <c r="C62" s="373">
        <f t="shared" si="9"/>
        <v>0</v>
      </c>
      <c r="D62" s="327" t="e">
        <f t="shared" si="1"/>
        <v>#DIV/0!</v>
      </c>
      <c r="E62" s="373">
        <f t="shared" si="2"/>
        <v>0</v>
      </c>
      <c r="F62" s="327" t="e">
        <f t="shared" si="3"/>
        <v>#DIV/0!</v>
      </c>
      <c r="G62" s="373">
        <f t="shared" si="4"/>
        <v>0</v>
      </c>
      <c r="H62" s="327" t="e">
        <f t="shared" si="5"/>
        <v>#DIV/0!</v>
      </c>
      <c r="I62" s="373">
        <f t="shared" si="6"/>
        <v>0</v>
      </c>
      <c r="J62" s="328" t="e">
        <f t="shared" si="7"/>
        <v>#DIV/0!</v>
      </c>
      <c r="K62" s="453" t="e">
        <f t="shared" si="8"/>
        <v>#DIV/0!</v>
      </c>
      <c r="L62" s="344" t="s">
        <v>102</v>
      </c>
    </row>
    <row r="63" spans="1:12" ht="16.5">
      <c r="A63" s="410">
        <v>46082</v>
      </c>
      <c r="B63" s="327">
        <f t="shared" si="9"/>
        <v>0</v>
      </c>
      <c r="C63" s="373">
        <f t="shared" si="9"/>
        <v>0</v>
      </c>
      <c r="D63" s="327" t="e">
        <f t="shared" si="1"/>
        <v>#DIV/0!</v>
      </c>
      <c r="E63" s="373">
        <f t="shared" si="2"/>
        <v>0</v>
      </c>
      <c r="F63" s="327" t="e">
        <f t="shared" si="3"/>
        <v>#DIV/0!</v>
      </c>
      <c r="G63" s="373">
        <f t="shared" si="4"/>
        <v>0</v>
      </c>
      <c r="H63" s="327" t="e">
        <f t="shared" si="5"/>
        <v>#DIV/0!</v>
      </c>
      <c r="I63" s="373">
        <f t="shared" si="6"/>
        <v>0</v>
      </c>
      <c r="J63" s="328" t="e">
        <f t="shared" si="7"/>
        <v>#DIV/0!</v>
      </c>
      <c r="K63" s="453" t="e">
        <f t="shared" si="8"/>
        <v>#DIV/0!</v>
      </c>
      <c r="L63" s="344" t="s">
        <v>102</v>
      </c>
    </row>
    <row r="64" spans="1:12" ht="16.5">
      <c r="A64" s="410">
        <v>46083</v>
      </c>
      <c r="B64" s="327">
        <f t="shared" si="9"/>
        <v>0</v>
      </c>
      <c r="C64" s="373">
        <f t="shared" si="9"/>
        <v>0</v>
      </c>
      <c r="D64" s="327" t="e">
        <f t="shared" si="1"/>
        <v>#DIV/0!</v>
      </c>
      <c r="E64" s="373">
        <f t="shared" si="2"/>
        <v>0</v>
      </c>
      <c r="F64" s="327" t="e">
        <f t="shared" si="3"/>
        <v>#DIV/0!</v>
      </c>
      <c r="G64" s="373">
        <f t="shared" si="4"/>
        <v>0</v>
      </c>
      <c r="H64" s="327" t="e">
        <f t="shared" si="5"/>
        <v>#DIV/0!</v>
      </c>
      <c r="I64" s="373">
        <f t="shared" si="6"/>
        <v>0</v>
      </c>
      <c r="J64" s="328" t="e">
        <f t="shared" si="7"/>
        <v>#DIV/0!</v>
      </c>
      <c r="K64" s="453" t="e">
        <f t="shared" si="8"/>
        <v>#DIV/0!</v>
      </c>
      <c r="L64" s="344" t="s">
        <v>102</v>
      </c>
    </row>
    <row r="65" spans="1:12" ht="16.5">
      <c r="A65" s="102">
        <v>46084</v>
      </c>
      <c r="B65" s="327">
        <f t="shared" si="9"/>
        <v>0</v>
      </c>
      <c r="C65" s="373">
        <f t="shared" si="9"/>
        <v>0</v>
      </c>
      <c r="D65" s="327" t="e">
        <f t="shared" si="1"/>
        <v>#DIV/0!</v>
      </c>
      <c r="E65" s="373">
        <f t="shared" si="2"/>
        <v>0</v>
      </c>
      <c r="F65" s="327" t="e">
        <f t="shared" si="3"/>
        <v>#DIV/0!</v>
      </c>
      <c r="G65" s="373">
        <f t="shared" si="4"/>
        <v>0</v>
      </c>
      <c r="H65" s="327" t="e">
        <f t="shared" si="5"/>
        <v>#DIV/0!</v>
      </c>
      <c r="I65" s="373">
        <f t="shared" si="6"/>
        <v>0</v>
      </c>
      <c r="J65" s="328" t="e">
        <f t="shared" si="7"/>
        <v>#DIV/0!</v>
      </c>
      <c r="K65" s="453" t="e">
        <f t="shared" si="8"/>
        <v>#DIV/0!</v>
      </c>
      <c r="L65" s="344" t="s">
        <v>102</v>
      </c>
    </row>
    <row r="66" spans="1:12" ht="16.5">
      <c r="A66" s="102">
        <v>46085</v>
      </c>
      <c r="B66" s="327">
        <f t="shared" ref="B66:C97" si="10">P66+AD66</f>
        <v>0</v>
      </c>
      <c r="C66" s="373">
        <f t="shared" si="10"/>
        <v>0</v>
      </c>
      <c r="D66" s="327" t="e">
        <f t="shared" ref="D66:D119" si="11">B66/C66</f>
        <v>#DIV/0!</v>
      </c>
      <c r="E66" s="373">
        <f t="shared" ref="E66:E119" si="12">S66+AG66</f>
        <v>0</v>
      </c>
      <c r="F66" s="327" t="e">
        <f t="shared" ref="F66:F119" si="13">B66/E66</f>
        <v>#DIV/0!</v>
      </c>
      <c r="G66" s="373">
        <f t="shared" ref="G66:G119" si="14">U66+AI66</f>
        <v>0</v>
      </c>
      <c r="H66" s="327" t="e">
        <f t="shared" ref="H66:H119" si="15">B66/G66</f>
        <v>#DIV/0!</v>
      </c>
      <c r="I66" s="373">
        <f t="shared" ref="I66:I119" si="16">W66+AK66</f>
        <v>0</v>
      </c>
      <c r="J66" s="328" t="e">
        <f t="shared" ref="J66:J124" si="17">I66/B66</f>
        <v>#DIV/0!</v>
      </c>
      <c r="K66" s="453" t="e">
        <f t="shared" ref="K66:K119" si="18">I66/G66</f>
        <v>#DIV/0!</v>
      </c>
      <c r="L66" s="344" t="s">
        <v>102</v>
      </c>
    </row>
    <row r="67" spans="1:12" ht="16.5">
      <c r="A67" s="102">
        <v>46086</v>
      </c>
      <c r="B67" s="327">
        <f t="shared" si="10"/>
        <v>0</v>
      </c>
      <c r="C67" s="373">
        <f t="shared" si="10"/>
        <v>0</v>
      </c>
      <c r="D67" s="327" t="e">
        <f t="shared" si="11"/>
        <v>#DIV/0!</v>
      </c>
      <c r="E67" s="373">
        <f t="shared" si="12"/>
        <v>0</v>
      </c>
      <c r="F67" s="327" t="e">
        <f t="shared" si="13"/>
        <v>#DIV/0!</v>
      </c>
      <c r="G67" s="373">
        <f t="shared" si="14"/>
        <v>0</v>
      </c>
      <c r="H67" s="327" t="e">
        <f t="shared" si="15"/>
        <v>#DIV/0!</v>
      </c>
      <c r="I67" s="373">
        <f t="shared" si="16"/>
        <v>0</v>
      </c>
      <c r="J67" s="328" t="e">
        <f t="shared" si="17"/>
        <v>#DIV/0!</v>
      </c>
      <c r="K67" s="453" t="e">
        <f t="shared" si="18"/>
        <v>#DIV/0!</v>
      </c>
      <c r="L67" s="344" t="s">
        <v>102</v>
      </c>
    </row>
    <row r="68" spans="1:12" ht="16.5">
      <c r="A68" s="341">
        <v>46087</v>
      </c>
      <c r="B68" s="327">
        <f t="shared" si="10"/>
        <v>0</v>
      </c>
      <c r="C68" s="373">
        <f t="shared" si="10"/>
        <v>0</v>
      </c>
      <c r="D68" s="327" t="e">
        <f t="shared" si="11"/>
        <v>#DIV/0!</v>
      </c>
      <c r="E68" s="373">
        <f t="shared" si="12"/>
        <v>0</v>
      </c>
      <c r="F68" s="327" t="e">
        <f t="shared" si="13"/>
        <v>#DIV/0!</v>
      </c>
      <c r="G68" s="373">
        <f t="shared" si="14"/>
        <v>0</v>
      </c>
      <c r="H68" s="327" t="e">
        <f t="shared" si="15"/>
        <v>#DIV/0!</v>
      </c>
      <c r="I68" s="373">
        <f t="shared" si="16"/>
        <v>0</v>
      </c>
      <c r="J68" s="328" t="e">
        <f t="shared" si="17"/>
        <v>#DIV/0!</v>
      </c>
      <c r="K68" s="453" t="e">
        <f t="shared" si="18"/>
        <v>#DIV/0!</v>
      </c>
      <c r="L68" s="344" t="s">
        <v>102</v>
      </c>
    </row>
    <row r="69" spans="1:12" ht="16.5">
      <c r="A69" s="341">
        <v>46088</v>
      </c>
      <c r="B69" s="327">
        <f t="shared" si="10"/>
        <v>0</v>
      </c>
      <c r="C69" s="373">
        <f t="shared" si="10"/>
        <v>0</v>
      </c>
      <c r="D69" s="327" t="e">
        <f t="shared" si="11"/>
        <v>#DIV/0!</v>
      </c>
      <c r="E69" s="373">
        <f t="shared" si="12"/>
        <v>0</v>
      </c>
      <c r="F69" s="327" t="e">
        <f t="shared" si="13"/>
        <v>#DIV/0!</v>
      </c>
      <c r="G69" s="373">
        <f t="shared" si="14"/>
        <v>0</v>
      </c>
      <c r="H69" s="327" t="e">
        <f t="shared" si="15"/>
        <v>#DIV/0!</v>
      </c>
      <c r="I69" s="373">
        <f t="shared" si="16"/>
        <v>0</v>
      </c>
      <c r="J69" s="328" t="e">
        <f t="shared" si="17"/>
        <v>#DIV/0!</v>
      </c>
      <c r="K69" s="453" t="e">
        <f t="shared" si="18"/>
        <v>#DIV/0!</v>
      </c>
      <c r="L69" s="344" t="s">
        <v>102</v>
      </c>
    </row>
    <row r="70" spans="1:12" ht="16.5">
      <c r="A70" s="410">
        <v>46089</v>
      </c>
      <c r="B70" s="327">
        <f t="shared" si="10"/>
        <v>0</v>
      </c>
      <c r="C70" s="373">
        <f t="shared" si="10"/>
        <v>0</v>
      </c>
      <c r="D70" s="327" t="e">
        <f t="shared" si="11"/>
        <v>#DIV/0!</v>
      </c>
      <c r="E70" s="373">
        <f t="shared" si="12"/>
        <v>0</v>
      </c>
      <c r="F70" s="327" t="e">
        <f t="shared" si="13"/>
        <v>#DIV/0!</v>
      </c>
      <c r="G70" s="373">
        <f t="shared" si="14"/>
        <v>0</v>
      </c>
      <c r="H70" s="327" t="e">
        <f t="shared" si="15"/>
        <v>#DIV/0!</v>
      </c>
      <c r="I70" s="373">
        <f t="shared" si="16"/>
        <v>0</v>
      </c>
      <c r="J70" s="328" t="e">
        <f t="shared" si="17"/>
        <v>#DIV/0!</v>
      </c>
      <c r="K70" s="453" t="e">
        <f t="shared" si="18"/>
        <v>#DIV/0!</v>
      </c>
      <c r="L70" s="344" t="s">
        <v>102</v>
      </c>
    </row>
    <row r="71" spans="1:12" ht="16.5">
      <c r="A71" s="410">
        <v>46090</v>
      </c>
      <c r="B71" s="327">
        <f t="shared" si="10"/>
        <v>0</v>
      </c>
      <c r="C71" s="373">
        <f t="shared" si="10"/>
        <v>0</v>
      </c>
      <c r="D71" s="327" t="e">
        <f t="shared" si="11"/>
        <v>#DIV/0!</v>
      </c>
      <c r="E71" s="373">
        <f t="shared" si="12"/>
        <v>0</v>
      </c>
      <c r="F71" s="327" t="e">
        <f t="shared" si="13"/>
        <v>#DIV/0!</v>
      </c>
      <c r="G71" s="373">
        <f t="shared" si="14"/>
        <v>0</v>
      </c>
      <c r="H71" s="327" t="e">
        <f t="shared" si="15"/>
        <v>#DIV/0!</v>
      </c>
      <c r="I71" s="373">
        <f t="shared" si="16"/>
        <v>0</v>
      </c>
      <c r="J71" s="328" t="e">
        <f t="shared" si="17"/>
        <v>#DIV/0!</v>
      </c>
      <c r="K71" s="453" t="e">
        <f t="shared" si="18"/>
        <v>#DIV/0!</v>
      </c>
      <c r="L71" s="344" t="s">
        <v>102</v>
      </c>
    </row>
    <row r="72" spans="1:12" ht="16.5">
      <c r="A72" s="341">
        <v>46091</v>
      </c>
      <c r="B72" s="327">
        <f t="shared" si="10"/>
        <v>0</v>
      </c>
      <c r="C72" s="373">
        <f t="shared" si="10"/>
        <v>0</v>
      </c>
      <c r="D72" s="327" t="e">
        <f t="shared" si="11"/>
        <v>#DIV/0!</v>
      </c>
      <c r="E72" s="373">
        <f t="shared" si="12"/>
        <v>0</v>
      </c>
      <c r="F72" s="327" t="e">
        <f t="shared" si="13"/>
        <v>#DIV/0!</v>
      </c>
      <c r="G72" s="373">
        <f t="shared" si="14"/>
        <v>0</v>
      </c>
      <c r="H72" s="327" t="e">
        <f t="shared" si="15"/>
        <v>#DIV/0!</v>
      </c>
      <c r="I72" s="373">
        <f t="shared" si="16"/>
        <v>0</v>
      </c>
      <c r="J72" s="328" t="e">
        <f t="shared" si="17"/>
        <v>#DIV/0!</v>
      </c>
      <c r="K72" s="453" t="e">
        <f t="shared" si="18"/>
        <v>#DIV/0!</v>
      </c>
      <c r="L72" s="344" t="s">
        <v>102</v>
      </c>
    </row>
    <row r="73" spans="1:12" ht="16.5">
      <c r="A73" s="341">
        <v>46092</v>
      </c>
      <c r="B73" s="327">
        <f t="shared" si="10"/>
        <v>0</v>
      </c>
      <c r="C73" s="373">
        <f t="shared" si="10"/>
        <v>0</v>
      </c>
      <c r="D73" s="327" t="e">
        <f t="shared" si="11"/>
        <v>#DIV/0!</v>
      </c>
      <c r="E73" s="373">
        <f t="shared" si="12"/>
        <v>0</v>
      </c>
      <c r="F73" s="327" t="e">
        <f t="shared" si="13"/>
        <v>#DIV/0!</v>
      </c>
      <c r="G73" s="373">
        <f t="shared" si="14"/>
        <v>0</v>
      </c>
      <c r="H73" s="327" t="e">
        <f t="shared" si="15"/>
        <v>#DIV/0!</v>
      </c>
      <c r="I73" s="373">
        <f t="shared" si="16"/>
        <v>0</v>
      </c>
      <c r="J73" s="328" t="e">
        <f t="shared" si="17"/>
        <v>#DIV/0!</v>
      </c>
      <c r="K73" s="453" t="e">
        <f t="shared" si="18"/>
        <v>#DIV/0!</v>
      </c>
      <c r="L73" s="344" t="s">
        <v>102</v>
      </c>
    </row>
    <row r="74" spans="1:12" ht="16.5">
      <c r="A74" s="341">
        <v>46093</v>
      </c>
      <c r="B74" s="327">
        <f t="shared" si="10"/>
        <v>0</v>
      </c>
      <c r="C74" s="373">
        <f t="shared" si="10"/>
        <v>0</v>
      </c>
      <c r="D74" s="327" t="e">
        <f t="shared" si="11"/>
        <v>#DIV/0!</v>
      </c>
      <c r="E74" s="373">
        <f t="shared" si="12"/>
        <v>0</v>
      </c>
      <c r="F74" s="327" t="e">
        <f t="shared" si="13"/>
        <v>#DIV/0!</v>
      </c>
      <c r="G74" s="373">
        <f t="shared" si="14"/>
        <v>0</v>
      </c>
      <c r="H74" s="327" t="e">
        <f t="shared" si="15"/>
        <v>#DIV/0!</v>
      </c>
      <c r="I74" s="373">
        <f t="shared" si="16"/>
        <v>0</v>
      </c>
      <c r="J74" s="328" t="e">
        <f t="shared" si="17"/>
        <v>#DIV/0!</v>
      </c>
      <c r="K74" s="453" t="e">
        <f t="shared" si="18"/>
        <v>#DIV/0!</v>
      </c>
      <c r="L74" s="344" t="s">
        <v>102</v>
      </c>
    </row>
    <row r="75" spans="1:12" ht="16.5">
      <c r="A75" s="321">
        <v>46094</v>
      </c>
      <c r="B75" s="327">
        <f t="shared" si="10"/>
        <v>0</v>
      </c>
      <c r="C75" s="373">
        <f t="shared" si="10"/>
        <v>0</v>
      </c>
      <c r="D75" s="327" t="e">
        <f t="shared" si="11"/>
        <v>#DIV/0!</v>
      </c>
      <c r="E75" s="373">
        <f t="shared" si="12"/>
        <v>0</v>
      </c>
      <c r="F75" s="327" t="e">
        <f t="shared" si="13"/>
        <v>#DIV/0!</v>
      </c>
      <c r="G75" s="373">
        <f t="shared" si="14"/>
        <v>0</v>
      </c>
      <c r="H75" s="327" t="e">
        <f t="shared" si="15"/>
        <v>#DIV/0!</v>
      </c>
      <c r="I75" s="373">
        <f t="shared" si="16"/>
        <v>0</v>
      </c>
      <c r="J75" s="328" t="e">
        <f t="shared" si="17"/>
        <v>#DIV/0!</v>
      </c>
      <c r="K75" s="453" t="e">
        <f t="shared" si="18"/>
        <v>#DIV/0!</v>
      </c>
      <c r="L75" s="344" t="s">
        <v>102</v>
      </c>
    </row>
    <row r="76" spans="1:12" ht="16.5">
      <c r="A76" s="321">
        <v>46095</v>
      </c>
      <c r="B76" s="327">
        <f t="shared" si="10"/>
        <v>0</v>
      </c>
      <c r="C76" s="373">
        <f t="shared" si="10"/>
        <v>0</v>
      </c>
      <c r="D76" s="327" t="e">
        <f t="shared" si="11"/>
        <v>#DIV/0!</v>
      </c>
      <c r="E76" s="373">
        <f t="shared" si="12"/>
        <v>0</v>
      </c>
      <c r="F76" s="327" t="e">
        <f t="shared" si="13"/>
        <v>#DIV/0!</v>
      </c>
      <c r="G76" s="373">
        <f t="shared" si="14"/>
        <v>0</v>
      </c>
      <c r="H76" s="327" t="e">
        <f t="shared" si="15"/>
        <v>#DIV/0!</v>
      </c>
      <c r="I76" s="373">
        <f t="shared" si="16"/>
        <v>0</v>
      </c>
      <c r="J76" s="328" t="e">
        <f t="shared" si="17"/>
        <v>#DIV/0!</v>
      </c>
      <c r="K76" s="453" t="e">
        <f t="shared" si="18"/>
        <v>#DIV/0!</v>
      </c>
      <c r="L76" s="344" t="s">
        <v>102</v>
      </c>
    </row>
    <row r="77" spans="1:12" ht="16.5">
      <c r="A77" s="321">
        <v>46096</v>
      </c>
      <c r="B77" s="327">
        <f t="shared" si="10"/>
        <v>0</v>
      </c>
      <c r="C77" s="373">
        <f t="shared" si="10"/>
        <v>0</v>
      </c>
      <c r="D77" s="327" t="e">
        <f t="shared" si="11"/>
        <v>#DIV/0!</v>
      </c>
      <c r="E77" s="373">
        <f t="shared" si="12"/>
        <v>0</v>
      </c>
      <c r="F77" s="327" t="e">
        <f t="shared" si="13"/>
        <v>#DIV/0!</v>
      </c>
      <c r="G77" s="373">
        <f t="shared" si="14"/>
        <v>0</v>
      </c>
      <c r="H77" s="327" t="e">
        <f t="shared" si="15"/>
        <v>#DIV/0!</v>
      </c>
      <c r="I77" s="373">
        <f t="shared" si="16"/>
        <v>0</v>
      </c>
      <c r="J77" s="328" t="e">
        <f t="shared" si="17"/>
        <v>#DIV/0!</v>
      </c>
      <c r="K77" s="453" t="e">
        <f t="shared" si="18"/>
        <v>#DIV/0!</v>
      </c>
      <c r="L77" s="344" t="s">
        <v>102</v>
      </c>
    </row>
    <row r="78" spans="1:12" ht="16.5">
      <c r="A78" s="321">
        <v>46097</v>
      </c>
      <c r="B78" s="327">
        <f t="shared" si="10"/>
        <v>0</v>
      </c>
      <c r="C78" s="373">
        <f t="shared" si="10"/>
        <v>0</v>
      </c>
      <c r="D78" s="327" t="e">
        <f t="shared" si="11"/>
        <v>#DIV/0!</v>
      </c>
      <c r="E78" s="373">
        <f t="shared" si="12"/>
        <v>0</v>
      </c>
      <c r="F78" s="327" t="e">
        <f t="shared" si="13"/>
        <v>#DIV/0!</v>
      </c>
      <c r="G78" s="373">
        <f t="shared" si="14"/>
        <v>0</v>
      </c>
      <c r="H78" s="327" t="e">
        <f t="shared" si="15"/>
        <v>#DIV/0!</v>
      </c>
      <c r="I78" s="373">
        <f t="shared" si="16"/>
        <v>0</v>
      </c>
      <c r="J78" s="328" t="e">
        <f t="shared" si="17"/>
        <v>#DIV/0!</v>
      </c>
      <c r="K78" s="453" t="e">
        <f t="shared" si="18"/>
        <v>#DIV/0!</v>
      </c>
      <c r="L78" s="344" t="s">
        <v>102</v>
      </c>
    </row>
    <row r="79" spans="1:12" ht="16.5">
      <c r="A79" s="321">
        <v>46098</v>
      </c>
      <c r="B79" s="327">
        <f t="shared" si="10"/>
        <v>0</v>
      </c>
      <c r="C79" s="373">
        <f t="shared" si="10"/>
        <v>0</v>
      </c>
      <c r="D79" s="327" t="e">
        <f t="shared" si="11"/>
        <v>#DIV/0!</v>
      </c>
      <c r="E79" s="373">
        <f t="shared" si="12"/>
        <v>0</v>
      </c>
      <c r="F79" s="327" t="e">
        <f t="shared" si="13"/>
        <v>#DIV/0!</v>
      </c>
      <c r="G79" s="373">
        <f t="shared" si="14"/>
        <v>0</v>
      </c>
      <c r="H79" s="327" t="e">
        <f t="shared" si="15"/>
        <v>#DIV/0!</v>
      </c>
      <c r="I79" s="373">
        <f t="shared" si="16"/>
        <v>0</v>
      </c>
      <c r="J79" s="328" t="e">
        <f t="shared" si="17"/>
        <v>#DIV/0!</v>
      </c>
      <c r="K79" s="453" t="e">
        <f t="shared" si="18"/>
        <v>#DIV/0!</v>
      </c>
      <c r="L79" s="344" t="s">
        <v>102</v>
      </c>
    </row>
    <row r="80" spans="1:12" ht="17.25" thickBot="1">
      <c r="A80" s="321">
        <v>46099</v>
      </c>
      <c r="B80" s="346">
        <f t="shared" si="10"/>
        <v>0</v>
      </c>
      <c r="C80" s="375">
        <f t="shared" si="10"/>
        <v>0</v>
      </c>
      <c r="D80" s="346" t="e">
        <f t="shared" si="11"/>
        <v>#DIV/0!</v>
      </c>
      <c r="E80" s="375">
        <f t="shared" si="12"/>
        <v>0</v>
      </c>
      <c r="F80" s="346" t="e">
        <f t="shared" si="13"/>
        <v>#DIV/0!</v>
      </c>
      <c r="G80" s="375">
        <f t="shared" si="14"/>
        <v>0</v>
      </c>
      <c r="H80" s="346" t="e">
        <f t="shared" si="15"/>
        <v>#DIV/0!</v>
      </c>
      <c r="I80" s="375">
        <f t="shared" si="16"/>
        <v>0</v>
      </c>
      <c r="J80" s="347" t="e">
        <f t="shared" si="17"/>
        <v>#DIV/0!</v>
      </c>
      <c r="K80" s="235" t="e">
        <f t="shared" si="18"/>
        <v>#DIV/0!</v>
      </c>
      <c r="L80" s="348" t="s">
        <v>102</v>
      </c>
    </row>
    <row r="81" spans="1:12" ht="16.5">
      <c r="A81" s="412">
        <v>46100</v>
      </c>
      <c r="B81" s="218">
        <f t="shared" si="10"/>
        <v>0</v>
      </c>
      <c r="C81" s="435">
        <f t="shared" si="10"/>
        <v>0</v>
      </c>
      <c r="D81" s="218" t="e">
        <f t="shared" si="11"/>
        <v>#DIV/0!</v>
      </c>
      <c r="E81" s="435">
        <f t="shared" si="12"/>
        <v>0</v>
      </c>
      <c r="F81" s="218" t="e">
        <f t="shared" si="13"/>
        <v>#DIV/0!</v>
      </c>
      <c r="G81" s="435">
        <f t="shared" si="14"/>
        <v>0</v>
      </c>
      <c r="H81" s="218" t="e">
        <f t="shared" si="15"/>
        <v>#DIV/0!</v>
      </c>
      <c r="I81" s="435">
        <f t="shared" si="16"/>
        <v>0</v>
      </c>
      <c r="J81" s="436" t="e">
        <f t="shared" si="17"/>
        <v>#DIV/0!</v>
      </c>
      <c r="K81" s="219" t="e">
        <f t="shared" si="18"/>
        <v>#DIV/0!</v>
      </c>
      <c r="L81" s="437" t="s">
        <v>102</v>
      </c>
    </row>
    <row r="82" spans="1:12" ht="16.5">
      <c r="A82" s="325">
        <v>46101</v>
      </c>
      <c r="B82" s="327">
        <f t="shared" si="10"/>
        <v>0</v>
      </c>
      <c r="C82" s="373">
        <f t="shared" si="10"/>
        <v>0</v>
      </c>
      <c r="D82" s="327" t="e">
        <f t="shared" si="11"/>
        <v>#DIV/0!</v>
      </c>
      <c r="E82" s="373">
        <f t="shared" si="12"/>
        <v>0</v>
      </c>
      <c r="F82" s="327" t="e">
        <f t="shared" si="13"/>
        <v>#DIV/0!</v>
      </c>
      <c r="G82" s="373">
        <f t="shared" si="14"/>
        <v>0</v>
      </c>
      <c r="H82" s="327" t="e">
        <f t="shared" si="15"/>
        <v>#DIV/0!</v>
      </c>
      <c r="I82" s="373">
        <f t="shared" si="16"/>
        <v>0</v>
      </c>
      <c r="J82" s="328" t="e">
        <f t="shared" si="17"/>
        <v>#DIV/0!</v>
      </c>
      <c r="K82" s="453" t="e">
        <f t="shared" si="18"/>
        <v>#DIV/0!</v>
      </c>
      <c r="L82" s="344" t="s">
        <v>102</v>
      </c>
    </row>
    <row r="83" spans="1:12" ht="16.5">
      <c r="A83" s="325">
        <v>46102</v>
      </c>
      <c r="B83" s="327">
        <f t="shared" si="10"/>
        <v>0</v>
      </c>
      <c r="C83" s="373">
        <f t="shared" si="10"/>
        <v>0</v>
      </c>
      <c r="D83" s="327" t="e">
        <f t="shared" si="11"/>
        <v>#DIV/0!</v>
      </c>
      <c r="E83" s="373">
        <f t="shared" si="12"/>
        <v>0</v>
      </c>
      <c r="F83" s="327" t="e">
        <f t="shared" si="13"/>
        <v>#DIV/0!</v>
      </c>
      <c r="G83" s="373">
        <f t="shared" si="14"/>
        <v>0</v>
      </c>
      <c r="H83" s="327" t="e">
        <f t="shared" si="15"/>
        <v>#DIV/0!</v>
      </c>
      <c r="I83" s="373">
        <f t="shared" si="16"/>
        <v>0</v>
      </c>
      <c r="J83" s="328" t="e">
        <f t="shared" si="17"/>
        <v>#DIV/0!</v>
      </c>
      <c r="K83" s="453" t="e">
        <f t="shared" si="18"/>
        <v>#DIV/0!</v>
      </c>
      <c r="L83" s="344" t="s">
        <v>102</v>
      </c>
    </row>
    <row r="84" spans="1:12" ht="16.5">
      <c r="A84" s="325">
        <v>46103</v>
      </c>
      <c r="B84" s="327">
        <f t="shared" si="10"/>
        <v>0</v>
      </c>
      <c r="C84" s="373">
        <f t="shared" si="10"/>
        <v>0</v>
      </c>
      <c r="D84" s="327" t="e">
        <f t="shared" si="11"/>
        <v>#DIV/0!</v>
      </c>
      <c r="E84" s="373">
        <f t="shared" si="12"/>
        <v>0</v>
      </c>
      <c r="F84" s="327" t="e">
        <f t="shared" si="13"/>
        <v>#DIV/0!</v>
      </c>
      <c r="G84" s="373">
        <f t="shared" si="14"/>
        <v>0</v>
      </c>
      <c r="H84" s="327" t="e">
        <f t="shared" si="15"/>
        <v>#DIV/0!</v>
      </c>
      <c r="I84" s="373">
        <f t="shared" si="16"/>
        <v>0</v>
      </c>
      <c r="J84" s="328" t="e">
        <f t="shared" si="17"/>
        <v>#DIV/0!</v>
      </c>
      <c r="K84" s="453" t="e">
        <f t="shared" si="18"/>
        <v>#DIV/0!</v>
      </c>
      <c r="L84" s="344" t="s">
        <v>102</v>
      </c>
    </row>
    <row r="85" spans="1:12" ht="16.5">
      <c r="A85" s="322">
        <v>46104</v>
      </c>
      <c r="B85" s="327">
        <f t="shared" si="10"/>
        <v>0</v>
      </c>
      <c r="C85" s="373">
        <f t="shared" si="10"/>
        <v>0</v>
      </c>
      <c r="D85" s="327" t="e">
        <f t="shared" si="11"/>
        <v>#DIV/0!</v>
      </c>
      <c r="E85" s="373">
        <f t="shared" si="12"/>
        <v>0</v>
      </c>
      <c r="F85" s="327" t="e">
        <f t="shared" si="13"/>
        <v>#DIV/0!</v>
      </c>
      <c r="G85" s="373">
        <f t="shared" si="14"/>
        <v>0</v>
      </c>
      <c r="H85" s="327" t="e">
        <f t="shared" si="15"/>
        <v>#DIV/0!</v>
      </c>
      <c r="I85" s="373">
        <f t="shared" si="16"/>
        <v>0</v>
      </c>
      <c r="J85" s="328" t="e">
        <f t="shared" si="17"/>
        <v>#DIV/0!</v>
      </c>
      <c r="K85" s="453" t="e">
        <f t="shared" si="18"/>
        <v>#DIV/0!</v>
      </c>
      <c r="L85" s="344" t="s">
        <v>102</v>
      </c>
    </row>
    <row r="86" spans="1:12" ht="16.5">
      <c r="A86" s="321">
        <v>46105</v>
      </c>
      <c r="B86" s="327">
        <f t="shared" si="10"/>
        <v>0</v>
      </c>
      <c r="C86" s="373">
        <f t="shared" si="10"/>
        <v>0</v>
      </c>
      <c r="D86" s="327" t="e">
        <f t="shared" si="11"/>
        <v>#DIV/0!</v>
      </c>
      <c r="E86" s="373">
        <f t="shared" si="12"/>
        <v>0</v>
      </c>
      <c r="F86" s="327" t="e">
        <f t="shared" si="13"/>
        <v>#DIV/0!</v>
      </c>
      <c r="G86" s="373">
        <f t="shared" si="14"/>
        <v>0</v>
      </c>
      <c r="H86" s="327" t="e">
        <f t="shared" si="15"/>
        <v>#DIV/0!</v>
      </c>
      <c r="I86" s="373">
        <f t="shared" si="16"/>
        <v>0</v>
      </c>
      <c r="J86" s="328" t="e">
        <f t="shared" si="17"/>
        <v>#DIV/0!</v>
      </c>
      <c r="K86" s="453" t="e">
        <f t="shared" si="18"/>
        <v>#DIV/0!</v>
      </c>
      <c r="L86" s="344" t="s">
        <v>102</v>
      </c>
    </row>
    <row r="87" spans="1:12" ht="16.5">
      <c r="A87" s="321">
        <v>46106</v>
      </c>
      <c r="B87" s="327">
        <f t="shared" si="10"/>
        <v>0</v>
      </c>
      <c r="C87" s="373">
        <f t="shared" si="10"/>
        <v>0</v>
      </c>
      <c r="D87" s="327" t="e">
        <f t="shared" si="11"/>
        <v>#DIV/0!</v>
      </c>
      <c r="E87" s="373">
        <f t="shared" si="12"/>
        <v>0</v>
      </c>
      <c r="F87" s="327" t="e">
        <f t="shared" si="13"/>
        <v>#DIV/0!</v>
      </c>
      <c r="G87" s="373">
        <f t="shared" si="14"/>
        <v>0</v>
      </c>
      <c r="H87" s="327" t="e">
        <f t="shared" si="15"/>
        <v>#DIV/0!</v>
      </c>
      <c r="I87" s="373">
        <f t="shared" si="16"/>
        <v>0</v>
      </c>
      <c r="J87" s="328" t="e">
        <f t="shared" si="17"/>
        <v>#DIV/0!</v>
      </c>
      <c r="K87" s="453" t="e">
        <f t="shared" si="18"/>
        <v>#DIV/0!</v>
      </c>
      <c r="L87" s="344" t="s">
        <v>102</v>
      </c>
    </row>
    <row r="88" spans="1:12" ht="16.5">
      <c r="A88" s="325">
        <v>46107</v>
      </c>
      <c r="B88" s="327">
        <f t="shared" si="10"/>
        <v>0</v>
      </c>
      <c r="C88" s="373">
        <f t="shared" si="10"/>
        <v>0</v>
      </c>
      <c r="D88" s="327" t="e">
        <f t="shared" si="11"/>
        <v>#DIV/0!</v>
      </c>
      <c r="E88" s="373">
        <f t="shared" si="12"/>
        <v>0</v>
      </c>
      <c r="F88" s="327" t="e">
        <f t="shared" si="13"/>
        <v>#DIV/0!</v>
      </c>
      <c r="G88" s="373">
        <f t="shared" si="14"/>
        <v>0</v>
      </c>
      <c r="H88" s="327" t="e">
        <f t="shared" si="15"/>
        <v>#DIV/0!</v>
      </c>
      <c r="I88" s="373">
        <f t="shared" si="16"/>
        <v>0</v>
      </c>
      <c r="J88" s="328" t="e">
        <f t="shared" si="17"/>
        <v>#DIV/0!</v>
      </c>
      <c r="K88" s="453" t="e">
        <f t="shared" si="18"/>
        <v>#DIV/0!</v>
      </c>
      <c r="L88" s="344" t="s">
        <v>102</v>
      </c>
    </row>
    <row r="89" spans="1:12" ht="16.5">
      <c r="A89" s="325">
        <v>46108</v>
      </c>
      <c r="B89" s="327">
        <f t="shared" si="10"/>
        <v>0</v>
      </c>
      <c r="C89" s="373">
        <f t="shared" si="10"/>
        <v>0</v>
      </c>
      <c r="D89" s="327" t="e">
        <f t="shared" si="11"/>
        <v>#DIV/0!</v>
      </c>
      <c r="E89" s="373">
        <f t="shared" si="12"/>
        <v>0</v>
      </c>
      <c r="F89" s="327" t="e">
        <f t="shared" si="13"/>
        <v>#DIV/0!</v>
      </c>
      <c r="G89" s="373">
        <f t="shared" si="14"/>
        <v>0</v>
      </c>
      <c r="H89" s="327" t="e">
        <f t="shared" si="15"/>
        <v>#DIV/0!</v>
      </c>
      <c r="I89" s="373">
        <f t="shared" si="16"/>
        <v>0</v>
      </c>
      <c r="J89" s="328" t="e">
        <f t="shared" si="17"/>
        <v>#DIV/0!</v>
      </c>
      <c r="K89" s="453" t="e">
        <f t="shared" si="18"/>
        <v>#DIV/0!</v>
      </c>
      <c r="L89" s="344" t="s">
        <v>102</v>
      </c>
    </row>
    <row r="90" spans="1:12" ht="16.5">
      <c r="A90" s="325">
        <v>46109</v>
      </c>
      <c r="B90" s="327">
        <f t="shared" si="10"/>
        <v>0</v>
      </c>
      <c r="C90" s="373">
        <f t="shared" si="10"/>
        <v>0</v>
      </c>
      <c r="D90" s="327" t="e">
        <f t="shared" si="11"/>
        <v>#DIV/0!</v>
      </c>
      <c r="E90" s="373">
        <f t="shared" si="12"/>
        <v>0</v>
      </c>
      <c r="F90" s="327" t="e">
        <f t="shared" si="13"/>
        <v>#DIV/0!</v>
      </c>
      <c r="G90" s="373">
        <f t="shared" si="14"/>
        <v>0</v>
      </c>
      <c r="H90" s="327" t="e">
        <f t="shared" si="15"/>
        <v>#DIV/0!</v>
      </c>
      <c r="I90" s="373">
        <f t="shared" si="16"/>
        <v>0</v>
      </c>
      <c r="J90" s="328" t="e">
        <f t="shared" si="17"/>
        <v>#DIV/0!</v>
      </c>
      <c r="K90" s="453" t="e">
        <f t="shared" si="18"/>
        <v>#DIV/0!</v>
      </c>
      <c r="L90" s="344" t="s">
        <v>102</v>
      </c>
    </row>
    <row r="91" spans="1:12" ht="16.5">
      <c r="A91" s="322">
        <v>46110</v>
      </c>
      <c r="B91" s="327">
        <f t="shared" si="10"/>
        <v>0</v>
      </c>
      <c r="C91" s="373">
        <f t="shared" si="10"/>
        <v>0</v>
      </c>
      <c r="D91" s="327" t="e">
        <f t="shared" si="11"/>
        <v>#DIV/0!</v>
      </c>
      <c r="E91" s="373">
        <f t="shared" si="12"/>
        <v>0</v>
      </c>
      <c r="F91" s="327" t="e">
        <f t="shared" si="13"/>
        <v>#DIV/0!</v>
      </c>
      <c r="G91" s="373">
        <f t="shared" si="14"/>
        <v>0</v>
      </c>
      <c r="H91" s="327" t="e">
        <f t="shared" si="15"/>
        <v>#DIV/0!</v>
      </c>
      <c r="I91" s="373">
        <f t="shared" si="16"/>
        <v>0</v>
      </c>
      <c r="J91" s="328" t="e">
        <f t="shared" si="17"/>
        <v>#DIV/0!</v>
      </c>
      <c r="K91" s="453" t="e">
        <f t="shared" si="18"/>
        <v>#DIV/0!</v>
      </c>
      <c r="L91" s="344" t="s">
        <v>102</v>
      </c>
    </row>
    <row r="92" spans="1:12" ht="16.5">
      <c r="A92" s="322">
        <v>46111</v>
      </c>
      <c r="B92" s="327">
        <f t="shared" si="10"/>
        <v>0</v>
      </c>
      <c r="C92" s="373">
        <f t="shared" si="10"/>
        <v>0</v>
      </c>
      <c r="D92" s="327" t="e">
        <f t="shared" si="11"/>
        <v>#DIV/0!</v>
      </c>
      <c r="E92" s="373">
        <f t="shared" si="12"/>
        <v>0</v>
      </c>
      <c r="F92" s="327" t="e">
        <f t="shared" si="13"/>
        <v>#DIV/0!</v>
      </c>
      <c r="G92" s="373">
        <f t="shared" si="14"/>
        <v>0</v>
      </c>
      <c r="H92" s="327" t="e">
        <f t="shared" si="15"/>
        <v>#DIV/0!</v>
      </c>
      <c r="I92" s="373">
        <f t="shared" si="16"/>
        <v>0</v>
      </c>
      <c r="J92" s="328" t="e">
        <f t="shared" si="17"/>
        <v>#DIV/0!</v>
      </c>
      <c r="K92" s="453" t="e">
        <f t="shared" si="18"/>
        <v>#DIV/0!</v>
      </c>
      <c r="L92" s="344" t="s">
        <v>102</v>
      </c>
    </row>
    <row r="93" spans="1:12" ht="16.5">
      <c r="A93" s="322">
        <v>46112</v>
      </c>
      <c r="B93" s="327">
        <f t="shared" si="10"/>
        <v>0</v>
      </c>
      <c r="C93" s="373">
        <f t="shared" si="10"/>
        <v>0</v>
      </c>
      <c r="D93" s="327" t="e">
        <f t="shared" si="11"/>
        <v>#DIV/0!</v>
      </c>
      <c r="E93" s="373">
        <f t="shared" si="12"/>
        <v>0</v>
      </c>
      <c r="F93" s="327" t="e">
        <f t="shared" si="13"/>
        <v>#DIV/0!</v>
      </c>
      <c r="G93" s="373">
        <f t="shared" si="14"/>
        <v>0</v>
      </c>
      <c r="H93" s="327" t="e">
        <f t="shared" si="15"/>
        <v>#DIV/0!</v>
      </c>
      <c r="I93" s="373">
        <f t="shared" si="16"/>
        <v>0</v>
      </c>
      <c r="J93" s="328" t="e">
        <f t="shared" si="17"/>
        <v>#DIV/0!</v>
      </c>
      <c r="K93" s="453" t="e">
        <f t="shared" si="18"/>
        <v>#DIV/0!</v>
      </c>
      <c r="L93" s="344" t="s">
        <v>102</v>
      </c>
    </row>
    <row r="94" spans="1:12" ht="16.5">
      <c r="A94" s="321">
        <v>46113</v>
      </c>
      <c r="B94" s="327">
        <f t="shared" si="10"/>
        <v>0</v>
      </c>
      <c r="C94" s="373">
        <f t="shared" si="10"/>
        <v>0</v>
      </c>
      <c r="D94" s="327" t="e">
        <f t="shared" si="11"/>
        <v>#DIV/0!</v>
      </c>
      <c r="E94" s="373">
        <f t="shared" si="12"/>
        <v>0</v>
      </c>
      <c r="F94" s="327" t="e">
        <f t="shared" si="13"/>
        <v>#DIV/0!</v>
      </c>
      <c r="G94" s="373">
        <f t="shared" si="14"/>
        <v>0</v>
      </c>
      <c r="H94" s="327" t="e">
        <f t="shared" si="15"/>
        <v>#DIV/0!</v>
      </c>
      <c r="I94" s="373">
        <f t="shared" si="16"/>
        <v>0</v>
      </c>
      <c r="J94" s="328" t="e">
        <f t="shared" si="17"/>
        <v>#DIV/0!</v>
      </c>
      <c r="K94" s="453" t="e">
        <f t="shared" si="18"/>
        <v>#DIV/0!</v>
      </c>
      <c r="L94" s="344" t="s">
        <v>102</v>
      </c>
    </row>
    <row r="95" spans="1:12" ht="16.5">
      <c r="A95" s="321">
        <v>46114</v>
      </c>
      <c r="B95" s="327">
        <f t="shared" si="10"/>
        <v>0</v>
      </c>
      <c r="C95" s="373">
        <f t="shared" si="10"/>
        <v>0</v>
      </c>
      <c r="D95" s="327" t="e">
        <f t="shared" si="11"/>
        <v>#DIV/0!</v>
      </c>
      <c r="E95" s="373">
        <f t="shared" si="12"/>
        <v>0</v>
      </c>
      <c r="F95" s="327" t="e">
        <f t="shared" si="13"/>
        <v>#DIV/0!</v>
      </c>
      <c r="G95" s="373">
        <f t="shared" si="14"/>
        <v>0</v>
      </c>
      <c r="H95" s="327" t="e">
        <f t="shared" si="15"/>
        <v>#DIV/0!</v>
      </c>
      <c r="I95" s="373">
        <f t="shared" si="16"/>
        <v>0</v>
      </c>
      <c r="J95" s="328" t="e">
        <f t="shared" si="17"/>
        <v>#DIV/0!</v>
      </c>
      <c r="K95" s="453" t="e">
        <f t="shared" si="18"/>
        <v>#DIV/0!</v>
      </c>
      <c r="L95" s="344" t="s">
        <v>102</v>
      </c>
    </row>
    <row r="96" spans="1:12" ht="16.5">
      <c r="A96" s="322">
        <v>46115</v>
      </c>
      <c r="B96" s="327">
        <f t="shared" si="10"/>
        <v>0</v>
      </c>
      <c r="C96" s="373">
        <f t="shared" si="10"/>
        <v>0</v>
      </c>
      <c r="D96" s="327" t="e">
        <f t="shared" si="11"/>
        <v>#DIV/0!</v>
      </c>
      <c r="E96" s="373">
        <f t="shared" si="12"/>
        <v>0</v>
      </c>
      <c r="F96" s="327" t="e">
        <f t="shared" si="13"/>
        <v>#DIV/0!</v>
      </c>
      <c r="G96" s="373">
        <f t="shared" si="14"/>
        <v>0</v>
      </c>
      <c r="H96" s="327" t="e">
        <f t="shared" si="15"/>
        <v>#DIV/0!</v>
      </c>
      <c r="I96" s="373">
        <f t="shared" si="16"/>
        <v>0</v>
      </c>
      <c r="J96" s="328" t="e">
        <f t="shared" si="17"/>
        <v>#DIV/0!</v>
      </c>
      <c r="K96" s="453" t="e">
        <f t="shared" si="18"/>
        <v>#DIV/0!</v>
      </c>
      <c r="L96" s="344" t="s">
        <v>102</v>
      </c>
    </row>
    <row r="97" spans="1:12" ht="16.5">
      <c r="A97" s="325">
        <v>46116</v>
      </c>
      <c r="B97" s="327">
        <f t="shared" si="10"/>
        <v>0</v>
      </c>
      <c r="C97" s="373">
        <f t="shared" si="10"/>
        <v>0</v>
      </c>
      <c r="D97" s="327" t="e">
        <f t="shared" si="11"/>
        <v>#DIV/0!</v>
      </c>
      <c r="E97" s="373">
        <f t="shared" si="12"/>
        <v>0</v>
      </c>
      <c r="F97" s="327" t="e">
        <f t="shared" si="13"/>
        <v>#DIV/0!</v>
      </c>
      <c r="G97" s="373">
        <f t="shared" si="14"/>
        <v>0</v>
      </c>
      <c r="H97" s="327" t="e">
        <f t="shared" si="15"/>
        <v>#DIV/0!</v>
      </c>
      <c r="I97" s="373">
        <f t="shared" si="16"/>
        <v>0</v>
      </c>
      <c r="J97" s="328" t="e">
        <f t="shared" si="17"/>
        <v>#DIV/0!</v>
      </c>
      <c r="K97" s="453" t="e">
        <f t="shared" si="18"/>
        <v>#DIV/0!</v>
      </c>
      <c r="L97" s="344" t="s">
        <v>102</v>
      </c>
    </row>
    <row r="98" spans="1:12" ht="16.5">
      <c r="A98" s="325">
        <v>46117</v>
      </c>
      <c r="B98" s="327">
        <f t="shared" ref="B98:C119" si="19">P98+AD98</f>
        <v>0</v>
      </c>
      <c r="C98" s="373">
        <f t="shared" si="19"/>
        <v>0</v>
      </c>
      <c r="D98" s="327" t="e">
        <f t="shared" si="11"/>
        <v>#DIV/0!</v>
      </c>
      <c r="E98" s="373">
        <f t="shared" si="12"/>
        <v>0</v>
      </c>
      <c r="F98" s="327" t="e">
        <f t="shared" si="13"/>
        <v>#DIV/0!</v>
      </c>
      <c r="G98" s="373">
        <f t="shared" si="14"/>
        <v>0</v>
      </c>
      <c r="H98" s="327" t="e">
        <f t="shared" si="15"/>
        <v>#DIV/0!</v>
      </c>
      <c r="I98" s="373">
        <f t="shared" si="16"/>
        <v>0</v>
      </c>
      <c r="J98" s="328" t="e">
        <f t="shared" si="17"/>
        <v>#DIV/0!</v>
      </c>
      <c r="K98" s="453" t="e">
        <f t="shared" si="18"/>
        <v>#DIV/0!</v>
      </c>
      <c r="L98" s="344" t="s">
        <v>102</v>
      </c>
    </row>
    <row r="99" spans="1:12" ht="16.5">
      <c r="A99" s="325">
        <v>46118</v>
      </c>
      <c r="B99" s="327">
        <f t="shared" si="19"/>
        <v>0</v>
      </c>
      <c r="C99" s="373">
        <f t="shared" si="19"/>
        <v>0</v>
      </c>
      <c r="D99" s="327" t="e">
        <f t="shared" si="11"/>
        <v>#DIV/0!</v>
      </c>
      <c r="E99" s="373">
        <f t="shared" si="12"/>
        <v>0</v>
      </c>
      <c r="F99" s="327" t="e">
        <f t="shared" si="13"/>
        <v>#DIV/0!</v>
      </c>
      <c r="G99" s="373">
        <f t="shared" si="14"/>
        <v>0</v>
      </c>
      <c r="H99" s="327" t="e">
        <f t="shared" si="15"/>
        <v>#DIV/0!</v>
      </c>
      <c r="I99" s="373">
        <f t="shared" si="16"/>
        <v>0</v>
      </c>
      <c r="J99" s="328" t="e">
        <f t="shared" si="17"/>
        <v>#DIV/0!</v>
      </c>
      <c r="K99" s="453" t="e">
        <f t="shared" si="18"/>
        <v>#DIV/0!</v>
      </c>
      <c r="L99" s="344" t="s">
        <v>102</v>
      </c>
    </row>
    <row r="100" spans="1:12" ht="16.5">
      <c r="A100" s="322">
        <v>46119</v>
      </c>
      <c r="B100" s="327">
        <f t="shared" si="19"/>
        <v>0</v>
      </c>
      <c r="C100" s="373">
        <f t="shared" si="19"/>
        <v>0</v>
      </c>
      <c r="D100" s="327" t="e">
        <f t="shared" si="11"/>
        <v>#DIV/0!</v>
      </c>
      <c r="E100" s="373">
        <f t="shared" si="12"/>
        <v>0</v>
      </c>
      <c r="F100" s="327" t="e">
        <f t="shared" si="13"/>
        <v>#DIV/0!</v>
      </c>
      <c r="G100" s="373">
        <f t="shared" si="14"/>
        <v>0</v>
      </c>
      <c r="H100" s="327" t="e">
        <f t="shared" si="15"/>
        <v>#DIV/0!</v>
      </c>
      <c r="I100" s="373">
        <f t="shared" si="16"/>
        <v>0</v>
      </c>
      <c r="J100" s="328" t="e">
        <f t="shared" si="17"/>
        <v>#DIV/0!</v>
      </c>
      <c r="K100" s="453" t="e">
        <f t="shared" si="18"/>
        <v>#DIV/0!</v>
      </c>
      <c r="L100" s="344" t="s">
        <v>102</v>
      </c>
    </row>
    <row r="101" spans="1:12" ht="16.5">
      <c r="A101" s="322">
        <v>46120</v>
      </c>
      <c r="B101" s="327">
        <f t="shared" si="19"/>
        <v>0</v>
      </c>
      <c r="C101" s="373">
        <f t="shared" si="19"/>
        <v>0</v>
      </c>
      <c r="D101" s="327" t="e">
        <f t="shared" si="11"/>
        <v>#DIV/0!</v>
      </c>
      <c r="E101" s="373">
        <f t="shared" si="12"/>
        <v>0</v>
      </c>
      <c r="F101" s="327" t="e">
        <f t="shared" si="13"/>
        <v>#DIV/0!</v>
      </c>
      <c r="G101" s="373">
        <f t="shared" si="14"/>
        <v>0</v>
      </c>
      <c r="H101" s="327" t="e">
        <f t="shared" si="15"/>
        <v>#DIV/0!</v>
      </c>
      <c r="I101" s="373">
        <f t="shared" si="16"/>
        <v>0</v>
      </c>
      <c r="J101" s="328" t="e">
        <f t="shared" si="17"/>
        <v>#DIV/0!</v>
      </c>
      <c r="K101" s="453" t="e">
        <f t="shared" si="18"/>
        <v>#DIV/0!</v>
      </c>
      <c r="L101" s="344" t="s">
        <v>102</v>
      </c>
    </row>
    <row r="102" spans="1:12" ht="17.25" thickBot="1">
      <c r="A102" s="322">
        <v>46121</v>
      </c>
      <c r="B102" s="346">
        <f t="shared" si="19"/>
        <v>0</v>
      </c>
      <c r="C102" s="375">
        <f t="shared" si="19"/>
        <v>0</v>
      </c>
      <c r="D102" s="346" t="e">
        <f t="shared" si="11"/>
        <v>#DIV/0!</v>
      </c>
      <c r="E102" s="375">
        <f t="shared" si="12"/>
        <v>0</v>
      </c>
      <c r="F102" s="346" t="e">
        <f t="shared" si="13"/>
        <v>#DIV/0!</v>
      </c>
      <c r="G102" s="375">
        <f t="shared" si="14"/>
        <v>0</v>
      </c>
      <c r="H102" s="346" t="e">
        <f t="shared" si="15"/>
        <v>#DIV/0!</v>
      </c>
      <c r="I102" s="375">
        <f t="shared" si="16"/>
        <v>0</v>
      </c>
      <c r="J102" s="347" t="e">
        <f t="shared" si="17"/>
        <v>#DIV/0!</v>
      </c>
      <c r="K102" s="235" t="e">
        <f t="shared" si="18"/>
        <v>#DIV/0!</v>
      </c>
      <c r="L102" s="348" t="s">
        <v>102</v>
      </c>
    </row>
    <row r="103" spans="1:12" ht="16.5">
      <c r="A103" s="471">
        <v>46122</v>
      </c>
      <c r="B103" s="218">
        <f t="shared" si="19"/>
        <v>0</v>
      </c>
      <c r="C103" s="435">
        <f t="shared" si="19"/>
        <v>0</v>
      </c>
      <c r="D103" s="218" t="e">
        <f t="shared" si="11"/>
        <v>#DIV/0!</v>
      </c>
      <c r="E103" s="435">
        <f t="shared" si="12"/>
        <v>0</v>
      </c>
      <c r="F103" s="218" t="e">
        <f t="shared" si="13"/>
        <v>#DIV/0!</v>
      </c>
      <c r="G103" s="435">
        <f t="shared" si="14"/>
        <v>0</v>
      </c>
      <c r="H103" s="218" t="e">
        <f t="shared" si="15"/>
        <v>#DIV/0!</v>
      </c>
      <c r="I103" s="435">
        <f t="shared" si="16"/>
        <v>0</v>
      </c>
      <c r="J103" s="436" t="e">
        <f t="shared" si="17"/>
        <v>#DIV/0!</v>
      </c>
      <c r="K103" s="219" t="e">
        <f t="shared" si="18"/>
        <v>#DIV/0!</v>
      </c>
      <c r="L103" s="437" t="s">
        <v>102</v>
      </c>
    </row>
    <row r="104" spans="1:12" ht="16.5">
      <c r="A104" s="325">
        <v>46123</v>
      </c>
      <c r="B104" s="327">
        <f t="shared" si="19"/>
        <v>0</v>
      </c>
      <c r="C104" s="373">
        <f t="shared" si="19"/>
        <v>0</v>
      </c>
      <c r="D104" s="327" t="e">
        <f t="shared" si="11"/>
        <v>#DIV/0!</v>
      </c>
      <c r="E104" s="373">
        <f t="shared" si="12"/>
        <v>0</v>
      </c>
      <c r="F104" s="327" t="e">
        <f t="shared" si="13"/>
        <v>#DIV/0!</v>
      </c>
      <c r="G104" s="373">
        <f t="shared" si="14"/>
        <v>0</v>
      </c>
      <c r="H104" s="327" t="e">
        <f t="shared" si="15"/>
        <v>#DIV/0!</v>
      </c>
      <c r="I104" s="373">
        <f t="shared" si="16"/>
        <v>0</v>
      </c>
      <c r="J104" s="328" t="e">
        <f t="shared" si="17"/>
        <v>#DIV/0!</v>
      </c>
      <c r="K104" s="453" t="e">
        <f t="shared" si="18"/>
        <v>#DIV/0!</v>
      </c>
      <c r="L104" s="344" t="s">
        <v>102</v>
      </c>
    </row>
    <row r="105" spans="1:12" ht="16.5">
      <c r="A105" s="325">
        <v>46124</v>
      </c>
      <c r="B105" s="327">
        <f t="shared" si="19"/>
        <v>0</v>
      </c>
      <c r="C105" s="373">
        <f t="shared" si="19"/>
        <v>0</v>
      </c>
      <c r="D105" s="327" t="e">
        <f t="shared" si="11"/>
        <v>#DIV/0!</v>
      </c>
      <c r="E105" s="373">
        <f t="shared" si="12"/>
        <v>0</v>
      </c>
      <c r="F105" s="327" t="e">
        <f t="shared" si="13"/>
        <v>#DIV/0!</v>
      </c>
      <c r="G105" s="373">
        <f t="shared" si="14"/>
        <v>0</v>
      </c>
      <c r="H105" s="327" t="e">
        <f t="shared" si="15"/>
        <v>#DIV/0!</v>
      </c>
      <c r="I105" s="373">
        <f t="shared" si="16"/>
        <v>0</v>
      </c>
      <c r="J105" s="328" t="e">
        <f t="shared" si="17"/>
        <v>#DIV/0!</v>
      </c>
      <c r="K105" s="453" t="e">
        <f t="shared" si="18"/>
        <v>#DIV/0!</v>
      </c>
      <c r="L105" s="344" t="s">
        <v>102</v>
      </c>
    </row>
    <row r="106" spans="1:12" ht="16.5">
      <c r="A106" s="321">
        <v>46125</v>
      </c>
      <c r="B106" s="327">
        <f t="shared" si="19"/>
        <v>0</v>
      </c>
      <c r="C106" s="373">
        <f t="shared" si="19"/>
        <v>0</v>
      </c>
      <c r="D106" s="327" t="e">
        <f t="shared" si="11"/>
        <v>#DIV/0!</v>
      </c>
      <c r="E106" s="373">
        <f t="shared" si="12"/>
        <v>0</v>
      </c>
      <c r="F106" s="327" t="e">
        <f t="shared" si="13"/>
        <v>#DIV/0!</v>
      </c>
      <c r="G106" s="373">
        <f t="shared" si="14"/>
        <v>0</v>
      </c>
      <c r="H106" s="327" t="e">
        <f t="shared" si="15"/>
        <v>#DIV/0!</v>
      </c>
      <c r="I106" s="373">
        <f t="shared" si="16"/>
        <v>0</v>
      </c>
      <c r="J106" s="328" t="e">
        <f t="shared" si="17"/>
        <v>#DIV/0!</v>
      </c>
      <c r="K106" s="453" t="e">
        <f t="shared" si="18"/>
        <v>#DIV/0!</v>
      </c>
      <c r="L106" s="344" t="s">
        <v>102</v>
      </c>
    </row>
    <row r="107" spans="1:12" ht="16.5">
      <c r="A107" s="321">
        <v>46126</v>
      </c>
      <c r="B107" s="327">
        <f t="shared" si="19"/>
        <v>0</v>
      </c>
      <c r="C107" s="373">
        <f t="shared" si="19"/>
        <v>0</v>
      </c>
      <c r="D107" s="327" t="e">
        <f t="shared" si="11"/>
        <v>#DIV/0!</v>
      </c>
      <c r="E107" s="373">
        <f t="shared" si="12"/>
        <v>0</v>
      </c>
      <c r="F107" s="327" t="e">
        <f t="shared" si="13"/>
        <v>#DIV/0!</v>
      </c>
      <c r="G107" s="373">
        <f t="shared" si="14"/>
        <v>0</v>
      </c>
      <c r="H107" s="327" t="e">
        <f t="shared" si="15"/>
        <v>#DIV/0!</v>
      </c>
      <c r="I107" s="373">
        <f t="shared" si="16"/>
        <v>0</v>
      </c>
      <c r="J107" s="328" t="e">
        <f t="shared" si="17"/>
        <v>#DIV/0!</v>
      </c>
      <c r="K107" s="453" t="e">
        <f t="shared" si="18"/>
        <v>#DIV/0!</v>
      </c>
      <c r="L107" s="344" t="s">
        <v>102</v>
      </c>
    </row>
    <row r="108" spans="1:12" ht="16.5">
      <c r="A108" s="321">
        <v>46127</v>
      </c>
      <c r="B108" s="327">
        <f t="shared" si="19"/>
        <v>0</v>
      </c>
      <c r="C108" s="373">
        <f t="shared" si="19"/>
        <v>0</v>
      </c>
      <c r="D108" s="327" t="e">
        <f t="shared" si="11"/>
        <v>#DIV/0!</v>
      </c>
      <c r="E108" s="373">
        <f t="shared" si="12"/>
        <v>0</v>
      </c>
      <c r="F108" s="327" t="e">
        <f t="shared" si="13"/>
        <v>#DIV/0!</v>
      </c>
      <c r="G108" s="373">
        <f t="shared" si="14"/>
        <v>0</v>
      </c>
      <c r="H108" s="327" t="e">
        <f t="shared" si="15"/>
        <v>#DIV/0!</v>
      </c>
      <c r="I108" s="373">
        <f t="shared" si="16"/>
        <v>0</v>
      </c>
      <c r="J108" s="328" t="e">
        <f t="shared" si="17"/>
        <v>#DIV/0!</v>
      </c>
      <c r="K108" s="453" t="e">
        <f t="shared" si="18"/>
        <v>#DIV/0!</v>
      </c>
      <c r="L108" s="344" t="s">
        <v>102</v>
      </c>
    </row>
    <row r="109" spans="1:12" ht="16.5">
      <c r="A109" s="322">
        <v>46128</v>
      </c>
      <c r="B109" s="327">
        <f t="shared" si="19"/>
        <v>0</v>
      </c>
      <c r="C109" s="373">
        <f t="shared" si="19"/>
        <v>0</v>
      </c>
      <c r="D109" s="327" t="e">
        <f t="shared" si="11"/>
        <v>#DIV/0!</v>
      </c>
      <c r="E109" s="373">
        <f t="shared" si="12"/>
        <v>0</v>
      </c>
      <c r="F109" s="327" t="e">
        <f t="shared" si="13"/>
        <v>#DIV/0!</v>
      </c>
      <c r="G109" s="373">
        <f t="shared" si="14"/>
        <v>0</v>
      </c>
      <c r="H109" s="327" t="e">
        <f t="shared" si="15"/>
        <v>#DIV/0!</v>
      </c>
      <c r="I109" s="373">
        <f t="shared" si="16"/>
        <v>0</v>
      </c>
      <c r="J109" s="328" t="e">
        <f t="shared" si="17"/>
        <v>#DIV/0!</v>
      </c>
      <c r="K109" s="453" t="e">
        <f t="shared" si="18"/>
        <v>#DIV/0!</v>
      </c>
      <c r="L109" s="344" t="s">
        <v>102</v>
      </c>
    </row>
    <row r="110" spans="1:12" ht="16.5">
      <c r="A110" s="321">
        <v>46129</v>
      </c>
      <c r="B110" s="327">
        <f t="shared" si="19"/>
        <v>0</v>
      </c>
      <c r="C110" s="373">
        <f t="shared" si="19"/>
        <v>0</v>
      </c>
      <c r="D110" s="327" t="e">
        <f t="shared" si="11"/>
        <v>#DIV/0!</v>
      </c>
      <c r="E110" s="373">
        <f t="shared" si="12"/>
        <v>0</v>
      </c>
      <c r="F110" s="327" t="e">
        <f t="shared" si="13"/>
        <v>#DIV/0!</v>
      </c>
      <c r="G110" s="373">
        <f t="shared" si="14"/>
        <v>0</v>
      </c>
      <c r="H110" s="327" t="e">
        <f t="shared" si="15"/>
        <v>#DIV/0!</v>
      </c>
      <c r="I110" s="373">
        <f t="shared" si="16"/>
        <v>0</v>
      </c>
      <c r="J110" s="328" t="e">
        <f t="shared" si="17"/>
        <v>#DIV/0!</v>
      </c>
      <c r="K110" s="453" t="e">
        <f t="shared" si="18"/>
        <v>#DIV/0!</v>
      </c>
      <c r="L110" s="344" t="s">
        <v>102</v>
      </c>
    </row>
    <row r="111" spans="1:12" ht="16.5">
      <c r="A111" s="321">
        <v>46130</v>
      </c>
      <c r="B111" s="327">
        <f t="shared" si="19"/>
        <v>0</v>
      </c>
      <c r="C111" s="373">
        <f t="shared" si="19"/>
        <v>0</v>
      </c>
      <c r="D111" s="327" t="e">
        <f t="shared" si="11"/>
        <v>#DIV/0!</v>
      </c>
      <c r="E111" s="373">
        <f t="shared" si="12"/>
        <v>0</v>
      </c>
      <c r="F111" s="327" t="e">
        <f t="shared" si="13"/>
        <v>#DIV/0!</v>
      </c>
      <c r="G111" s="373">
        <f t="shared" si="14"/>
        <v>0</v>
      </c>
      <c r="H111" s="327" t="e">
        <f t="shared" si="15"/>
        <v>#DIV/0!</v>
      </c>
      <c r="I111" s="373">
        <f t="shared" si="16"/>
        <v>0</v>
      </c>
      <c r="J111" s="328" t="e">
        <f t="shared" si="17"/>
        <v>#DIV/0!</v>
      </c>
      <c r="K111" s="453" t="e">
        <f t="shared" si="18"/>
        <v>#DIV/0!</v>
      </c>
      <c r="L111" s="344" t="s">
        <v>102</v>
      </c>
    </row>
    <row r="112" spans="1:12" ht="16.5">
      <c r="A112" s="322">
        <v>46131</v>
      </c>
      <c r="B112" s="327">
        <f t="shared" si="19"/>
        <v>0</v>
      </c>
      <c r="C112" s="373">
        <f t="shared" si="19"/>
        <v>0</v>
      </c>
      <c r="D112" s="327" t="e">
        <f t="shared" si="11"/>
        <v>#DIV/0!</v>
      </c>
      <c r="E112" s="373">
        <f t="shared" si="12"/>
        <v>0</v>
      </c>
      <c r="F112" s="327" t="e">
        <f t="shared" si="13"/>
        <v>#DIV/0!</v>
      </c>
      <c r="G112" s="373">
        <f t="shared" si="14"/>
        <v>0</v>
      </c>
      <c r="H112" s="327" t="e">
        <f t="shared" si="15"/>
        <v>#DIV/0!</v>
      </c>
      <c r="I112" s="373">
        <f t="shared" si="16"/>
        <v>0</v>
      </c>
      <c r="J112" s="328" t="e">
        <f t="shared" si="17"/>
        <v>#DIV/0!</v>
      </c>
      <c r="K112" s="453" t="e">
        <f t="shared" si="18"/>
        <v>#DIV/0!</v>
      </c>
      <c r="L112" s="344" t="s">
        <v>102</v>
      </c>
    </row>
    <row r="113" spans="1:12" ht="16.5">
      <c r="A113" s="322">
        <v>46132</v>
      </c>
      <c r="B113" s="327">
        <f t="shared" si="19"/>
        <v>0</v>
      </c>
      <c r="C113" s="373">
        <f t="shared" si="19"/>
        <v>0</v>
      </c>
      <c r="D113" s="327" t="e">
        <f t="shared" si="11"/>
        <v>#DIV/0!</v>
      </c>
      <c r="E113" s="373">
        <f t="shared" si="12"/>
        <v>0</v>
      </c>
      <c r="F113" s="327" t="e">
        <f t="shared" si="13"/>
        <v>#DIV/0!</v>
      </c>
      <c r="G113" s="373">
        <f t="shared" si="14"/>
        <v>0</v>
      </c>
      <c r="H113" s="327" t="e">
        <f t="shared" si="15"/>
        <v>#DIV/0!</v>
      </c>
      <c r="I113" s="373">
        <f t="shared" si="16"/>
        <v>0</v>
      </c>
      <c r="J113" s="328" t="e">
        <f t="shared" si="17"/>
        <v>#DIV/0!</v>
      </c>
      <c r="K113" s="453" t="e">
        <f t="shared" si="18"/>
        <v>#DIV/0!</v>
      </c>
      <c r="L113" s="344" t="s">
        <v>102</v>
      </c>
    </row>
    <row r="114" spans="1:12" ht="16.5">
      <c r="A114" s="321">
        <v>46133</v>
      </c>
      <c r="B114" s="327">
        <f t="shared" si="19"/>
        <v>0</v>
      </c>
      <c r="C114" s="373">
        <f t="shared" si="19"/>
        <v>0</v>
      </c>
      <c r="D114" s="327" t="e">
        <f t="shared" si="11"/>
        <v>#DIV/0!</v>
      </c>
      <c r="E114" s="373">
        <f t="shared" si="12"/>
        <v>0</v>
      </c>
      <c r="F114" s="327" t="e">
        <f t="shared" si="13"/>
        <v>#DIV/0!</v>
      </c>
      <c r="G114" s="373">
        <f t="shared" si="14"/>
        <v>0</v>
      </c>
      <c r="H114" s="327" t="e">
        <f t="shared" si="15"/>
        <v>#DIV/0!</v>
      </c>
      <c r="I114" s="373">
        <f t="shared" si="16"/>
        <v>0</v>
      </c>
      <c r="J114" s="328" t="e">
        <f t="shared" si="17"/>
        <v>#DIV/0!</v>
      </c>
      <c r="K114" s="453" t="e">
        <f t="shared" si="18"/>
        <v>#DIV/0!</v>
      </c>
      <c r="L114" s="344" t="s">
        <v>102</v>
      </c>
    </row>
    <row r="115" spans="1:12" ht="16.5">
      <c r="A115" s="321">
        <v>46134</v>
      </c>
      <c r="B115" s="327">
        <f t="shared" si="19"/>
        <v>0</v>
      </c>
      <c r="C115" s="373">
        <f t="shared" si="19"/>
        <v>0</v>
      </c>
      <c r="D115" s="327" t="e">
        <f t="shared" si="11"/>
        <v>#DIV/0!</v>
      </c>
      <c r="E115" s="373">
        <f t="shared" si="12"/>
        <v>0</v>
      </c>
      <c r="F115" s="327" t="e">
        <f t="shared" si="13"/>
        <v>#DIV/0!</v>
      </c>
      <c r="G115" s="373">
        <f t="shared" si="14"/>
        <v>0</v>
      </c>
      <c r="H115" s="327" t="e">
        <f t="shared" si="15"/>
        <v>#DIV/0!</v>
      </c>
      <c r="I115" s="373">
        <f t="shared" si="16"/>
        <v>0</v>
      </c>
      <c r="J115" s="328" t="e">
        <f t="shared" si="17"/>
        <v>#DIV/0!</v>
      </c>
      <c r="K115" s="453" t="e">
        <f t="shared" si="18"/>
        <v>#DIV/0!</v>
      </c>
      <c r="L115" s="344" t="s">
        <v>102</v>
      </c>
    </row>
    <row r="116" spans="1:12" ht="16.5">
      <c r="A116" s="321">
        <v>46135</v>
      </c>
      <c r="B116" s="327">
        <f t="shared" si="19"/>
        <v>0</v>
      </c>
      <c r="C116" s="373">
        <f t="shared" si="19"/>
        <v>0</v>
      </c>
      <c r="D116" s="327" t="e">
        <f t="shared" si="11"/>
        <v>#DIV/0!</v>
      </c>
      <c r="E116" s="373">
        <f t="shared" si="12"/>
        <v>0</v>
      </c>
      <c r="F116" s="327" t="e">
        <f t="shared" si="13"/>
        <v>#DIV/0!</v>
      </c>
      <c r="G116" s="373">
        <f t="shared" si="14"/>
        <v>0</v>
      </c>
      <c r="H116" s="327" t="e">
        <f t="shared" si="15"/>
        <v>#DIV/0!</v>
      </c>
      <c r="I116" s="373">
        <f t="shared" si="16"/>
        <v>0</v>
      </c>
      <c r="J116" s="328" t="e">
        <f t="shared" si="17"/>
        <v>#DIV/0!</v>
      </c>
      <c r="K116" s="453" t="e">
        <f t="shared" si="18"/>
        <v>#DIV/0!</v>
      </c>
      <c r="L116" s="344" t="s">
        <v>102</v>
      </c>
    </row>
    <row r="117" spans="1:12" ht="16.5">
      <c r="A117" s="325">
        <v>46136</v>
      </c>
      <c r="B117" s="327">
        <f t="shared" si="19"/>
        <v>0</v>
      </c>
      <c r="C117" s="373">
        <f t="shared" si="19"/>
        <v>0</v>
      </c>
      <c r="D117" s="327" t="e">
        <f t="shared" si="11"/>
        <v>#DIV/0!</v>
      </c>
      <c r="E117" s="373">
        <f t="shared" si="12"/>
        <v>0</v>
      </c>
      <c r="F117" s="327" t="e">
        <f t="shared" si="13"/>
        <v>#DIV/0!</v>
      </c>
      <c r="G117" s="373">
        <f t="shared" si="14"/>
        <v>0</v>
      </c>
      <c r="H117" s="327" t="e">
        <f t="shared" si="15"/>
        <v>#DIV/0!</v>
      </c>
      <c r="I117" s="373">
        <f t="shared" si="16"/>
        <v>0</v>
      </c>
      <c r="J117" s="328" t="e">
        <f t="shared" si="17"/>
        <v>#DIV/0!</v>
      </c>
      <c r="K117" s="453" t="e">
        <f t="shared" si="18"/>
        <v>#DIV/0!</v>
      </c>
      <c r="L117" s="344" t="s">
        <v>102</v>
      </c>
    </row>
    <row r="118" spans="1:12" ht="16.5">
      <c r="A118" s="325">
        <v>46137</v>
      </c>
      <c r="B118" s="327">
        <f t="shared" si="19"/>
        <v>0</v>
      </c>
      <c r="C118" s="373">
        <f t="shared" si="19"/>
        <v>0</v>
      </c>
      <c r="D118" s="327" t="e">
        <f t="shared" si="11"/>
        <v>#DIV/0!</v>
      </c>
      <c r="E118" s="373">
        <f t="shared" si="12"/>
        <v>0</v>
      </c>
      <c r="F118" s="327" t="e">
        <f t="shared" si="13"/>
        <v>#DIV/0!</v>
      </c>
      <c r="G118" s="373">
        <f t="shared" si="14"/>
        <v>0</v>
      </c>
      <c r="H118" s="327" t="e">
        <f t="shared" si="15"/>
        <v>#DIV/0!</v>
      </c>
      <c r="I118" s="373">
        <f t="shared" si="16"/>
        <v>0</v>
      </c>
      <c r="J118" s="328" t="e">
        <f t="shared" si="17"/>
        <v>#DIV/0!</v>
      </c>
      <c r="K118" s="453" t="e">
        <f t="shared" si="18"/>
        <v>#DIV/0!</v>
      </c>
      <c r="L118" s="344" t="s">
        <v>102</v>
      </c>
    </row>
    <row r="119" spans="1:12" ht="17.25" thickBot="1">
      <c r="A119" s="109">
        <v>46138</v>
      </c>
      <c r="B119" s="346">
        <f t="shared" si="19"/>
        <v>0</v>
      </c>
      <c r="C119" s="375">
        <f t="shared" si="19"/>
        <v>0</v>
      </c>
      <c r="D119" s="346" t="e">
        <f t="shared" si="11"/>
        <v>#DIV/0!</v>
      </c>
      <c r="E119" s="375">
        <f t="shared" si="12"/>
        <v>0</v>
      </c>
      <c r="F119" s="346" t="e">
        <f t="shared" si="13"/>
        <v>#DIV/0!</v>
      </c>
      <c r="G119" s="375">
        <f t="shared" si="14"/>
        <v>0</v>
      </c>
      <c r="H119" s="346" t="e">
        <f t="shared" si="15"/>
        <v>#DIV/0!</v>
      </c>
      <c r="I119" s="375">
        <f t="shared" si="16"/>
        <v>0</v>
      </c>
      <c r="J119" s="347" t="e">
        <f t="shared" si="17"/>
        <v>#DIV/0!</v>
      </c>
      <c r="K119" s="235" t="e">
        <f t="shared" si="18"/>
        <v>#DIV/0!</v>
      </c>
      <c r="L119" s="348" t="s">
        <v>102</v>
      </c>
    </row>
    <row r="120" spans="1:12" ht="33.75" thickBot="1">
      <c r="A120" s="96" t="s">
        <v>35</v>
      </c>
      <c r="B120" s="217">
        <f>SUM(B2:B119)</f>
        <v>0</v>
      </c>
      <c r="C120" s="213">
        <f>SUM(C2:C119)</f>
        <v>0</v>
      </c>
      <c r="D120" s="217" t="e">
        <f>AVERAGE(B2:B119)/AVERAGE(C2:C119)</f>
        <v>#DIV/0!</v>
      </c>
      <c r="E120" s="213">
        <f>SUM(E2:E119)</f>
        <v>0</v>
      </c>
      <c r="F120" s="214" t="e">
        <f>AVERAGE(B2:B119)/AVERAGE(E2:E119)</f>
        <v>#DIV/0!</v>
      </c>
      <c r="G120" s="215">
        <f>AVERAGE(G2:G119)</f>
        <v>0</v>
      </c>
      <c r="H120" s="214" t="e">
        <f>AVERAGE(B2:B119)/AVERAGE(G2:G119)</f>
        <v>#DIV/0!</v>
      </c>
      <c r="I120" s="217">
        <f>SUM(I2:I119)</f>
        <v>0</v>
      </c>
      <c r="J120" s="221" t="e">
        <f t="shared" si="17"/>
        <v>#DIV/0!</v>
      </c>
      <c r="K120" s="217" t="e">
        <f>AVERAGE(I2:I119)/AVERAGE(G2:G119)</f>
        <v>#DIV/0!</v>
      </c>
      <c r="L120" s="232" t="s">
        <v>102</v>
      </c>
    </row>
    <row r="121" spans="1:12" ht="16.5">
      <c r="A121" s="405" t="s">
        <v>36</v>
      </c>
      <c r="B121" s="238">
        <f>SUM(B2:B3)</f>
        <v>0</v>
      </c>
      <c r="C121" s="243">
        <f>SUM(C2:C3)</f>
        <v>0</v>
      </c>
      <c r="D121" s="238" t="e">
        <f>AVERAGE(B2:B3)/AVERAGE(C2:C3)</f>
        <v>#DIV/0!</v>
      </c>
      <c r="E121" s="243">
        <f>SUM(E2:E3)</f>
        <v>0</v>
      </c>
      <c r="F121" s="310" t="e">
        <f>AVERAGE(B2:B3)/AVERAGE(E2:E3)</f>
        <v>#DIV/0!</v>
      </c>
      <c r="G121" s="332">
        <f>AVERAGE(G2:G3)</f>
        <v>0</v>
      </c>
      <c r="H121" s="310" t="e">
        <f>AVERAGE(B2:B3)/AVERAGE(G2:G3)</f>
        <v>#DIV/0!</v>
      </c>
      <c r="I121" s="238">
        <f>SUM(I2:I3)</f>
        <v>0</v>
      </c>
      <c r="J121" s="110" t="e">
        <f t="shared" si="17"/>
        <v>#DIV/0!</v>
      </c>
      <c r="K121" s="234" t="e">
        <f>AVERAGE(G2:G3)/AVERAGE(I2:I3)</f>
        <v>#DIV/0!</v>
      </c>
      <c r="L121" s="329" t="s">
        <v>102</v>
      </c>
    </row>
    <row r="122" spans="1:12" ht="16.5">
      <c r="A122" s="405" t="s">
        <v>37</v>
      </c>
      <c r="B122" s="238">
        <f>SUM(B4:B34)</f>
        <v>0</v>
      </c>
      <c r="C122" s="243">
        <f>SUM(C4:C34)</f>
        <v>0</v>
      </c>
      <c r="D122" s="238" t="e">
        <f>AVERAGE(B4:B34)/AVERAGE(C4:C34)</f>
        <v>#DIV/0!</v>
      </c>
      <c r="E122" s="243">
        <f>SUM(E4:E34)</f>
        <v>0</v>
      </c>
      <c r="F122" s="310" t="e">
        <f>AVERAGE(B4:B34)/AVERAGE(E4:E34)</f>
        <v>#DIV/0!</v>
      </c>
      <c r="G122" s="332">
        <f>AVERAGE(G4:G34)</f>
        <v>0</v>
      </c>
      <c r="H122" s="310" t="e">
        <f>AVERAGE(B4:B34)/AVERAGE(G4:G34)</f>
        <v>#DIV/0!</v>
      </c>
      <c r="I122" s="238">
        <f>SUM(I4:I34)</f>
        <v>0</v>
      </c>
      <c r="J122" s="336" t="e">
        <f t="shared" si="17"/>
        <v>#DIV/0!</v>
      </c>
      <c r="K122" s="234" t="e">
        <f>AVERAGE(G4:G34)/AVERAGE(I4:I34)</f>
        <v>#DIV/0!</v>
      </c>
      <c r="L122" s="329" t="s">
        <v>102</v>
      </c>
    </row>
    <row r="123" spans="1:12" ht="16.5">
      <c r="A123" s="405" t="s">
        <v>38</v>
      </c>
      <c r="B123" s="238">
        <f>SUM(B35:B62)</f>
        <v>0</v>
      </c>
      <c r="C123" s="243">
        <f>SUM(C35:C62)</f>
        <v>0</v>
      </c>
      <c r="D123" s="238" t="e">
        <f>AVERAGE(B63:B119)/AVERAGE(C63:C119)</f>
        <v>#DIV/0!</v>
      </c>
      <c r="E123" s="243">
        <f>SUM(E35:E62)</f>
        <v>0</v>
      </c>
      <c r="F123" s="310" t="e">
        <f>AVERAGE(B35:B62)/AVERAGE(E35:E62)</f>
        <v>#DIV/0!</v>
      </c>
      <c r="G123" s="332">
        <f>AVERAGE(G35:G62)</f>
        <v>0</v>
      </c>
      <c r="H123" s="310" t="e">
        <f>AVERAGE(B35:B62)/AVERAGE(G35:G62)</f>
        <v>#DIV/0!</v>
      </c>
      <c r="I123" s="238">
        <f>SUM(I35:I62)</f>
        <v>0</v>
      </c>
      <c r="J123" s="336" t="e">
        <f t="shared" si="17"/>
        <v>#DIV/0!</v>
      </c>
      <c r="K123" s="234" t="e">
        <f>AVERAGE(G35:G62)/AVERAGE(I35:I62)</f>
        <v>#DIV/0!</v>
      </c>
      <c r="L123" s="329" t="s">
        <v>102</v>
      </c>
    </row>
    <row r="124" spans="1:12" ht="16.5">
      <c r="A124" s="405" t="s">
        <v>39</v>
      </c>
      <c r="B124" s="238">
        <f>SUM(B63:B93)</f>
        <v>0</v>
      </c>
      <c r="C124" s="474">
        <f>SUM(C63:C93)</f>
        <v>0</v>
      </c>
      <c r="D124" s="238" t="e">
        <f>AVERAGE(B63:B93)/AVERAGE(C63:C93)</f>
        <v>#DIV/0!</v>
      </c>
      <c r="E124" s="474">
        <f>SUM(E63:E93)</f>
        <v>0</v>
      </c>
      <c r="F124" s="310" t="e">
        <f>AVERAGE(B63:B93)/AVERAGE(E63:E93)</f>
        <v>#DIV/0!</v>
      </c>
      <c r="G124" s="332">
        <f>AVERAGE(G63:G93)</f>
        <v>0</v>
      </c>
      <c r="H124" s="310" t="e">
        <f>AVERAGE(B63:B93)/AVERAGE(G63:G93)</f>
        <v>#DIV/0!</v>
      </c>
      <c r="I124" s="474">
        <f>SUM(I63:I93)</f>
        <v>0</v>
      </c>
      <c r="J124" s="336" t="e">
        <f t="shared" si="17"/>
        <v>#DIV/0!</v>
      </c>
      <c r="K124" s="234" t="e">
        <f>AVERAGE(G63:G93)/AVERAGE(I63:I93)</f>
        <v>#DIV/0!</v>
      </c>
      <c r="L124" s="329" t="s">
        <v>102</v>
      </c>
    </row>
  </sheetData>
  <phoneticPr fontId="1" type="noConversion"/>
  <conditionalFormatting sqref="F2:F119">
    <cfRule type="dataBar" priority="3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{A0CE9100-F5C6-4A40-8F04-09C9E9B55EF3}</x14:id>
        </ext>
      </extLst>
    </cfRule>
  </conditionalFormatting>
  <conditionalFormatting sqref="H2:H119">
    <cfRule type="dataBar" priority="2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{658E1AE1-D92E-4313-8BCE-A364E38DB541}</x14:id>
        </ext>
      </extLst>
    </cfRule>
  </conditionalFormatting>
  <conditionalFormatting sqref="J2:J119">
    <cfRule type="dataBar" priority="1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{CBA94603-C1C0-49A4-9A5D-2AFF9184F31E}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CE9100-F5C6-4A40-8F04-09C9E9B55EF3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F2:F119</xm:sqref>
        </x14:conditionalFormatting>
        <x14:conditionalFormatting xmlns:xm="http://schemas.microsoft.com/office/excel/2006/main">
          <x14:cfRule type="dataBar" id="{658E1AE1-D92E-4313-8BCE-A364E38DB541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H2:H119</xm:sqref>
        </x14:conditionalFormatting>
        <x14:conditionalFormatting xmlns:xm="http://schemas.microsoft.com/office/excel/2006/main">
          <x14:cfRule type="dataBar" id="{CBA94603-C1C0-49A4-9A5D-2AFF9184F31E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J2:J119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5418-80E5-4B91-9213-F61B7CDC7643}">
  <dimension ref="A1:X124"/>
  <sheetViews>
    <sheetView workbookViewId="0">
      <selection sqref="A1:X124"/>
    </sheetView>
  </sheetViews>
  <sheetFormatPr defaultRowHeight="15.75"/>
  <sheetData>
    <row r="1" spans="1:24" ht="33.75" thickBot="1">
      <c r="A1" s="13" t="s">
        <v>3</v>
      </c>
      <c r="B1" s="454" t="s">
        <v>91</v>
      </c>
      <c r="C1" s="454" t="s">
        <v>94</v>
      </c>
      <c r="D1" s="454" t="s">
        <v>103</v>
      </c>
      <c r="E1" s="454" t="s">
        <v>104</v>
      </c>
      <c r="F1" s="476" t="s">
        <v>105</v>
      </c>
      <c r="G1" s="477" t="s">
        <v>106</v>
      </c>
      <c r="H1" s="478" t="s">
        <v>107</v>
      </c>
      <c r="I1" s="479" t="s">
        <v>108</v>
      </c>
      <c r="J1" s="480" t="s">
        <v>109</v>
      </c>
      <c r="K1" s="481" t="s">
        <v>110</v>
      </c>
      <c r="L1" s="482" t="s">
        <v>111</v>
      </c>
      <c r="M1" s="483" t="s">
        <v>112</v>
      </c>
      <c r="N1" s="484" t="s">
        <v>113</v>
      </c>
      <c r="O1" s="485" t="s">
        <v>114</v>
      </c>
      <c r="P1" s="486" t="s">
        <v>115</v>
      </c>
      <c r="Q1" s="487" t="s">
        <v>116</v>
      </c>
      <c r="R1" s="276" t="s">
        <v>56</v>
      </c>
      <c r="S1" s="276" t="s">
        <v>57</v>
      </c>
      <c r="T1" s="276" t="s">
        <v>58</v>
      </c>
      <c r="U1" s="276" t="s">
        <v>59</v>
      </c>
      <c r="V1" s="276" t="s">
        <v>60</v>
      </c>
      <c r="W1" s="259" t="s">
        <v>61</v>
      </c>
      <c r="X1" s="262" t="s">
        <v>62</v>
      </c>
    </row>
    <row r="2" spans="1:24" ht="16.5">
      <c r="A2" s="127">
        <v>46021</v>
      </c>
      <c r="B2" s="278">
        <f t="shared" ref="B2:D33" si="0">AB2+BB2</f>
        <v>0</v>
      </c>
      <c r="C2" s="465">
        <f t="shared" si="0"/>
        <v>0</v>
      </c>
      <c r="D2" s="470">
        <f t="shared" si="0"/>
        <v>0</v>
      </c>
      <c r="E2" s="282" t="e">
        <f t="shared" ref="E2:E65" si="1">D2/B2</f>
        <v>#DIV/0!</v>
      </c>
      <c r="F2" s="456" t="e">
        <f t="shared" ref="F2:Q33" si="2">(AF2*$AC2+BF2*$BC2)/$C2</f>
        <v>#DIV/0!</v>
      </c>
      <c r="G2" s="455" t="e">
        <f t="shared" si="2"/>
        <v>#DIV/0!</v>
      </c>
      <c r="H2" s="455" t="e">
        <f t="shared" si="2"/>
        <v>#DIV/0!</v>
      </c>
      <c r="I2" s="455" t="e">
        <f t="shared" si="2"/>
        <v>#DIV/0!</v>
      </c>
      <c r="J2" s="455" t="e">
        <f t="shared" si="2"/>
        <v>#DIV/0!</v>
      </c>
      <c r="K2" s="455" t="e">
        <f t="shared" si="2"/>
        <v>#DIV/0!</v>
      </c>
      <c r="L2" s="455" t="e">
        <f t="shared" si="2"/>
        <v>#DIV/0!</v>
      </c>
      <c r="M2" s="455" t="e">
        <f t="shared" si="2"/>
        <v>#DIV/0!</v>
      </c>
      <c r="N2" s="455" t="e">
        <f t="shared" si="2"/>
        <v>#DIV/0!</v>
      </c>
      <c r="O2" s="455" t="e">
        <f t="shared" si="2"/>
        <v>#DIV/0!</v>
      </c>
      <c r="P2" s="455" t="e">
        <f t="shared" si="2"/>
        <v>#DIV/0!</v>
      </c>
      <c r="Q2" s="455" t="e">
        <f t="shared" si="2"/>
        <v>#DIV/0!</v>
      </c>
      <c r="R2" s="285" t="e">
        <f t="shared" ref="R2:R65" si="3">H2/F2</f>
        <v>#DIV/0!</v>
      </c>
      <c r="S2" s="285" t="e">
        <f t="shared" ref="S2:S65" si="4">L2/F2</f>
        <v>#DIV/0!</v>
      </c>
      <c r="T2" s="285" t="e">
        <f t="shared" ref="T2:T65" si="5">M2/F2</f>
        <v>#DIV/0!</v>
      </c>
      <c r="U2" s="285" t="e">
        <f t="shared" ref="U2:U65" si="6">N2/F2</f>
        <v>#DIV/0!</v>
      </c>
      <c r="V2" s="285" t="e">
        <f t="shared" ref="V2:V65" si="7">O2/F2</f>
        <v>#DIV/0!</v>
      </c>
      <c r="W2" s="285" t="e">
        <f t="shared" ref="W2:W65" si="8">P2/F2</f>
        <v>#DIV/0!</v>
      </c>
      <c r="X2" s="292" t="e">
        <f t="shared" ref="X2:X32" si="9">Q2/$G2</f>
        <v>#DIV/0!</v>
      </c>
    </row>
    <row r="3" spans="1:24" ht="17.25" thickBot="1">
      <c r="A3" s="128">
        <v>46022</v>
      </c>
      <c r="B3" s="290">
        <f t="shared" si="0"/>
        <v>0</v>
      </c>
      <c r="C3" s="379">
        <f t="shared" si="0"/>
        <v>0</v>
      </c>
      <c r="D3" s="475">
        <f t="shared" si="0"/>
        <v>0</v>
      </c>
      <c r="E3" s="372" t="e">
        <f t="shared" si="1"/>
        <v>#DIV/0!</v>
      </c>
      <c r="F3" s="354" t="e">
        <f t="shared" si="2"/>
        <v>#DIV/0!</v>
      </c>
      <c r="G3" s="355" t="e">
        <f t="shared" si="2"/>
        <v>#DIV/0!</v>
      </c>
      <c r="H3" s="355" t="e">
        <f t="shared" si="2"/>
        <v>#DIV/0!</v>
      </c>
      <c r="I3" s="355" t="e">
        <f t="shared" si="2"/>
        <v>#DIV/0!</v>
      </c>
      <c r="J3" s="355" t="e">
        <f t="shared" si="2"/>
        <v>#DIV/0!</v>
      </c>
      <c r="K3" s="355" t="e">
        <f t="shared" si="2"/>
        <v>#DIV/0!</v>
      </c>
      <c r="L3" s="355" t="e">
        <f t="shared" si="2"/>
        <v>#DIV/0!</v>
      </c>
      <c r="M3" s="355" t="e">
        <f t="shared" si="2"/>
        <v>#DIV/0!</v>
      </c>
      <c r="N3" s="355" t="e">
        <f t="shared" si="2"/>
        <v>#DIV/0!</v>
      </c>
      <c r="O3" s="355" t="e">
        <f t="shared" si="2"/>
        <v>#DIV/0!</v>
      </c>
      <c r="P3" s="355" t="e">
        <f t="shared" si="2"/>
        <v>#DIV/0!</v>
      </c>
      <c r="Q3" s="355" t="e">
        <f t="shared" si="2"/>
        <v>#DIV/0!</v>
      </c>
      <c r="R3" s="301" t="e">
        <f t="shared" si="3"/>
        <v>#DIV/0!</v>
      </c>
      <c r="S3" s="301" t="e">
        <f t="shared" si="4"/>
        <v>#DIV/0!</v>
      </c>
      <c r="T3" s="301" t="e">
        <f t="shared" si="5"/>
        <v>#DIV/0!</v>
      </c>
      <c r="U3" s="301" t="e">
        <f t="shared" si="6"/>
        <v>#DIV/0!</v>
      </c>
      <c r="V3" s="301" t="e">
        <f t="shared" si="7"/>
        <v>#DIV/0!</v>
      </c>
      <c r="W3" s="301" t="e">
        <f t="shared" si="8"/>
        <v>#DIV/0!</v>
      </c>
      <c r="X3" s="304" t="e">
        <f t="shared" si="9"/>
        <v>#DIV/0!</v>
      </c>
    </row>
    <row r="4" spans="1:24" ht="16.5">
      <c r="A4" s="274">
        <v>46023</v>
      </c>
      <c r="B4" s="278">
        <f t="shared" si="0"/>
        <v>0</v>
      </c>
      <c r="C4" s="465">
        <f t="shared" si="0"/>
        <v>0</v>
      </c>
      <c r="D4" s="470">
        <f t="shared" si="0"/>
        <v>0</v>
      </c>
      <c r="E4" s="282" t="e">
        <f t="shared" si="1"/>
        <v>#DIV/0!</v>
      </c>
      <c r="F4" s="456" t="e">
        <f t="shared" si="2"/>
        <v>#DIV/0!</v>
      </c>
      <c r="G4" s="455" t="e">
        <f t="shared" si="2"/>
        <v>#DIV/0!</v>
      </c>
      <c r="H4" s="455" t="e">
        <f t="shared" si="2"/>
        <v>#DIV/0!</v>
      </c>
      <c r="I4" s="455" t="e">
        <f t="shared" si="2"/>
        <v>#DIV/0!</v>
      </c>
      <c r="J4" s="455" t="e">
        <f t="shared" si="2"/>
        <v>#DIV/0!</v>
      </c>
      <c r="K4" s="455" t="e">
        <f t="shared" si="2"/>
        <v>#DIV/0!</v>
      </c>
      <c r="L4" s="455" t="e">
        <f t="shared" si="2"/>
        <v>#DIV/0!</v>
      </c>
      <c r="M4" s="455" t="e">
        <f t="shared" si="2"/>
        <v>#DIV/0!</v>
      </c>
      <c r="N4" s="455" t="e">
        <f t="shared" si="2"/>
        <v>#DIV/0!</v>
      </c>
      <c r="O4" s="455" t="e">
        <f t="shared" si="2"/>
        <v>#DIV/0!</v>
      </c>
      <c r="P4" s="455" t="e">
        <f t="shared" si="2"/>
        <v>#DIV/0!</v>
      </c>
      <c r="Q4" s="455" t="e">
        <f t="shared" si="2"/>
        <v>#DIV/0!</v>
      </c>
      <c r="R4" s="285" t="e">
        <f t="shared" si="3"/>
        <v>#DIV/0!</v>
      </c>
      <c r="S4" s="285" t="e">
        <f t="shared" si="4"/>
        <v>#DIV/0!</v>
      </c>
      <c r="T4" s="285" t="e">
        <f t="shared" si="5"/>
        <v>#DIV/0!</v>
      </c>
      <c r="U4" s="285" t="e">
        <f t="shared" si="6"/>
        <v>#DIV/0!</v>
      </c>
      <c r="V4" s="285" t="e">
        <f t="shared" si="7"/>
        <v>#DIV/0!</v>
      </c>
      <c r="W4" s="285" t="e">
        <f t="shared" si="8"/>
        <v>#DIV/0!</v>
      </c>
      <c r="X4" s="292" t="e">
        <f t="shared" si="9"/>
        <v>#DIV/0!</v>
      </c>
    </row>
    <row r="5" spans="1:24" ht="16.5">
      <c r="A5" s="127">
        <v>46024</v>
      </c>
      <c r="B5" s="290">
        <f t="shared" si="0"/>
        <v>0</v>
      </c>
      <c r="C5" s="379">
        <f t="shared" si="0"/>
        <v>0</v>
      </c>
      <c r="D5" s="475">
        <f t="shared" si="0"/>
        <v>0</v>
      </c>
      <c r="E5" s="372" t="e">
        <f t="shared" si="1"/>
        <v>#DIV/0!</v>
      </c>
      <c r="F5" s="354" t="e">
        <f t="shared" si="2"/>
        <v>#DIV/0!</v>
      </c>
      <c r="G5" s="355" t="e">
        <f t="shared" si="2"/>
        <v>#DIV/0!</v>
      </c>
      <c r="H5" s="355" t="e">
        <f t="shared" si="2"/>
        <v>#DIV/0!</v>
      </c>
      <c r="I5" s="355" t="e">
        <f t="shared" si="2"/>
        <v>#DIV/0!</v>
      </c>
      <c r="J5" s="355" t="e">
        <f t="shared" si="2"/>
        <v>#DIV/0!</v>
      </c>
      <c r="K5" s="355" t="e">
        <f t="shared" si="2"/>
        <v>#DIV/0!</v>
      </c>
      <c r="L5" s="355" t="e">
        <f t="shared" si="2"/>
        <v>#DIV/0!</v>
      </c>
      <c r="M5" s="355" t="e">
        <f t="shared" si="2"/>
        <v>#DIV/0!</v>
      </c>
      <c r="N5" s="355" t="e">
        <f t="shared" si="2"/>
        <v>#DIV/0!</v>
      </c>
      <c r="O5" s="355" t="e">
        <f t="shared" si="2"/>
        <v>#DIV/0!</v>
      </c>
      <c r="P5" s="355" t="e">
        <f t="shared" si="2"/>
        <v>#DIV/0!</v>
      </c>
      <c r="Q5" s="355" t="e">
        <f t="shared" si="2"/>
        <v>#DIV/0!</v>
      </c>
      <c r="R5" s="301" t="e">
        <f t="shared" si="3"/>
        <v>#DIV/0!</v>
      </c>
      <c r="S5" s="301" t="e">
        <f t="shared" si="4"/>
        <v>#DIV/0!</v>
      </c>
      <c r="T5" s="301" t="e">
        <f t="shared" si="5"/>
        <v>#DIV/0!</v>
      </c>
      <c r="U5" s="301" t="e">
        <f t="shared" si="6"/>
        <v>#DIV/0!</v>
      </c>
      <c r="V5" s="301" t="e">
        <f t="shared" si="7"/>
        <v>#DIV/0!</v>
      </c>
      <c r="W5" s="301" t="e">
        <f t="shared" si="8"/>
        <v>#DIV/0!</v>
      </c>
      <c r="X5" s="304" t="e">
        <f t="shared" si="9"/>
        <v>#DIV/0!</v>
      </c>
    </row>
    <row r="6" spans="1:24" ht="16.5">
      <c r="A6" s="127">
        <v>46025</v>
      </c>
      <c r="B6" s="290">
        <f t="shared" si="0"/>
        <v>0</v>
      </c>
      <c r="C6" s="379">
        <f t="shared" si="0"/>
        <v>0</v>
      </c>
      <c r="D6" s="475">
        <f t="shared" si="0"/>
        <v>0</v>
      </c>
      <c r="E6" s="372" t="e">
        <f t="shared" si="1"/>
        <v>#DIV/0!</v>
      </c>
      <c r="F6" s="354" t="e">
        <f t="shared" si="2"/>
        <v>#DIV/0!</v>
      </c>
      <c r="G6" s="355" t="e">
        <f t="shared" si="2"/>
        <v>#DIV/0!</v>
      </c>
      <c r="H6" s="355" t="e">
        <f t="shared" si="2"/>
        <v>#DIV/0!</v>
      </c>
      <c r="I6" s="355" t="e">
        <f t="shared" si="2"/>
        <v>#DIV/0!</v>
      </c>
      <c r="J6" s="355" t="e">
        <f t="shared" si="2"/>
        <v>#DIV/0!</v>
      </c>
      <c r="K6" s="355" t="e">
        <f t="shared" si="2"/>
        <v>#DIV/0!</v>
      </c>
      <c r="L6" s="355" t="e">
        <f t="shared" si="2"/>
        <v>#DIV/0!</v>
      </c>
      <c r="M6" s="355" t="e">
        <f t="shared" si="2"/>
        <v>#DIV/0!</v>
      </c>
      <c r="N6" s="355" t="e">
        <f t="shared" si="2"/>
        <v>#DIV/0!</v>
      </c>
      <c r="O6" s="355" t="e">
        <f t="shared" si="2"/>
        <v>#DIV/0!</v>
      </c>
      <c r="P6" s="355" t="e">
        <f t="shared" si="2"/>
        <v>#DIV/0!</v>
      </c>
      <c r="Q6" s="355" t="e">
        <f t="shared" si="2"/>
        <v>#DIV/0!</v>
      </c>
      <c r="R6" s="301" t="e">
        <f t="shared" si="3"/>
        <v>#DIV/0!</v>
      </c>
      <c r="S6" s="301" t="e">
        <f t="shared" si="4"/>
        <v>#DIV/0!</v>
      </c>
      <c r="T6" s="301" t="e">
        <f t="shared" si="5"/>
        <v>#DIV/0!</v>
      </c>
      <c r="U6" s="301" t="e">
        <f t="shared" si="6"/>
        <v>#DIV/0!</v>
      </c>
      <c r="V6" s="301" t="e">
        <f t="shared" si="7"/>
        <v>#DIV/0!</v>
      </c>
      <c r="W6" s="301" t="e">
        <f t="shared" si="8"/>
        <v>#DIV/0!</v>
      </c>
      <c r="X6" s="304" t="e">
        <f t="shared" si="9"/>
        <v>#DIV/0!</v>
      </c>
    </row>
    <row r="7" spans="1:24" ht="16.5">
      <c r="A7" s="127">
        <v>46026</v>
      </c>
      <c r="B7" s="290">
        <f t="shared" si="0"/>
        <v>0</v>
      </c>
      <c r="C7" s="379">
        <f t="shared" si="0"/>
        <v>0</v>
      </c>
      <c r="D7" s="475">
        <f t="shared" si="0"/>
        <v>0</v>
      </c>
      <c r="E7" s="372" t="e">
        <f t="shared" si="1"/>
        <v>#DIV/0!</v>
      </c>
      <c r="F7" s="354" t="e">
        <f t="shared" si="2"/>
        <v>#DIV/0!</v>
      </c>
      <c r="G7" s="355" t="e">
        <f t="shared" si="2"/>
        <v>#DIV/0!</v>
      </c>
      <c r="H7" s="355" t="e">
        <f t="shared" si="2"/>
        <v>#DIV/0!</v>
      </c>
      <c r="I7" s="355" t="e">
        <f t="shared" si="2"/>
        <v>#DIV/0!</v>
      </c>
      <c r="J7" s="355" t="e">
        <f t="shared" si="2"/>
        <v>#DIV/0!</v>
      </c>
      <c r="K7" s="355" t="e">
        <f t="shared" si="2"/>
        <v>#DIV/0!</v>
      </c>
      <c r="L7" s="355" t="e">
        <f t="shared" si="2"/>
        <v>#DIV/0!</v>
      </c>
      <c r="M7" s="355" t="e">
        <f t="shared" si="2"/>
        <v>#DIV/0!</v>
      </c>
      <c r="N7" s="355" t="e">
        <f t="shared" si="2"/>
        <v>#DIV/0!</v>
      </c>
      <c r="O7" s="355" t="e">
        <f t="shared" si="2"/>
        <v>#DIV/0!</v>
      </c>
      <c r="P7" s="355" t="e">
        <f t="shared" si="2"/>
        <v>#DIV/0!</v>
      </c>
      <c r="Q7" s="355" t="e">
        <f t="shared" si="2"/>
        <v>#DIV/0!</v>
      </c>
      <c r="R7" s="301" t="e">
        <f t="shared" si="3"/>
        <v>#DIV/0!</v>
      </c>
      <c r="S7" s="301" t="e">
        <f t="shared" si="4"/>
        <v>#DIV/0!</v>
      </c>
      <c r="T7" s="301" t="e">
        <f t="shared" si="5"/>
        <v>#DIV/0!</v>
      </c>
      <c r="U7" s="301" t="e">
        <f t="shared" si="6"/>
        <v>#DIV/0!</v>
      </c>
      <c r="V7" s="301" t="e">
        <f t="shared" si="7"/>
        <v>#DIV/0!</v>
      </c>
      <c r="W7" s="301" t="e">
        <f t="shared" si="8"/>
        <v>#DIV/0!</v>
      </c>
      <c r="X7" s="304" t="e">
        <f t="shared" si="9"/>
        <v>#DIV/0!</v>
      </c>
    </row>
    <row r="8" spans="1:24" ht="16.5">
      <c r="A8" s="127">
        <v>46027</v>
      </c>
      <c r="B8" s="290">
        <f t="shared" si="0"/>
        <v>0</v>
      </c>
      <c r="C8" s="379">
        <f t="shared" si="0"/>
        <v>0</v>
      </c>
      <c r="D8" s="475">
        <f t="shared" si="0"/>
        <v>0</v>
      </c>
      <c r="E8" s="372" t="e">
        <f t="shared" si="1"/>
        <v>#DIV/0!</v>
      </c>
      <c r="F8" s="354" t="e">
        <f t="shared" si="2"/>
        <v>#DIV/0!</v>
      </c>
      <c r="G8" s="355" t="e">
        <f t="shared" si="2"/>
        <v>#DIV/0!</v>
      </c>
      <c r="H8" s="355" t="e">
        <f t="shared" si="2"/>
        <v>#DIV/0!</v>
      </c>
      <c r="I8" s="355" t="e">
        <f t="shared" si="2"/>
        <v>#DIV/0!</v>
      </c>
      <c r="J8" s="355" t="e">
        <f t="shared" si="2"/>
        <v>#DIV/0!</v>
      </c>
      <c r="K8" s="355" t="e">
        <f t="shared" si="2"/>
        <v>#DIV/0!</v>
      </c>
      <c r="L8" s="355" t="e">
        <f t="shared" si="2"/>
        <v>#DIV/0!</v>
      </c>
      <c r="M8" s="355" t="e">
        <f t="shared" si="2"/>
        <v>#DIV/0!</v>
      </c>
      <c r="N8" s="355" t="e">
        <f t="shared" si="2"/>
        <v>#DIV/0!</v>
      </c>
      <c r="O8" s="355" t="e">
        <f t="shared" si="2"/>
        <v>#DIV/0!</v>
      </c>
      <c r="P8" s="355" t="e">
        <f t="shared" si="2"/>
        <v>#DIV/0!</v>
      </c>
      <c r="Q8" s="355" t="e">
        <f t="shared" si="2"/>
        <v>#DIV/0!</v>
      </c>
      <c r="R8" s="301" t="e">
        <f t="shared" si="3"/>
        <v>#DIV/0!</v>
      </c>
      <c r="S8" s="301" t="e">
        <f t="shared" si="4"/>
        <v>#DIV/0!</v>
      </c>
      <c r="T8" s="301" t="e">
        <f t="shared" si="5"/>
        <v>#DIV/0!</v>
      </c>
      <c r="U8" s="301" t="e">
        <f t="shared" si="6"/>
        <v>#DIV/0!</v>
      </c>
      <c r="V8" s="301" t="e">
        <f t="shared" si="7"/>
        <v>#DIV/0!</v>
      </c>
      <c r="W8" s="301" t="e">
        <f t="shared" si="8"/>
        <v>#DIV/0!</v>
      </c>
      <c r="X8" s="304" t="e">
        <f t="shared" si="9"/>
        <v>#DIV/0!</v>
      </c>
    </row>
    <row r="9" spans="1:24" ht="16.5">
      <c r="A9" s="275">
        <v>46028</v>
      </c>
      <c r="B9" s="290">
        <f t="shared" si="0"/>
        <v>0</v>
      </c>
      <c r="C9" s="379">
        <f t="shared" si="0"/>
        <v>0</v>
      </c>
      <c r="D9" s="475">
        <f t="shared" si="0"/>
        <v>0</v>
      </c>
      <c r="E9" s="372" t="e">
        <f t="shared" si="1"/>
        <v>#DIV/0!</v>
      </c>
      <c r="F9" s="354" t="e">
        <f t="shared" si="2"/>
        <v>#DIV/0!</v>
      </c>
      <c r="G9" s="355" t="e">
        <f t="shared" si="2"/>
        <v>#DIV/0!</v>
      </c>
      <c r="H9" s="355" t="e">
        <f t="shared" si="2"/>
        <v>#DIV/0!</v>
      </c>
      <c r="I9" s="355" t="e">
        <f t="shared" si="2"/>
        <v>#DIV/0!</v>
      </c>
      <c r="J9" s="355" t="e">
        <f t="shared" si="2"/>
        <v>#DIV/0!</v>
      </c>
      <c r="K9" s="355" t="e">
        <f t="shared" si="2"/>
        <v>#DIV/0!</v>
      </c>
      <c r="L9" s="355" t="e">
        <f t="shared" si="2"/>
        <v>#DIV/0!</v>
      </c>
      <c r="M9" s="355" t="e">
        <f t="shared" si="2"/>
        <v>#DIV/0!</v>
      </c>
      <c r="N9" s="355" t="e">
        <f t="shared" si="2"/>
        <v>#DIV/0!</v>
      </c>
      <c r="O9" s="355" t="e">
        <f t="shared" si="2"/>
        <v>#DIV/0!</v>
      </c>
      <c r="P9" s="355" t="e">
        <f t="shared" si="2"/>
        <v>#DIV/0!</v>
      </c>
      <c r="Q9" s="355" t="e">
        <f t="shared" si="2"/>
        <v>#DIV/0!</v>
      </c>
      <c r="R9" s="301" t="e">
        <f t="shared" si="3"/>
        <v>#DIV/0!</v>
      </c>
      <c r="S9" s="301" t="e">
        <f t="shared" si="4"/>
        <v>#DIV/0!</v>
      </c>
      <c r="T9" s="301" t="e">
        <f t="shared" si="5"/>
        <v>#DIV/0!</v>
      </c>
      <c r="U9" s="301" t="e">
        <f t="shared" si="6"/>
        <v>#DIV/0!</v>
      </c>
      <c r="V9" s="301" t="e">
        <f t="shared" si="7"/>
        <v>#DIV/0!</v>
      </c>
      <c r="W9" s="301" t="e">
        <f t="shared" si="8"/>
        <v>#DIV/0!</v>
      </c>
      <c r="X9" s="304" t="e">
        <f t="shared" si="9"/>
        <v>#DIV/0!</v>
      </c>
    </row>
    <row r="10" spans="1:24" ht="16.5">
      <c r="A10" s="275">
        <v>46029</v>
      </c>
      <c r="B10" s="290">
        <f t="shared" si="0"/>
        <v>0</v>
      </c>
      <c r="C10" s="379">
        <f t="shared" si="0"/>
        <v>0</v>
      </c>
      <c r="D10" s="475">
        <f t="shared" si="0"/>
        <v>0</v>
      </c>
      <c r="E10" s="372" t="e">
        <f t="shared" si="1"/>
        <v>#DIV/0!</v>
      </c>
      <c r="F10" s="354" t="e">
        <f t="shared" si="2"/>
        <v>#DIV/0!</v>
      </c>
      <c r="G10" s="355" t="e">
        <f t="shared" si="2"/>
        <v>#DIV/0!</v>
      </c>
      <c r="H10" s="355" t="e">
        <f t="shared" si="2"/>
        <v>#DIV/0!</v>
      </c>
      <c r="I10" s="355" t="e">
        <f t="shared" si="2"/>
        <v>#DIV/0!</v>
      </c>
      <c r="J10" s="355" t="e">
        <f t="shared" si="2"/>
        <v>#DIV/0!</v>
      </c>
      <c r="K10" s="355" t="e">
        <f t="shared" si="2"/>
        <v>#DIV/0!</v>
      </c>
      <c r="L10" s="355" t="e">
        <f t="shared" si="2"/>
        <v>#DIV/0!</v>
      </c>
      <c r="M10" s="355" t="e">
        <f t="shared" si="2"/>
        <v>#DIV/0!</v>
      </c>
      <c r="N10" s="355" t="e">
        <f t="shared" si="2"/>
        <v>#DIV/0!</v>
      </c>
      <c r="O10" s="355" t="e">
        <f t="shared" si="2"/>
        <v>#DIV/0!</v>
      </c>
      <c r="P10" s="355" t="e">
        <f t="shared" si="2"/>
        <v>#DIV/0!</v>
      </c>
      <c r="Q10" s="355" t="e">
        <f t="shared" si="2"/>
        <v>#DIV/0!</v>
      </c>
      <c r="R10" s="301" t="e">
        <f t="shared" si="3"/>
        <v>#DIV/0!</v>
      </c>
      <c r="S10" s="301" t="e">
        <f t="shared" si="4"/>
        <v>#DIV/0!</v>
      </c>
      <c r="T10" s="301" t="e">
        <f t="shared" si="5"/>
        <v>#DIV/0!</v>
      </c>
      <c r="U10" s="301" t="e">
        <f t="shared" si="6"/>
        <v>#DIV/0!</v>
      </c>
      <c r="V10" s="301" t="e">
        <f t="shared" si="7"/>
        <v>#DIV/0!</v>
      </c>
      <c r="W10" s="301" t="e">
        <f t="shared" si="8"/>
        <v>#DIV/0!</v>
      </c>
      <c r="X10" s="304" t="e">
        <f t="shared" si="9"/>
        <v>#DIV/0!</v>
      </c>
    </row>
    <row r="11" spans="1:24" ht="16.5">
      <c r="A11" s="275">
        <v>46030</v>
      </c>
      <c r="B11" s="290">
        <f t="shared" si="0"/>
        <v>0</v>
      </c>
      <c r="C11" s="379">
        <f t="shared" si="0"/>
        <v>0</v>
      </c>
      <c r="D11" s="475">
        <f t="shared" si="0"/>
        <v>0</v>
      </c>
      <c r="E11" s="372" t="e">
        <f t="shared" si="1"/>
        <v>#DIV/0!</v>
      </c>
      <c r="F11" s="354" t="e">
        <f t="shared" si="2"/>
        <v>#DIV/0!</v>
      </c>
      <c r="G11" s="355" t="e">
        <f t="shared" si="2"/>
        <v>#DIV/0!</v>
      </c>
      <c r="H11" s="355" t="e">
        <f t="shared" si="2"/>
        <v>#DIV/0!</v>
      </c>
      <c r="I11" s="355" t="e">
        <f t="shared" si="2"/>
        <v>#DIV/0!</v>
      </c>
      <c r="J11" s="355" t="e">
        <f t="shared" si="2"/>
        <v>#DIV/0!</v>
      </c>
      <c r="K11" s="355" t="e">
        <f t="shared" si="2"/>
        <v>#DIV/0!</v>
      </c>
      <c r="L11" s="355" t="e">
        <f t="shared" si="2"/>
        <v>#DIV/0!</v>
      </c>
      <c r="M11" s="355" t="e">
        <f t="shared" si="2"/>
        <v>#DIV/0!</v>
      </c>
      <c r="N11" s="355" t="e">
        <f t="shared" si="2"/>
        <v>#DIV/0!</v>
      </c>
      <c r="O11" s="355" t="e">
        <f t="shared" si="2"/>
        <v>#DIV/0!</v>
      </c>
      <c r="P11" s="355" t="e">
        <f t="shared" si="2"/>
        <v>#DIV/0!</v>
      </c>
      <c r="Q11" s="355" t="e">
        <f t="shared" si="2"/>
        <v>#DIV/0!</v>
      </c>
      <c r="R11" s="301" t="e">
        <f t="shared" si="3"/>
        <v>#DIV/0!</v>
      </c>
      <c r="S11" s="301" t="e">
        <f t="shared" si="4"/>
        <v>#DIV/0!</v>
      </c>
      <c r="T11" s="301" t="e">
        <f t="shared" si="5"/>
        <v>#DIV/0!</v>
      </c>
      <c r="U11" s="301" t="e">
        <f t="shared" si="6"/>
        <v>#DIV/0!</v>
      </c>
      <c r="V11" s="301" t="e">
        <f t="shared" si="7"/>
        <v>#DIV/0!</v>
      </c>
      <c r="W11" s="301" t="e">
        <f t="shared" si="8"/>
        <v>#DIV/0!</v>
      </c>
      <c r="X11" s="304" t="e">
        <f t="shared" si="9"/>
        <v>#DIV/0!</v>
      </c>
    </row>
    <row r="12" spans="1:24" ht="16.5">
      <c r="A12" s="275">
        <v>46031</v>
      </c>
      <c r="B12" s="290">
        <f t="shared" si="0"/>
        <v>0</v>
      </c>
      <c r="C12" s="379">
        <f t="shared" si="0"/>
        <v>0</v>
      </c>
      <c r="D12" s="475">
        <f t="shared" si="0"/>
        <v>0</v>
      </c>
      <c r="E12" s="372" t="e">
        <f t="shared" si="1"/>
        <v>#DIV/0!</v>
      </c>
      <c r="F12" s="354" t="e">
        <f t="shared" si="2"/>
        <v>#DIV/0!</v>
      </c>
      <c r="G12" s="355" t="e">
        <f t="shared" si="2"/>
        <v>#DIV/0!</v>
      </c>
      <c r="H12" s="355" t="e">
        <f t="shared" si="2"/>
        <v>#DIV/0!</v>
      </c>
      <c r="I12" s="355" t="e">
        <f t="shared" si="2"/>
        <v>#DIV/0!</v>
      </c>
      <c r="J12" s="355" t="e">
        <f t="shared" si="2"/>
        <v>#DIV/0!</v>
      </c>
      <c r="K12" s="355" t="e">
        <f t="shared" si="2"/>
        <v>#DIV/0!</v>
      </c>
      <c r="L12" s="355" t="e">
        <f t="shared" si="2"/>
        <v>#DIV/0!</v>
      </c>
      <c r="M12" s="355" t="e">
        <f t="shared" si="2"/>
        <v>#DIV/0!</v>
      </c>
      <c r="N12" s="355" t="e">
        <f t="shared" si="2"/>
        <v>#DIV/0!</v>
      </c>
      <c r="O12" s="355" t="e">
        <f t="shared" si="2"/>
        <v>#DIV/0!</v>
      </c>
      <c r="P12" s="355" t="e">
        <f t="shared" si="2"/>
        <v>#DIV/0!</v>
      </c>
      <c r="Q12" s="355" t="e">
        <f t="shared" si="2"/>
        <v>#DIV/0!</v>
      </c>
      <c r="R12" s="301" t="e">
        <f t="shared" si="3"/>
        <v>#DIV/0!</v>
      </c>
      <c r="S12" s="301" t="e">
        <f t="shared" si="4"/>
        <v>#DIV/0!</v>
      </c>
      <c r="T12" s="301" t="e">
        <f t="shared" si="5"/>
        <v>#DIV/0!</v>
      </c>
      <c r="U12" s="301" t="e">
        <f t="shared" si="6"/>
        <v>#DIV/0!</v>
      </c>
      <c r="V12" s="301" t="e">
        <f t="shared" si="7"/>
        <v>#DIV/0!</v>
      </c>
      <c r="W12" s="301" t="e">
        <f t="shared" si="8"/>
        <v>#DIV/0!</v>
      </c>
      <c r="X12" s="304" t="e">
        <f t="shared" si="9"/>
        <v>#DIV/0!</v>
      </c>
    </row>
    <row r="13" spans="1:24" ht="16.5">
      <c r="A13" s="275">
        <v>46032</v>
      </c>
      <c r="B13" s="290">
        <f t="shared" si="0"/>
        <v>0</v>
      </c>
      <c r="C13" s="379">
        <f t="shared" si="0"/>
        <v>0</v>
      </c>
      <c r="D13" s="475">
        <f t="shared" si="0"/>
        <v>0</v>
      </c>
      <c r="E13" s="372" t="e">
        <f t="shared" si="1"/>
        <v>#DIV/0!</v>
      </c>
      <c r="F13" s="354" t="e">
        <f t="shared" si="2"/>
        <v>#DIV/0!</v>
      </c>
      <c r="G13" s="355" t="e">
        <f t="shared" si="2"/>
        <v>#DIV/0!</v>
      </c>
      <c r="H13" s="355" t="e">
        <f t="shared" si="2"/>
        <v>#DIV/0!</v>
      </c>
      <c r="I13" s="355" t="e">
        <f t="shared" si="2"/>
        <v>#DIV/0!</v>
      </c>
      <c r="J13" s="355" t="e">
        <f t="shared" si="2"/>
        <v>#DIV/0!</v>
      </c>
      <c r="K13" s="355" t="e">
        <f t="shared" si="2"/>
        <v>#DIV/0!</v>
      </c>
      <c r="L13" s="355" t="e">
        <f t="shared" si="2"/>
        <v>#DIV/0!</v>
      </c>
      <c r="M13" s="355" t="e">
        <f t="shared" si="2"/>
        <v>#DIV/0!</v>
      </c>
      <c r="N13" s="355" t="e">
        <f t="shared" si="2"/>
        <v>#DIV/0!</v>
      </c>
      <c r="O13" s="355" t="e">
        <f t="shared" si="2"/>
        <v>#DIV/0!</v>
      </c>
      <c r="P13" s="355" t="e">
        <f t="shared" si="2"/>
        <v>#DIV/0!</v>
      </c>
      <c r="Q13" s="355" t="e">
        <f t="shared" si="2"/>
        <v>#DIV/0!</v>
      </c>
      <c r="R13" s="301" t="e">
        <f t="shared" si="3"/>
        <v>#DIV/0!</v>
      </c>
      <c r="S13" s="301" t="e">
        <f t="shared" si="4"/>
        <v>#DIV/0!</v>
      </c>
      <c r="T13" s="301" t="e">
        <f t="shared" si="5"/>
        <v>#DIV/0!</v>
      </c>
      <c r="U13" s="301" t="e">
        <f t="shared" si="6"/>
        <v>#DIV/0!</v>
      </c>
      <c r="V13" s="301" t="e">
        <f t="shared" si="7"/>
        <v>#DIV/0!</v>
      </c>
      <c r="W13" s="301" t="e">
        <f t="shared" si="8"/>
        <v>#DIV/0!</v>
      </c>
      <c r="X13" s="304" t="e">
        <f t="shared" si="9"/>
        <v>#DIV/0!</v>
      </c>
    </row>
    <row r="14" spans="1:24" ht="16.5">
      <c r="A14" s="275">
        <v>46033</v>
      </c>
      <c r="B14" s="290">
        <f t="shared" si="0"/>
        <v>0</v>
      </c>
      <c r="C14" s="379">
        <f t="shared" si="0"/>
        <v>0</v>
      </c>
      <c r="D14" s="475">
        <f t="shared" si="0"/>
        <v>0</v>
      </c>
      <c r="E14" s="372" t="e">
        <f t="shared" si="1"/>
        <v>#DIV/0!</v>
      </c>
      <c r="F14" s="354" t="e">
        <f t="shared" si="2"/>
        <v>#DIV/0!</v>
      </c>
      <c r="G14" s="355" t="e">
        <f t="shared" si="2"/>
        <v>#DIV/0!</v>
      </c>
      <c r="H14" s="355" t="e">
        <f t="shared" si="2"/>
        <v>#DIV/0!</v>
      </c>
      <c r="I14" s="355" t="e">
        <f t="shared" si="2"/>
        <v>#DIV/0!</v>
      </c>
      <c r="J14" s="355" t="e">
        <f t="shared" si="2"/>
        <v>#DIV/0!</v>
      </c>
      <c r="K14" s="355" t="e">
        <f t="shared" si="2"/>
        <v>#DIV/0!</v>
      </c>
      <c r="L14" s="355" t="e">
        <f t="shared" si="2"/>
        <v>#DIV/0!</v>
      </c>
      <c r="M14" s="355" t="e">
        <f t="shared" si="2"/>
        <v>#DIV/0!</v>
      </c>
      <c r="N14" s="355" t="e">
        <f t="shared" si="2"/>
        <v>#DIV/0!</v>
      </c>
      <c r="O14" s="355" t="e">
        <f t="shared" si="2"/>
        <v>#DIV/0!</v>
      </c>
      <c r="P14" s="355" t="e">
        <f t="shared" si="2"/>
        <v>#DIV/0!</v>
      </c>
      <c r="Q14" s="355" t="e">
        <f t="shared" si="2"/>
        <v>#DIV/0!</v>
      </c>
      <c r="R14" s="301" t="e">
        <f t="shared" si="3"/>
        <v>#DIV/0!</v>
      </c>
      <c r="S14" s="301" t="e">
        <f t="shared" si="4"/>
        <v>#DIV/0!</v>
      </c>
      <c r="T14" s="301" t="e">
        <f t="shared" si="5"/>
        <v>#DIV/0!</v>
      </c>
      <c r="U14" s="301" t="e">
        <f t="shared" si="6"/>
        <v>#DIV/0!</v>
      </c>
      <c r="V14" s="301" t="e">
        <f t="shared" si="7"/>
        <v>#DIV/0!</v>
      </c>
      <c r="W14" s="301" t="e">
        <f t="shared" si="8"/>
        <v>#DIV/0!</v>
      </c>
      <c r="X14" s="304" t="e">
        <f t="shared" si="9"/>
        <v>#DIV/0!</v>
      </c>
    </row>
    <row r="15" spans="1:24" ht="16.5">
      <c r="A15" s="275">
        <v>46034</v>
      </c>
      <c r="B15" s="290">
        <f t="shared" si="0"/>
        <v>0</v>
      </c>
      <c r="C15" s="379">
        <f t="shared" si="0"/>
        <v>0</v>
      </c>
      <c r="D15" s="475">
        <f t="shared" si="0"/>
        <v>0</v>
      </c>
      <c r="E15" s="372" t="e">
        <f t="shared" si="1"/>
        <v>#DIV/0!</v>
      </c>
      <c r="F15" s="354" t="e">
        <f t="shared" si="2"/>
        <v>#DIV/0!</v>
      </c>
      <c r="G15" s="355" t="e">
        <f t="shared" si="2"/>
        <v>#DIV/0!</v>
      </c>
      <c r="H15" s="355" t="e">
        <f t="shared" si="2"/>
        <v>#DIV/0!</v>
      </c>
      <c r="I15" s="355" t="e">
        <f t="shared" si="2"/>
        <v>#DIV/0!</v>
      </c>
      <c r="J15" s="355" t="e">
        <f t="shared" si="2"/>
        <v>#DIV/0!</v>
      </c>
      <c r="K15" s="355" t="e">
        <f t="shared" si="2"/>
        <v>#DIV/0!</v>
      </c>
      <c r="L15" s="355" t="e">
        <f t="shared" si="2"/>
        <v>#DIV/0!</v>
      </c>
      <c r="M15" s="355" t="e">
        <f t="shared" si="2"/>
        <v>#DIV/0!</v>
      </c>
      <c r="N15" s="355" t="e">
        <f t="shared" si="2"/>
        <v>#DIV/0!</v>
      </c>
      <c r="O15" s="355" t="e">
        <f t="shared" si="2"/>
        <v>#DIV/0!</v>
      </c>
      <c r="P15" s="355" t="e">
        <f t="shared" si="2"/>
        <v>#DIV/0!</v>
      </c>
      <c r="Q15" s="355" t="e">
        <f t="shared" si="2"/>
        <v>#DIV/0!</v>
      </c>
      <c r="R15" s="301" t="e">
        <f t="shared" si="3"/>
        <v>#DIV/0!</v>
      </c>
      <c r="S15" s="301" t="e">
        <f t="shared" si="4"/>
        <v>#DIV/0!</v>
      </c>
      <c r="T15" s="301" t="e">
        <f t="shared" si="5"/>
        <v>#DIV/0!</v>
      </c>
      <c r="U15" s="301" t="e">
        <f t="shared" si="6"/>
        <v>#DIV/0!</v>
      </c>
      <c r="V15" s="301" t="e">
        <f t="shared" si="7"/>
        <v>#DIV/0!</v>
      </c>
      <c r="W15" s="301" t="e">
        <f t="shared" si="8"/>
        <v>#DIV/0!</v>
      </c>
      <c r="X15" s="304" t="e">
        <f t="shared" si="9"/>
        <v>#DIV/0!</v>
      </c>
    </row>
    <row r="16" spans="1:24" ht="17.25" thickBot="1">
      <c r="A16" s="128">
        <v>46035</v>
      </c>
      <c r="B16" s="295">
        <f t="shared" si="0"/>
        <v>0</v>
      </c>
      <c r="C16" s="466">
        <f t="shared" si="0"/>
        <v>0</v>
      </c>
      <c r="D16" s="472">
        <f t="shared" si="0"/>
        <v>0</v>
      </c>
      <c r="E16" s="316" t="e">
        <f t="shared" si="1"/>
        <v>#DIV/0!</v>
      </c>
      <c r="F16" s="323" t="e">
        <f t="shared" si="2"/>
        <v>#DIV/0!</v>
      </c>
      <c r="G16" s="324" t="e">
        <f t="shared" si="2"/>
        <v>#DIV/0!</v>
      </c>
      <c r="H16" s="324" t="e">
        <f t="shared" si="2"/>
        <v>#DIV/0!</v>
      </c>
      <c r="I16" s="324" t="e">
        <f t="shared" si="2"/>
        <v>#DIV/0!</v>
      </c>
      <c r="J16" s="324" t="e">
        <f t="shared" si="2"/>
        <v>#DIV/0!</v>
      </c>
      <c r="K16" s="324" t="e">
        <f t="shared" si="2"/>
        <v>#DIV/0!</v>
      </c>
      <c r="L16" s="324" t="e">
        <f t="shared" si="2"/>
        <v>#DIV/0!</v>
      </c>
      <c r="M16" s="324" t="e">
        <f t="shared" si="2"/>
        <v>#DIV/0!</v>
      </c>
      <c r="N16" s="324" t="e">
        <f t="shared" si="2"/>
        <v>#DIV/0!</v>
      </c>
      <c r="O16" s="324" t="e">
        <f t="shared" si="2"/>
        <v>#DIV/0!</v>
      </c>
      <c r="P16" s="324" t="e">
        <f t="shared" si="2"/>
        <v>#DIV/0!</v>
      </c>
      <c r="Q16" s="324" t="e">
        <f t="shared" si="2"/>
        <v>#DIV/0!</v>
      </c>
      <c r="R16" s="307" t="e">
        <f t="shared" si="3"/>
        <v>#DIV/0!</v>
      </c>
      <c r="S16" s="307" t="e">
        <f t="shared" si="4"/>
        <v>#DIV/0!</v>
      </c>
      <c r="T16" s="307" t="e">
        <f t="shared" si="5"/>
        <v>#DIV/0!</v>
      </c>
      <c r="U16" s="307" t="e">
        <f t="shared" si="6"/>
        <v>#DIV/0!</v>
      </c>
      <c r="V16" s="307" t="e">
        <f t="shared" si="7"/>
        <v>#DIV/0!</v>
      </c>
      <c r="W16" s="307" t="e">
        <f t="shared" si="8"/>
        <v>#DIV/0!</v>
      </c>
      <c r="X16" s="309" t="e">
        <f t="shared" si="9"/>
        <v>#DIV/0!</v>
      </c>
    </row>
    <row r="17" spans="1:24" ht="16.5">
      <c r="A17" s="87">
        <v>46036</v>
      </c>
      <c r="B17" s="290">
        <f t="shared" si="0"/>
        <v>0</v>
      </c>
      <c r="C17" s="379">
        <f t="shared" si="0"/>
        <v>0</v>
      </c>
      <c r="D17" s="475">
        <f t="shared" si="0"/>
        <v>0</v>
      </c>
      <c r="E17" s="372" t="e">
        <f t="shared" si="1"/>
        <v>#DIV/0!</v>
      </c>
      <c r="F17" s="354" t="e">
        <f t="shared" si="2"/>
        <v>#DIV/0!</v>
      </c>
      <c r="G17" s="355" t="e">
        <f t="shared" si="2"/>
        <v>#DIV/0!</v>
      </c>
      <c r="H17" s="355" t="e">
        <f t="shared" si="2"/>
        <v>#DIV/0!</v>
      </c>
      <c r="I17" s="355" t="e">
        <f t="shared" si="2"/>
        <v>#DIV/0!</v>
      </c>
      <c r="J17" s="355" t="e">
        <f t="shared" si="2"/>
        <v>#DIV/0!</v>
      </c>
      <c r="K17" s="355" t="e">
        <f t="shared" si="2"/>
        <v>#DIV/0!</v>
      </c>
      <c r="L17" s="355" t="e">
        <f t="shared" si="2"/>
        <v>#DIV/0!</v>
      </c>
      <c r="M17" s="355" t="e">
        <f t="shared" si="2"/>
        <v>#DIV/0!</v>
      </c>
      <c r="N17" s="355" t="e">
        <f t="shared" si="2"/>
        <v>#DIV/0!</v>
      </c>
      <c r="O17" s="355" t="e">
        <f t="shared" si="2"/>
        <v>#DIV/0!</v>
      </c>
      <c r="P17" s="355" t="e">
        <f t="shared" si="2"/>
        <v>#DIV/0!</v>
      </c>
      <c r="Q17" s="355" t="e">
        <f t="shared" si="2"/>
        <v>#DIV/0!</v>
      </c>
      <c r="R17" s="301" t="e">
        <f t="shared" si="3"/>
        <v>#DIV/0!</v>
      </c>
      <c r="S17" s="301" t="e">
        <f t="shared" si="4"/>
        <v>#DIV/0!</v>
      </c>
      <c r="T17" s="301" t="e">
        <f t="shared" si="5"/>
        <v>#DIV/0!</v>
      </c>
      <c r="U17" s="301" t="e">
        <f t="shared" si="6"/>
        <v>#DIV/0!</v>
      </c>
      <c r="V17" s="301" t="e">
        <f t="shared" si="7"/>
        <v>#DIV/0!</v>
      </c>
      <c r="W17" s="301" t="e">
        <f t="shared" si="8"/>
        <v>#DIV/0!</v>
      </c>
      <c r="X17" s="304" t="e">
        <f t="shared" si="9"/>
        <v>#DIV/0!</v>
      </c>
    </row>
    <row r="18" spans="1:24" ht="16.5">
      <c r="A18" s="87">
        <v>46037</v>
      </c>
      <c r="B18" s="290">
        <f t="shared" si="0"/>
        <v>0</v>
      </c>
      <c r="C18" s="379">
        <f t="shared" si="0"/>
        <v>0</v>
      </c>
      <c r="D18" s="475">
        <f t="shared" si="0"/>
        <v>0</v>
      </c>
      <c r="E18" s="372" t="e">
        <f t="shared" si="1"/>
        <v>#DIV/0!</v>
      </c>
      <c r="F18" s="354" t="e">
        <f t="shared" si="2"/>
        <v>#DIV/0!</v>
      </c>
      <c r="G18" s="355" t="e">
        <f t="shared" si="2"/>
        <v>#DIV/0!</v>
      </c>
      <c r="H18" s="355" t="e">
        <f t="shared" si="2"/>
        <v>#DIV/0!</v>
      </c>
      <c r="I18" s="355" t="e">
        <f t="shared" si="2"/>
        <v>#DIV/0!</v>
      </c>
      <c r="J18" s="355" t="e">
        <f t="shared" si="2"/>
        <v>#DIV/0!</v>
      </c>
      <c r="K18" s="355" t="e">
        <f t="shared" si="2"/>
        <v>#DIV/0!</v>
      </c>
      <c r="L18" s="355" t="e">
        <f t="shared" si="2"/>
        <v>#DIV/0!</v>
      </c>
      <c r="M18" s="355" t="e">
        <f t="shared" si="2"/>
        <v>#DIV/0!</v>
      </c>
      <c r="N18" s="355" t="e">
        <f t="shared" si="2"/>
        <v>#DIV/0!</v>
      </c>
      <c r="O18" s="355" t="e">
        <f t="shared" si="2"/>
        <v>#DIV/0!</v>
      </c>
      <c r="P18" s="355" t="e">
        <f t="shared" si="2"/>
        <v>#DIV/0!</v>
      </c>
      <c r="Q18" s="355" t="e">
        <f t="shared" si="2"/>
        <v>#DIV/0!</v>
      </c>
      <c r="R18" s="301" t="e">
        <f t="shared" si="3"/>
        <v>#DIV/0!</v>
      </c>
      <c r="S18" s="301" t="e">
        <f t="shared" si="4"/>
        <v>#DIV/0!</v>
      </c>
      <c r="T18" s="301" t="e">
        <f t="shared" si="5"/>
        <v>#DIV/0!</v>
      </c>
      <c r="U18" s="301" t="e">
        <f t="shared" si="6"/>
        <v>#DIV/0!</v>
      </c>
      <c r="V18" s="301" t="e">
        <f t="shared" si="7"/>
        <v>#DIV/0!</v>
      </c>
      <c r="W18" s="301" t="e">
        <f t="shared" si="8"/>
        <v>#DIV/0!</v>
      </c>
      <c r="X18" s="304" t="e">
        <f t="shared" si="9"/>
        <v>#DIV/0!</v>
      </c>
    </row>
    <row r="19" spans="1:24" ht="16.5">
      <c r="A19" s="88">
        <v>46038</v>
      </c>
      <c r="B19" s="290">
        <f t="shared" si="0"/>
        <v>0</v>
      </c>
      <c r="C19" s="379">
        <f t="shared" si="0"/>
        <v>0</v>
      </c>
      <c r="D19" s="475">
        <f t="shared" si="0"/>
        <v>0</v>
      </c>
      <c r="E19" s="372" t="e">
        <f t="shared" si="1"/>
        <v>#DIV/0!</v>
      </c>
      <c r="F19" s="354" t="e">
        <f t="shared" si="2"/>
        <v>#DIV/0!</v>
      </c>
      <c r="G19" s="355" t="e">
        <f t="shared" si="2"/>
        <v>#DIV/0!</v>
      </c>
      <c r="H19" s="355" t="e">
        <f t="shared" si="2"/>
        <v>#DIV/0!</v>
      </c>
      <c r="I19" s="355" t="e">
        <f t="shared" si="2"/>
        <v>#DIV/0!</v>
      </c>
      <c r="J19" s="355" t="e">
        <f t="shared" si="2"/>
        <v>#DIV/0!</v>
      </c>
      <c r="K19" s="355" t="e">
        <f t="shared" si="2"/>
        <v>#DIV/0!</v>
      </c>
      <c r="L19" s="355" t="e">
        <f t="shared" si="2"/>
        <v>#DIV/0!</v>
      </c>
      <c r="M19" s="355" t="e">
        <f t="shared" si="2"/>
        <v>#DIV/0!</v>
      </c>
      <c r="N19" s="355" t="e">
        <f t="shared" si="2"/>
        <v>#DIV/0!</v>
      </c>
      <c r="O19" s="355" t="e">
        <f t="shared" si="2"/>
        <v>#DIV/0!</v>
      </c>
      <c r="P19" s="355" t="e">
        <f t="shared" si="2"/>
        <v>#DIV/0!</v>
      </c>
      <c r="Q19" s="355" t="e">
        <f t="shared" si="2"/>
        <v>#DIV/0!</v>
      </c>
      <c r="R19" s="301" t="e">
        <f t="shared" si="3"/>
        <v>#DIV/0!</v>
      </c>
      <c r="S19" s="301" t="e">
        <f t="shared" si="4"/>
        <v>#DIV/0!</v>
      </c>
      <c r="T19" s="301" t="e">
        <f t="shared" si="5"/>
        <v>#DIV/0!</v>
      </c>
      <c r="U19" s="301" t="e">
        <f t="shared" si="6"/>
        <v>#DIV/0!</v>
      </c>
      <c r="V19" s="301" t="e">
        <f t="shared" si="7"/>
        <v>#DIV/0!</v>
      </c>
      <c r="W19" s="301" t="e">
        <f t="shared" si="8"/>
        <v>#DIV/0!</v>
      </c>
      <c r="X19" s="304" t="e">
        <f t="shared" si="9"/>
        <v>#DIV/0!</v>
      </c>
    </row>
    <row r="20" spans="1:24" ht="16.5">
      <c r="A20" s="88">
        <v>46039</v>
      </c>
      <c r="B20" s="290">
        <f t="shared" si="0"/>
        <v>0</v>
      </c>
      <c r="C20" s="379">
        <f t="shared" si="0"/>
        <v>0</v>
      </c>
      <c r="D20" s="475">
        <f t="shared" si="0"/>
        <v>0</v>
      </c>
      <c r="E20" s="372" t="e">
        <f t="shared" si="1"/>
        <v>#DIV/0!</v>
      </c>
      <c r="F20" s="354" t="e">
        <f t="shared" si="2"/>
        <v>#DIV/0!</v>
      </c>
      <c r="G20" s="355" t="e">
        <f t="shared" si="2"/>
        <v>#DIV/0!</v>
      </c>
      <c r="H20" s="355" t="e">
        <f t="shared" si="2"/>
        <v>#DIV/0!</v>
      </c>
      <c r="I20" s="355" t="e">
        <f t="shared" si="2"/>
        <v>#DIV/0!</v>
      </c>
      <c r="J20" s="355" t="e">
        <f t="shared" si="2"/>
        <v>#DIV/0!</v>
      </c>
      <c r="K20" s="355" t="e">
        <f t="shared" si="2"/>
        <v>#DIV/0!</v>
      </c>
      <c r="L20" s="355" t="e">
        <f t="shared" si="2"/>
        <v>#DIV/0!</v>
      </c>
      <c r="M20" s="355" t="e">
        <f t="shared" si="2"/>
        <v>#DIV/0!</v>
      </c>
      <c r="N20" s="355" t="e">
        <f t="shared" si="2"/>
        <v>#DIV/0!</v>
      </c>
      <c r="O20" s="355" t="e">
        <f t="shared" si="2"/>
        <v>#DIV/0!</v>
      </c>
      <c r="P20" s="355" t="e">
        <f t="shared" si="2"/>
        <v>#DIV/0!</v>
      </c>
      <c r="Q20" s="355" t="e">
        <f t="shared" si="2"/>
        <v>#DIV/0!</v>
      </c>
      <c r="R20" s="301" t="e">
        <f t="shared" si="3"/>
        <v>#DIV/0!</v>
      </c>
      <c r="S20" s="301" t="e">
        <f t="shared" si="4"/>
        <v>#DIV/0!</v>
      </c>
      <c r="T20" s="301" t="e">
        <f t="shared" si="5"/>
        <v>#DIV/0!</v>
      </c>
      <c r="U20" s="301" t="e">
        <f t="shared" si="6"/>
        <v>#DIV/0!</v>
      </c>
      <c r="V20" s="301" t="e">
        <f t="shared" si="7"/>
        <v>#DIV/0!</v>
      </c>
      <c r="W20" s="301" t="e">
        <f t="shared" si="8"/>
        <v>#DIV/0!</v>
      </c>
      <c r="X20" s="304" t="e">
        <f t="shared" si="9"/>
        <v>#DIV/0!</v>
      </c>
    </row>
    <row r="21" spans="1:24" ht="16.5">
      <c r="A21" s="87">
        <v>46040</v>
      </c>
      <c r="B21" s="290">
        <f t="shared" si="0"/>
        <v>0</v>
      </c>
      <c r="C21" s="379">
        <f t="shared" si="0"/>
        <v>0</v>
      </c>
      <c r="D21" s="475">
        <f t="shared" si="0"/>
        <v>0</v>
      </c>
      <c r="E21" s="372" t="e">
        <f t="shared" si="1"/>
        <v>#DIV/0!</v>
      </c>
      <c r="F21" s="354" t="e">
        <f t="shared" si="2"/>
        <v>#DIV/0!</v>
      </c>
      <c r="G21" s="355" t="e">
        <f t="shared" si="2"/>
        <v>#DIV/0!</v>
      </c>
      <c r="H21" s="355" t="e">
        <f t="shared" si="2"/>
        <v>#DIV/0!</v>
      </c>
      <c r="I21" s="355" t="e">
        <f t="shared" si="2"/>
        <v>#DIV/0!</v>
      </c>
      <c r="J21" s="355" t="e">
        <f t="shared" si="2"/>
        <v>#DIV/0!</v>
      </c>
      <c r="K21" s="355" t="e">
        <f t="shared" si="2"/>
        <v>#DIV/0!</v>
      </c>
      <c r="L21" s="355" t="e">
        <f t="shared" si="2"/>
        <v>#DIV/0!</v>
      </c>
      <c r="M21" s="355" t="e">
        <f t="shared" si="2"/>
        <v>#DIV/0!</v>
      </c>
      <c r="N21" s="355" t="e">
        <f t="shared" si="2"/>
        <v>#DIV/0!</v>
      </c>
      <c r="O21" s="355" t="e">
        <f t="shared" si="2"/>
        <v>#DIV/0!</v>
      </c>
      <c r="P21" s="355" t="e">
        <f t="shared" si="2"/>
        <v>#DIV/0!</v>
      </c>
      <c r="Q21" s="355" t="e">
        <f t="shared" si="2"/>
        <v>#DIV/0!</v>
      </c>
      <c r="R21" s="301" t="e">
        <f t="shared" si="3"/>
        <v>#DIV/0!</v>
      </c>
      <c r="S21" s="301" t="e">
        <f t="shared" si="4"/>
        <v>#DIV/0!</v>
      </c>
      <c r="T21" s="301" t="e">
        <f t="shared" si="5"/>
        <v>#DIV/0!</v>
      </c>
      <c r="U21" s="301" t="e">
        <f t="shared" si="6"/>
        <v>#DIV/0!</v>
      </c>
      <c r="V21" s="301" t="e">
        <f t="shared" si="7"/>
        <v>#DIV/0!</v>
      </c>
      <c r="W21" s="301" t="e">
        <f t="shared" si="8"/>
        <v>#DIV/0!</v>
      </c>
      <c r="X21" s="304" t="e">
        <f t="shared" si="9"/>
        <v>#DIV/0!</v>
      </c>
    </row>
    <row r="22" spans="1:24" ht="16.5">
      <c r="A22" s="88">
        <v>46041</v>
      </c>
      <c r="B22" s="290">
        <f t="shared" si="0"/>
        <v>0</v>
      </c>
      <c r="C22" s="379">
        <f t="shared" si="0"/>
        <v>0</v>
      </c>
      <c r="D22" s="475">
        <f t="shared" si="0"/>
        <v>0</v>
      </c>
      <c r="E22" s="372" t="e">
        <f t="shared" si="1"/>
        <v>#DIV/0!</v>
      </c>
      <c r="F22" s="354" t="e">
        <f t="shared" si="2"/>
        <v>#DIV/0!</v>
      </c>
      <c r="G22" s="355" t="e">
        <f t="shared" si="2"/>
        <v>#DIV/0!</v>
      </c>
      <c r="H22" s="355" t="e">
        <f t="shared" si="2"/>
        <v>#DIV/0!</v>
      </c>
      <c r="I22" s="355" t="e">
        <f t="shared" si="2"/>
        <v>#DIV/0!</v>
      </c>
      <c r="J22" s="355" t="e">
        <f t="shared" si="2"/>
        <v>#DIV/0!</v>
      </c>
      <c r="K22" s="355" t="e">
        <f t="shared" si="2"/>
        <v>#DIV/0!</v>
      </c>
      <c r="L22" s="355" t="e">
        <f t="shared" si="2"/>
        <v>#DIV/0!</v>
      </c>
      <c r="M22" s="355" t="e">
        <f t="shared" si="2"/>
        <v>#DIV/0!</v>
      </c>
      <c r="N22" s="355" t="e">
        <f t="shared" si="2"/>
        <v>#DIV/0!</v>
      </c>
      <c r="O22" s="355" t="e">
        <f t="shared" si="2"/>
        <v>#DIV/0!</v>
      </c>
      <c r="P22" s="355" t="e">
        <f t="shared" si="2"/>
        <v>#DIV/0!</v>
      </c>
      <c r="Q22" s="355" t="e">
        <f t="shared" si="2"/>
        <v>#DIV/0!</v>
      </c>
      <c r="R22" s="301" t="e">
        <f t="shared" si="3"/>
        <v>#DIV/0!</v>
      </c>
      <c r="S22" s="301" t="e">
        <f t="shared" si="4"/>
        <v>#DIV/0!</v>
      </c>
      <c r="T22" s="301" t="e">
        <f t="shared" si="5"/>
        <v>#DIV/0!</v>
      </c>
      <c r="U22" s="301" t="e">
        <f t="shared" si="6"/>
        <v>#DIV/0!</v>
      </c>
      <c r="V22" s="301" t="e">
        <f t="shared" si="7"/>
        <v>#DIV/0!</v>
      </c>
      <c r="W22" s="301" t="e">
        <f t="shared" si="8"/>
        <v>#DIV/0!</v>
      </c>
      <c r="X22" s="304" t="e">
        <f t="shared" si="9"/>
        <v>#DIV/0!</v>
      </c>
    </row>
    <row r="23" spans="1:24" ht="16.5">
      <c r="A23" s="88">
        <v>46042</v>
      </c>
      <c r="B23" s="290">
        <f t="shared" si="0"/>
        <v>0</v>
      </c>
      <c r="C23" s="379">
        <f t="shared" si="0"/>
        <v>0</v>
      </c>
      <c r="D23" s="475">
        <f t="shared" si="0"/>
        <v>0</v>
      </c>
      <c r="E23" s="372" t="e">
        <f t="shared" si="1"/>
        <v>#DIV/0!</v>
      </c>
      <c r="F23" s="354" t="e">
        <f t="shared" si="2"/>
        <v>#DIV/0!</v>
      </c>
      <c r="G23" s="355" t="e">
        <f t="shared" si="2"/>
        <v>#DIV/0!</v>
      </c>
      <c r="H23" s="355" t="e">
        <f t="shared" si="2"/>
        <v>#DIV/0!</v>
      </c>
      <c r="I23" s="355" t="e">
        <f t="shared" ref="I23:Q54" si="10">(AI23*$AC23+BI23*$BC23)/$C23</f>
        <v>#DIV/0!</v>
      </c>
      <c r="J23" s="355" t="e">
        <f t="shared" si="10"/>
        <v>#DIV/0!</v>
      </c>
      <c r="K23" s="355" t="e">
        <f t="shared" si="10"/>
        <v>#DIV/0!</v>
      </c>
      <c r="L23" s="355" t="e">
        <f t="shared" si="10"/>
        <v>#DIV/0!</v>
      </c>
      <c r="M23" s="355" t="e">
        <f t="shared" si="10"/>
        <v>#DIV/0!</v>
      </c>
      <c r="N23" s="355" t="e">
        <f t="shared" si="10"/>
        <v>#DIV/0!</v>
      </c>
      <c r="O23" s="355" t="e">
        <f t="shared" si="10"/>
        <v>#DIV/0!</v>
      </c>
      <c r="P23" s="355" t="e">
        <f t="shared" si="10"/>
        <v>#DIV/0!</v>
      </c>
      <c r="Q23" s="355" t="e">
        <f t="shared" si="10"/>
        <v>#DIV/0!</v>
      </c>
      <c r="R23" s="301" t="e">
        <f t="shared" si="3"/>
        <v>#DIV/0!</v>
      </c>
      <c r="S23" s="301" t="e">
        <f t="shared" si="4"/>
        <v>#DIV/0!</v>
      </c>
      <c r="T23" s="301" t="e">
        <f t="shared" si="5"/>
        <v>#DIV/0!</v>
      </c>
      <c r="U23" s="301" t="e">
        <f t="shared" si="6"/>
        <v>#DIV/0!</v>
      </c>
      <c r="V23" s="301" t="e">
        <f t="shared" si="7"/>
        <v>#DIV/0!</v>
      </c>
      <c r="W23" s="301" t="e">
        <f t="shared" si="8"/>
        <v>#DIV/0!</v>
      </c>
      <c r="X23" s="304" t="e">
        <f t="shared" si="9"/>
        <v>#DIV/0!</v>
      </c>
    </row>
    <row r="24" spans="1:24" ht="16.5">
      <c r="A24" s="88">
        <v>46043</v>
      </c>
      <c r="B24" s="290">
        <f t="shared" si="0"/>
        <v>0</v>
      </c>
      <c r="C24" s="379">
        <f t="shared" si="0"/>
        <v>0</v>
      </c>
      <c r="D24" s="475">
        <f t="shared" si="0"/>
        <v>0</v>
      </c>
      <c r="E24" s="372" t="e">
        <f t="shared" si="1"/>
        <v>#DIV/0!</v>
      </c>
      <c r="F24" s="354" t="e">
        <f t="shared" ref="F24:K55" si="11">(AF24*$AC24+BF24*$BC24)/$C24</f>
        <v>#DIV/0!</v>
      </c>
      <c r="G24" s="355" t="e">
        <f t="shared" si="11"/>
        <v>#DIV/0!</v>
      </c>
      <c r="H24" s="355" t="e">
        <f t="shared" si="11"/>
        <v>#DIV/0!</v>
      </c>
      <c r="I24" s="355" t="e">
        <f t="shared" si="10"/>
        <v>#DIV/0!</v>
      </c>
      <c r="J24" s="355" t="e">
        <f t="shared" si="10"/>
        <v>#DIV/0!</v>
      </c>
      <c r="K24" s="355" t="e">
        <f t="shared" si="10"/>
        <v>#DIV/0!</v>
      </c>
      <c r="L24" s="355" t="e">
        <f t="shared" si="10"/>
        <v>#DIV/0!</v>
      </c>
      <c r="M24" s="355" t="e">
        <f t="shared" si="10"/>
        <v>#DIV/0!</v>
      </c>
      <c r="N24" s="355" t="e">
        <f t="shared" si="10"/>
        <v>#DIV/0!</v>
      </c>
      <c r="O24" s="355" t="e">
        <f t="shared" si="10"/>
        <v>#DIV/0!</v>
      </c>
      <c r="P24" s="355" t="e">
        <f t="shared" si="10"/>
        <v>#DIV/0!</v>
      </c>
      <c r="Q24" s="355" t="e">
        <f t="shared" si="10"/>
        <v>#DIV/0!</v>
      </c>
      <c r="R24" s="301" t="e">
        <f t="shared" si="3"/>
        <v>#DIV/0!</v>
      </c>
      <c r="S24" s="301" t="e">
        <f t="shared" si="4"/>
        <v>#DIV/0!</v>
      </c>
      <c r="T24" s="301" t="e">
        <f t="shared" si="5"/>
        <v>#DIV/0!</v>
      </c>
      <c r="U24" s="301" t="e">
        <f t="shared" si="6"/>
        <v>#DIV/0!</v>
      </c>
      <c r="V24" s="301" t="e">
        <f t="shared" si="7"/>
        <v>#DIV/0!</v>
      </c>
      <c r="W24" s="301" t="e">
        <f t="shared" si="8"/>
        <v>#DIV/0!</v>
      </c>
      <c r="X24" s="304" t="e">
        <f t="shared" si="9"/>
        <v>#DIV/0!</v>
      </c>
    </row>
    <row r="25" spans="1:24" ht="16.5">
      <c r="A25" s="58">
        <v>46044</v>
      </c>
      <c r="B25" s="290">
        <f t="shared" si="0"/>
        <v>0</v>
      </c>
      <c r="C25" s="379">
        <f t="shared" si="0"/>
        <v>0</v>
      </c>
      <c r="D25" s="475">
        <f t="shared" si="0"/>
        <v>0</v>
      </c>
      <c r="E25" s="372" t="e">
        <f t="shared" si="1"/>
        <v>#DIV/0!</v>
      </c>
      <c r="F25" s="354" t="e">
        <f t="shared" si="11"/>
        <v>#DIV/0!</v>
      </c>
      <c r="G25" s="355" t="e">
        <f t="shared" si="11"/>
        <v>#DIV/0!</v>
      </c>
      <c r="H25" s="355" t="e">
        <f t="shared" si="11"/>
        <v>#DIV/0!</v>
      </c>
      <c r="I25" s="355" t="e">
        <f t="shared" si="10"/>
        <v>#DIV/0!</v>
      </c>
      <c r="J25" s="355" t="e">
        <f t="shared" si="10"/>
        <v>#DIV/0!</v>
      </c>
      <c r="K25" s="355" t="e">
        <f t="shared" si="10"/>
        <v>#DIV/0!</v>
      </c>
      <c r="L25" s="355" t="e">
        <f t="shared" si="10"/>
        <v>#DIV/0!</v>
      </c>
      <c r="M25" s="355" t="e">
        <f t="shared" si="10"/>
        <v>#DIV/0!</v>
      </c>
      <c r="N25" s="355" t="e">
        <f t="shared" si="10"/>
        <v>#DIV/0!</v>
      </c>
      <c r="O25" s="355" t="e">
        <f t="shared" si="10"/>
        <v>#DIV/0!</v>
      </c>
      <c r="P25" s="355" t="e">
        <f t="shared" si="10"/>
        <v>#DIV/0!</v>
      </c>
      <c r="Q25" s="355" t="e">
        <f t="shared" si="10"/>
        <v>#DIV/0!</v>
      </c>
      <c r="R25" s="301" t="e">
        <f t="shared" si="3"/>
        <v>#DIV/0!</v>
      </c>
      <c r="S25" s="301" t="e">
        <f t="shared" si="4"/>
        <v>#DIV/0!</v>
      </c>
      <c r="T25" s="301" t="e">
        <f t="shared" si="5"/>
        <v>#DIV/0!</v>
      </c>
      <c r="U25" s="301" t="e">
        <f t="shared" si="6"/>
        <v>#DIV/0!</v>
      </c>
      <c r="V25" s="301" t="e">
        <f t="shared" si="7"/>
        <v>#DIV/0!</v>
      </c>
      <c r="W25" s="301" t="e">
        <f t="shared" si="8"/>
        <v>#DIV/0!</v>
      </c>
      <c r="X25" s="304" t="e">
        <f t="shared" si="9"/>
        <v>#DIV/0!</v>
      </c>
    </row>
    <row r="26" spans="1:24" ht="16.5">
      <c r="A26" s="58">
        <v>46045</v>
      </c>
      <c r="B26" s="290">
        <f t="shared" si="0"/>
        <v>0</v>
      </c>
      <c r="C26" s="379">
        <f t="shared" si="0"/>
        <v>0</v>
      </c>
      <c r="D26" s="475">
        <f t="shared" si="0"/>
        <v>0</v>
      </c>
      <c r="E26" s="372" t="e">
        <f t="shared" si="1"/>
        <v>#DIV/0!</v>
      </c>
      <c r="F26" s="354" t="e">
        <f t="shared" si="11"/>
        <v>#DIV/0!</v>
      </c>
      <c r="G26" s="355" t="e">
        <f t="shared" si="11"/>
        <v>#DIV/0!</v>
      </c>
      <c r="H26" s="355" t="e">
        <f t="shared" si="11"/>
        <v>#DIV/0!</v>
      </c>
      <c r="I26" s="355" t="e">
        <f t="shared" si="10"/>
        <v>#DIV/0!</v>
      </c>
      <c r="J26" s="355" t="e">
        <f t="shared" si="10"/>
        <v>#DIV/0!</v>
      </c>
      <c r="K26" s="355" t="e">
        <f t="shared" si="10"/>
        <v>#DIV/0!</v>
      </c>
      <c r="L26" s="355" t="e">
        <f t="shared" si="10"/>
        <v>#DIV/0!</v>
      </c>
      <c r="M26" s="355" t="e">
        <f t="shared" si="10"/>
        <v>#DIV/0!</v>
      </c>
      <c r="N26" s="355" t="e">
        <f t="shared" si="10"/>
        <v>#DIV/0!</v>
      </c>
      <c r="O26" s="355" t="e">
        <f t="shared" si="10"/>
        <v>#DIV/0!</v>
      </c>
      <c r="P26" s="355" t="e">
        <f t="shared" si="10"/>
        <v>#DIV/0!</v>
      </c>
      <c r="Q26" s="355" t="e">
        <f t="shared" si="10"/>
        <v>#DIV/0!</v>
      </c>
      <c r="R26" s="301" t="e">
        <f t="shared" si="3"/>
        <v>#DIV/0!</v>
      </c>
      <c r="S26" s="301" t="e">
        <f t="shared" si="4"/>
        <v>#DIV/0!</v>
      </c>
      <c r="T26" s="301" t="e">
        <f t="shared" si="5"/>
        <v>#DIV/0!</v>
      </c>
      <c r="U26" s="301" t="e">
        <f t="shared" si="6"/>
        <v>#DIV/0!</v>
      </c>
      <c r="V26" s="301" t="e">
        <f t="shared" si="7"/>
        <v>#DIV/0!</v>
      </c>
      <c r="W26" s="301" t="e">
        <f t="shared" si="8"/>
        <v>#DIV/0!</v>
      </c>
      <c r="X26" s="304" t="e">
        <f t="shared" si="9"/>
        <v>#DIV/0!</v>
      </c>
    </row>
    <row r="27" spans="1:24" ht="16.5">
      <c r="A27" s="58">
        <v>46046</v>
      </c>
      <c r="B27" s="290">
        <f t="shared" si="0"/>
        <v>0</v>
      </c>
      <c r="C27" s="379">
        <f t="shared" si="0"/>
        <v>0</v>
      </c>
      <c r="D27" s="475">
        <f t="shared" si="0"/>
        <v>0</v>
      </c>
      <c r="E27" s="372" t="e">
        <f t="shared" si="1"/>
        <v>#DIV/0!</v>
      </c>
      <c r="F27" s="354" t="e">
        <f t="shared" si="11"/>
        <v>#DIV/0!</v>
      </c>
      <c r="G27" s="355" t="e">
        <f t="shared" si="11"/>
        <v>#DIV/0!</v>
      </c>
      <c r="H27" s="355" t="e">
        <f t="shared" si="11"/>
        <v>#DIV/0!</v>
      </c>
      <c r="I27" s="355" t="e">
        <f t="shared" si="10"/>
        <v>#DIV/0!</v>
      </c>
      <c r="J27" s="355" t="e">
        <f t="shared" si="10"/>
        <v>#DIV/0!</v>
      </c>
      <c r="K27" s="355" t="e">
        <f t="shared" si="10"/>
        <v>#DIV/0!</v>
      </c>
      <c r="L27" s="355" t="e">
        <f t="shared" si="10"/>
        <v>#DIV/0!</v>
      </c>
      <c r="M27" s="355" t="e">
        <f t="shared" si="10"/>
        <v>#DIV/0!</v>
      </c>
      <c r="N27" s="355" t="e">
        <f t="shared" si="10"/>
        <v>#DIV/0!</v>
      </c>
      <c r="O27" s="355" t="e">
        <f t="shared" si="10"/>
        <v>#DIV/0!</v>
      </c>
      <c r="P27" s="355" t="e">
        <f t="shared" si="10"/>
        <v>#DIV/0!</v>
      </c>
      <c r="Q27" s="355" t="e">
        <f t="shared" si="10"/>
        <v>#DIV/0!</v>
      </c>
      <c r="R27" s="301" t="e">
        <f t="shared" si="3"/>
        <v>#DIV/0!</v>
      </c>
      <c r="S27" s="301" t="e">
        <f t="shared" si="4"/>
        <v>#DIV/0!</v>
      </c>
      <c r="T27" s="301" t="e">
        <f t="shared" si="5"/>
        <v>#DIV/0!</v>
      </c>
      <c r="U27" s="301" t="e">
        <f t="shared" si="6"/>
        <v>#DIV/0!</v>
      </c>
      <c r="V27" s="301" t="e">
        <f t="shared" si="7"/>
        <v>#DIV/0!</v>
      </c>
      <c r="W27" s="301" t="e">
        <f t="shared" si="8"/>
        <v>#DIV/0!</v>
      </c>
      <c r="X27" s="304" t="e">
        <f t="shared" si="9"/>
        <v>#DIV/0!</v>
      </c>
    </row>
    <row r="28" spans="1:24" ht="16.5">
      <c r="A28" s="87">
        <v>46047</v>
      </c>
      <c r="B28" s="290">
        <f t="shared" si="0"/>
        <v>0</v>
      </c>
      <c r="C28" s="379">
        <f t="shared" si="0"/>
        <v>0</v>
      </c>
      <c r="D28" s="475">
        <f t="shared" si="0"/>
        <v>0</v>
      </c>
      <c r="E28" s="372" t="e">
        <f t="shared" si="1"/>
        <v>#DIV/0!</v>
      </c>
      <c r="F28" s="354" t="e">
        <f t="shared" si="11"/>
        <v>#DIV/0!</v>
      </c>
      <c r="G28" s="355" t="e">
        <f t="shared" si="11"/>
        <v>#DIV/0!</v>
      </c>
      <c r="H28" s="355" t="e">
        <f t="shared" si="11"/>
        <v>#DIV/0!</v>
      </c>
      <c r="I28" s="355" t="e">
        <f t="shared" si="10"/>
        <v>#DIV/0!</v>
      </c>
      <c r="J28" s="355" t="e">
        <f t="shared" si="10"/>
        <v>#DIV/0!</v>
      </c>
      <c r="K28" s="355" t="e">
        <f t="shared" si="10"/>
        <v>#DIV/0!</v>
      </c>
      <c r="L28" s="355" t="e">
        <f t="shared" si="10"/>
        <v>#DIV/0!</v>
      </c>
      <c r="M28" s="355" t="e">
        <f t="shared" si="10"/>
        <v>#DIV/0!</v>
      </c>
      <c r="N28" s="355" t="e">
        <f t="shared" si="10"/>
        <v>#DIV/0!</v>
      </c>
      <c r="O28" s="355" t="e">
        <f t="shared" si="10"/>
        <v>#DIV/0!</v>
      </c>
      <c r="P28" s="355" t="e">
        <f t="shared" si="10"/>
        <v>#DIV/0!</v>
      </c>
      <c r="Q28" s="355" t="e">
        <f t="shared" si="10"/>
        <v>#DIV/0!</v>
      </c>
      <c r="R28" s="301" t="e">
        <f t="shared" si="3"/>
        <v>#DIV/0!</v>
      </c>
      <c r="S28" s="301" t="e">
        <f t="shared" si="4"/>
        <v>#DIV/0!</v>
      </c>
      <c r="T28" s="301" t="e">
        <f t="shared" si="5"/>
        <v>#DIV/0!</v>
      </c>
      <c r="U28" s="301" t="e">
        <f t="shared" si="6"/>
        <v>#DIV/0!</v>
      </c>
      <c r="V28" s="301" t="e">
        <f t="shared" si="7"/>
        <v>#DIV/0!</v>
      </c>
      <c r="W28" s="301" t="e">
        <f t="shared" si="8"/>
        <v>#DIV/0!</v>
      </c>
      <c r="X28" s="304" t="e">
        <f t="shared" si="9"/>
        <v>#DIV/0!</v>
      </c>
    </row>
    <row r="29" spans="1:24" ht="16.5">
      <c r="A29" s="87">
        <v>46048</v>
      </c>
      <c r="B29" s="290">
        <f t="shared" si="0"/>
        <v>0</v>
      </c>
      <c r="C29" s="379">
        <f t="shared" si="0"/>
        <v>0</v>
      </c>
      <c r="D29" s="475">
        <f t="shared" si="0"/>
        <v>0</v>
      </c>
      <c r="E29" s="372" t="e">
        <f t="shared" si="1"/>
        <v>#DIV/0!</v>
      </c>
      <c r="F29" s="354" t="e">
        <f t="shared" si="11"/>
        <v>#DIV/0!</v>
      </c>
      <c r="G29" s="355" t="e">
        <f t="shared" si="11"/>
        <v>#DIV/0!</v>
      </c>
      <c r="H29" s="355" t="e">
        <f t="shared" si="11"/>
        <v>#DIV/0!</v>
      </c>
      <c r="I29" s="355" t="e">
        <f t="shared" si="10"/>
        <v>#DIV/0!</v>
      </c>
      <c r="J29" s="355" t="e">
        <f t="shared" si="10"/>
        <v>#DIV/0!</v>
      </c>
      <c r="K29" s="355" t="e">
        <f t="shared" si="10"/>
        <v>#DIV/0!</v>
      </c>
      <c r="L29" s="355" t="e">
        <f t="shared" si="10"/>
        <v>#DIV/0!</v>
      </c>
      <c r="M29" s="355" t="e">
        <f t="shared" si="10"/>
        <v>#DIV/0!</v>
      </c>
      <c r="N29" s="355" t="e">
        <f t="shared" si="10"/>
        <v>#DIV/0!</v>
      </c>
      <c r="O29" s="355" t="e">
        <f t="shared" si="10"/>
        <v>#DIV/0!</v>
      </c>
      <c r="P29" s="355" t="e">
        <f t="shared" si="10"/>
        <v>#DIV/0!</v>
      </c>
      <c r="Q29" s="355" t="e">
        <f t="shared" si="10"/>
        <v>#DIV/0!</v>
      </c>
      <c r="R29" s="301" t="e">
        <f t="shared" si="3"/>
        <v>#DIV/0!</v>
      </c>
      <c r="S29" s="301" t="e">
        <f t="shared" si="4"/>
        <v>#DIV/0!</v>
      </c>
      <c r="T29" s="301" t="e">
        <f t="shared" si="5"/>
        <v>#DIV/0!</v>
      </c>
      <c r="U29" s="301" t="e">
        <f t="shared" si="6"/>
        <v>#DIV/0!</v>
      </c>
      <c r="V29" s="301" t="e">
        <f t="shared" si="7"/>
        <v>#DIV/0!</v>
      </c>
      <c r="W29" s="301" t="e">
        <f t="shared" si="8"/>
        <v>#DIV/0!</v>
      </c>
      <c r="X29" s="304" t="e">
        <f t="shared" si="9"/>
        <v>#DIV/0!</v>
      </c>
    </row>
    <row r="30" spans="1:24" ht="16.5">
      <c r="A30" s="341">
        <v>46049</v>
      </c>
      <c r="B30" s="290">
        <f t="shared" si="0"/>
        <v>0</v>
      </c>
      <c r="C30" s="379">
        <f t="shared" si="0"/>
        <v>0</v>
      </c>
      <c r="D30" s="475">
        <f t="shared" si="0"/>
        <v>0</v>
      </c>
      <c r="E30" s="372" t="e">
        <f t="shared" si="1"/>
        <v>#DIV/0!</v>
      </c>
      <c r="F30" s="354" t="e">
        <f t="shared" si="11"/>
        <v>#DIV/0!</v>
      </c>
      <c r="G30" s="355" t="e">
        <f t="shared" si="11"/>
        <v>#DIV/0!</v>
      </c>
      <c r="H30" s="355" t="e">
        <f t="shared" si="11"/>
        <v>#DIV/0!</v>
      </c>
      <c r="I30" s="355" t="e">
        <f t="shared" si="10"/>
        <v>#DIV/0!</v>
      </c>
      <c r="J30" s="355" t="e">
        <f t="shared" si="10"/>
        <v>#DIV/0!</v>
      </c>
      <c r="K30" s="355" t="e">
        <f t="shared" si="10"/>
        <v>#DIV/0!</v>
      </c>
      <c r="L30" s="355" t="e">
        <f t="shared" si="10"/>
        <v>#DIV/0!</v>
      </c>
      <c r="M30" s="355" t="e">
        <f t="shared" si="10"/>
        <v>#DIV/0!</v>
      </c>
      <c r="N30" s="355" t="e">
        <f t="shared" si="10"/>
        <v>#DIV/0!</v>
      </c>
      <c r="O30" s="355" t="e">
        <f t="shared" si="10"/>
        <v>#DIV/0!</v>
      </c>
      <c r="P30" s="355" t="e">
        <f t="shared" si="10"/>
        <v>#DIV/0!</v>
      </c>
      <c r="Q30" s="355" t="e">
        <f t="shared" si="10"/>
        <v>#DIV/0!</v>
      </c>
      <c r="R30" s="301" t="e">
        <f t="shared" si="3"/>
        <v>#DIV/0!</v>
      </c>
      <c r="S30" s="301" t="e">
        <f t="shared" si="4"/>
        <v>#DIV/0!</v>
      </c>
      <c r="T30" s="301" t="e">
        <f t="shared" si="5"/>
        <v>#DIV/0!</v>
      </c>
      <c r="U30" s="301" t="e">
        <f t="shared" si="6"/>
        <v>#DIV/0!</v>
      </c>
      <c r="V30" s="301" t="e">
        <f t="shared" si="7"/>
        <v>#DIV/0!</v>
      </c>
      <c r="W30" s="301" t="e">
        <f t="shared" si="8"/>
        <v>#DIV/0!</v>
      </c>
      <c r="X30" s="304" t="e">
        <f t="shared" si="9"/>
        <v>#DIV/0!</v>
      </c>
    </row>
    <row r="31" spans="1:24" ht="16.5">
      <c r="A31" s="341">
        <v>46050</v>
      </c>
      <c r="B31" s="290">
        <f t="shared" si="0"/>
        <v>0</v>
      </c>
      <c r="C31" s="379">
        <f t="shared" si="0"/>
        <v>0</v>
      </c>
      <c r="D31" s="475">
        <f t="shared" si="0"/>
        <v>0</v>
      </c>
      <c r="E31" s="372" t="e">
        <f t="shared" si="1"/>
        <v>#DIV/0!</v>
      </c>
      <c r="F31" s="354" t="e">
        <f t="shared" si="11"/>
        <v>#DIV/0!</v>
      </c>
      <c r="G31" s="355" t="e">
        <f t="shared" si="11"/>
        <v>#DIV/0!</v>
      </c>
      <c r="H31" s="355" t="e">
        <f t="shared" si="11"/>
        <v>#DIV/0!</v>
      </c>
      <c r="I31" s="355" t="e">
        <f t="shared" si="10"/>
        <v>#DIV/0!</v>
      </c>
      <c r="J31" s="355" t="e">
        <f t="shared" si="10"/>
        <v>#DIV/0!</v>
      </c>
      <c r="K31" s="355" t="e">
        <f t="shared" si="10"/>
        <v>#DIV/0!</v>
      </c>
      <c r="L31" s="355" t="e">
        <f t="shared" si="10"/>
        <v>#DIV/0!</v>
      </c>
      <c r="M31" s="355" t="e">
        <f t="shared" si="10"/>
        <v>#DIV/0!</v>
      </c>
      <c r="N31" s="355" t="e">
        <f t="shared" si="10"/>
        <v>#DIV/0!</v>
      </c>
      <c r="O31" s="355" t="e">
        <f t="shared" si="10"/>
        <v>#DIV/0!</v>
      </c>
      <c r="P31" s="355" t="e">
        <f t="shared" si="10"/>
        <v>#DIV/0!</v>
      </c>
      <c r="Q31" s="355" t="e">
        <f t="shared" si="10"/>
        <v>#DIV/0!</v>
      </c>
      <c r="R31" s="301" t="e">
        <f t="shared" si="3"/>
        <v>#DIV/0!</v>
      </c>
      <c r="S31" s="301" t="e">
        <f t="shared" si="4"/>
        <v>#DIV/0!</v>
      </c>
      <c r="T31" s="301" t="e">
        <f t="shared" si="5"/>
        <v>#DIV/0!</v>
      </c>
      <c r="U31" s="301" t="e">
        <f t="shared" si="6"/>
        <v>#DIV/0!</v>
      </c>
      <c r="V31" s="301" t="e">
        <f t="shared" si="7"/>
        <v>#DIV/0!</v>
      </c>
      <c r="W31" s="301" t="e">
        <f t="shared" si="8"/>
        <v>#DIV/0!</v>
      </c>
      <c r="X31" s="304" t="e">
        <f t="shared" si="9"/>
        <v>#DIV/0!</v>
      </c>
    </row>
    <row r="32" spans="1:24" ht="16.5">
      <c r="A32" s="341">
        <v>46051</v>
      </c>
      <c r="B32" s="290">
        <f t="shared" si="0"/>
        <v>0</v>
      </c>
      <c r="C32" s="379">
        <f t="shared" si="0"/>
        <v>0</v>
      </c>
      <c r="D32" s="475">
        <f t="shared" si="0"/>
        <v>0</v>
      </c>
      <c r="E32" s="372" t="e">
        <f t="shared" si="1"/>
        <v>#DIV/0!</v>
      </c>
      <c r="F32" s="354" t="e">
        <f t="shared" si="11"/>
        <v>#DIV/0!</v>
      </c>
      <c r="G32" s="355" t="e">
        <f t="shared" si="11"/>
        <v>#DIV/0!</v>
      </c>
      <c r="H32" s="355" t="e">
        <f t="shared" si="11"/>
        <v>#DIV/0!</v>
      </c>
      <c r="I32" s="355" t="e">
        <f t="shared" si="10"/>
        <v>#DIV/0!</v>
      </c>
      <c r="J32" s="355" t="e">
        <f t="shared" si="10"/>
        <v>#DIV/0!</v>
      </c>
      <c r="K32" s="355" t="e">
        <f t="shared" si="10"/>
        <v>#DIV/0!</v>
      </c>
      <c r="L32" s="355" t="e">
        <f t="shared" si="10"/>
        <v>#DIV/0!</v>
      </c>
      <c r="M32" s="355" t="e">
        <f t="shared" si="10"/>
        <v>#DIV/0!</v>
      </c>
      <c r="N32" s="355" t="e">
        <f t="shared" si="10"/>
        <v>#DIV/0!</v>
      </c>
      <c r="O32" s="355" t="e">
        <f t="shared" si="10"/>
        <v>#DIV/0!</v>
      </c>
      <c r="P32" s="355" t="e">
        <f t="shared" si="10"/>
        <v>#DIV/0!</v>
      </c>
      <c r="Q32" s="355" t="e">
        <f t="shared" si="10"/>
        <v>#DIV/0!</v>
      </c>
      <c r="R32" s="301" t="e">
        <f t="shared" si="3"/>
        <v>#DIV/0!</v>
      </c>
      <c r="S32" s="301" t="e">
        <f t="shared" si="4"/>
        <v>#DIV/0!</v>
      </c>
      <c r="T32" s="301" t="e">
        <f t="shared" si="5"/>
        <v>#DIV/0!</v>
      </c>
      <c r="U32" s="301" t="e">
        <f t="shared" si="6"/>
        <v>#DIV/0!</v>
      </c>
      <c r="V32" s="301" t="e">
        <f t="shared" si="7"/>
        <v>#DIV/0!</v>
      </c>
      <c r="W32" s="301" t="e">
        <f t="shared" si="8"/>
        <v>#DIV/0!</v>
      </c>
      <c r="X32" s="304" t="e">
        <f t="shared" si="9"/>
        <v>#DIV/0!</v>
      </c>
    </row>
    <row r="33" spans="1:24" ht="16.5">
      <c r="A33" s="88">
        <v>46052</v>
      </c>
      <c r="B33" s="290">
        <f t="shared" si="0"/>
        <v>0</v>
      </c>
      <c r="C33" s="379">
        <f t="shared" si="0"/>
        <v>0</v>
      </c>
      <c r="D33" s="475">
        <f t="shared" si="0"/>
        <v>0</v>
      </c>
      <c r="E33" s="372" t="e">
        <f t="shared" si="1"/>
        <v>#DIV/0!</v>
      </c>
      <c r="F33" s="354" t="e">
        <f t="shared" si="11"/>
        <v>#DIV/0!</v>
      </c>
      <c r="G33" s="355" t="e">
        <f t="shared" si="11"/>
        <v>#DIV/0!</v>
      </c>
      <c r="H33" s="355" t="e">
        <f t="shared" si="11"/>
        <v>#DIV/0!</v>
      </c>
      <c r="I33" s="355" t="e">
        <f t="shared" si="10"/>
        <v>#DIV/0!</v>
      </c>
      <c r="J33" s="355" t="e">
        <f t="shared" si="10"/>
        <v>#DIV/0!</v>
      </c>
      <c r="K33" s="355" t="e">
        <f t="shared" si="10"/>
        <v>#DIV/0!</v>
      </c>
      <c r="L33" s="355" t="e">
        <f t="shared" si="10"/>
        <v>#DIV/0!</v>
      </c>
      <c r="M33" s="355" t="e">
        <f t="shared" si="10"/>
        <v>#DIV/0!</v>
      </c>
      <c r="N33" s="355" t="e">
        <f t="shared" si="10"/>
        <v>#DIV/0!</v>
      </c>
      <c r="O33" s="355" t="e">
        <f t="shared" si="10"/>
        <v>#DIV/0!</v>
      </c>
      <c r="P33" s="355" t="e">
        <f t="shared" si="10"/>
        <v>#DIV/0!</v>
      </c>
      <c r="Q33" s="355" t="e">
        <f t="shared" si="10"/>
        <v>#DIV/0!</v>
      </c>
      <c r="R33" s="301" t="e">
        <f t="shared" si="3"/>
        <v>#DIV/0!</v>
      </c>
      <c r="S33" s="301" t="e">
        <f t="shared" si="4"/>
        <v>#DIV/0!</v>
      </c>
      <c r="T33" s="301" t="e">
        <f t="shared" si="5"/>
        <v>#DIV/0!</v>
      </c>
      <c r="U33" s="301" t="e">
        <f t="shared" si="6"/>
        <v>#DIV/0!</v>
      </c>
      <c r="V33" s="301" t="e">
        <f t="shared" si="7"/>
        <v>#DIV/0!</v>
      </c>
      <c r="W33" s="301" t="e">
        <f t="shared" si="8"/>
        <v>#DIV/0!</v>
      </c>
      <c r="X33" s="304" t="e">
        <f t="shared" ref="X33:X61" si="12">Q33/$AG33</f>
        <v>#DIV/0!</v>
      </c>
    </row>
    <row r="34" spans="1:24" ht="16.5">
      <c r="A34" s="88">
        <v>46053</v>
      </c>
      <c r="B34" s="290">
        <f t="shared" ref="B34:D65" si="13">AB34+BB34</f>
        <v>0</v>
      </c>
      <c r="C34" s="379">
        <f t="shared" si="13"/>
        <v>0</v>
      </c>
      <c r="D34" s="475">
        <f t="shared" si="13"/>
        <v>0</v>
      </c>
      <c r="E34" s="372" t="e">
        <f t="shared" si="1"/>
        <v>#DIV/0!</v>
      </c>
      <c r="F34" s="354" t="e">
        <f t="shared" si="11"/>
        <v>#DIV/0!</v>
      </c>
      <c r="G34" s="355" t="e">
        <f t="shared" si="11"/>
        <v>#DIV/0!</v>
      </c>
      <c r="H34" s="355" t="e">
        <f t="shared" si="11"/>
        <v>#DIV/0!</v>
      </c>
      <c r="I34" s="355" t="e">
        <f t="shared" si="10"/>
        <v>#DIV/0!</v>
      </c>
      <c r="J34" s="355" t="e">
        <f t="shared" si="10"/>
        <v>#DIV/0!</v>
      </c>
      <c r="K34" s="355" t="e">
        <f t="shared" si="10"/>
        <v>#DIV/0!</v>
      </c>
      <c r="L34" s="355" t="e">
        <f t="shared" si="10"/>
        <v>#DIV/0!</v>
      </c>
      <c r="M34" s="355" t="e">
        <f t="shared" si="10"/>
        <v>#DIV/0!</v>
      </c>
      <c r="N34" s="355" t="e">
        <f t="shared" si="10"/>
        <v>#DIV/0!</v>
      </c>
      <c r="O34" s="355" t="e">
        <f t="shared" si="10"/>
        <v>#DIV/0!</v>
      </c>
      <c r="P34" s="355" t="e">
        <f t="shared" si="10"/>
        <v>#DIV/0!</v>
      </c>
      <c r="Q34" s="355" t="e">
        <f t="shared" si="10"/>
        <v>#DIV/0!</v>
      </c>
      <c r="R34" s="301" t="e">
        <f t="shared" si="3"/>
        <v>#DIV/0!</v>
      </c>
      <c r="S34" s="301" t="e">
        <f t="shared" si="4"/>
        <v>#DIV/0!</v>
      </c>
      <c r="T34" s="301" t="e">
        <f t="shared" si="5"/>
        <v>#DIV/0!</v>
      </c>
      <c r="U34" s="301" t="e">
        <f t="shared" si="6"/>
        <v>#DIV/0!</v>
      </c>
      <c r="V34" s="301" t="e">
        <f t="shared" si="7"/>
        <v>#DIV/0!</v>
      </c>
      <c r="W34" s="301" t="e">
        <f t="shared" si="8"/>
        <v>#DIV/0!</v>
      </c>
      <c r="X34" s="304" t="e">
        <f t="shared" si="12"/>
        <v>#DIV/0!</v>
      </c>
    </row>
    <row r="35" spans="1:24" ht="16.5">
      <c r="A35" s="410">
        <v>46054</v>
      </c>
      <c r="B35" s="290">
        <f t="shared" si="13"/>
        <v>0</v>
      </c>
      <c r="C35" s="379">
        <f t="shared" si="13"/>
        <v>0</v>
      </c>
      <c r="D35" s="475">
        <f t="shared" si="13"/>
        <v>0</v>
      </c>
      <c r="E35" s="372" t="e">
        <f t="shared" si="1"/>
        <v>#DIV/0!</v>
      </c>
      <c r="F35" s="354" t="e">
        <f t="shared" si="11"/>
        <v>#DIV/0!</v>
      </c>
      <c r="G35" s="355" t="e">
        <f t="shared" si="11"/>
        <v>#DIV/0!</v>
      </c>
      <c r="H35" s="355" t="e">
        <f t="shared" si="11"/>
        <v>#DIV/0!</v>
      </c>
      <c r="I35" s="355" t="e">
        <f t="shared" si="10"/>
        <v>#DIV/0!</v>
      </c>
      <c r="J35" s="355" t="e">
        <f t="shared" si="10"/>
        <v>#DIV/0!</v>
      </c>
      <c r="K35" s="355" t="e">
        <f t="shared" si="10"/>
        <v>#DIV/0!</v>
      </c>
      <c r="L35" s="355" t="e">
        <f t="shared" si="10"/>
        <v>#DIV/0!</v>
      </c>
      <c r="M35" s="355" t="e">
        <f t="shared" si="10"/>
        <v>#DIV/0!</v>
      </c>
      <c r="N35" s="355" t="e">
        <f t="shared" si="10"/>
        <v>#DIV/0!</v>
      </c>
      <c r="O35" s="355" t="e">
        <f t="shared" si="10"/>
        <v>#DIV/0!</v>
      </c>
      <c r="P35" s="355" t="e">
        <f t="shared" si="10"/>
        <v>#DIV/0!</v>
      </c>
      <c r="Q35" s="355" t="e">
        <f t="shared" si="10"/>
        <v>#DIV/0!</v>
      </c>
      <c r="R35" s="301" t="e">
        <f t="shared" si="3"/>
        <v>#DIV/0!</v>
      </c>
      <c r="S35" s="301" t="e">
        <f t="shared" si="4"/>
        <v>#DIV/0!</v>
      </c>
      <c r="T35" s="301" t="e">
        <f t="shared" si="5"/>
        <v>#DIV/0!</v>
      </c>
      <c r="U35" s="301" t="e">
        <f t="shared" si="6"/>
        <v>#DIV/0!</v>
      </c>
      <c r="V35" s="301" t="e">
        <f t="shared" si="7"/>
        <v>#DIV/0!</v>
      </c>
      <c r="W35" s="301" t="e">
        <f t="shared" si="8"/>
        <v>#DIV/0!</v>
      </c>
      <c r="X35" s="304" t="e">
        <f t="shared" si="12"/>
        <v>#DIV/0!</v>
      </c>
    </row>
    <row r="36" spans="1:24" ht="16.5">
      <c r="A36" s="410">
        <v>46055</v>
      </c>
      <c r="B36" s="290">
        <f t="shared" si="13"/>
        <v>0</v>
      </c>
      <c r="C36" s="379">
        <f t="shared" si="13"/>
        <v>0</v>
      </c>
      <c r="D36" s="475">
        <f t="shared" si="13"/>
        <v>0</v>
      </c>
      <c r="E36" s="372" t="e">
        <f t="shared" si="1"/>
        <v>#DIV/0!</v>
      </c>
      <c r="F36" s="354" t="e">
        <f t="shared" si="11"/>
        <v>#DIV/0!</v>
      </c>
      <c r="G36" s="355" t="e">
        <f t="shared" si="11"/>
        <v>#DIV/0!</v>
      </c>
      <c r="H36" s="355" t="e">
        <f t="shared" si="11"/>
        <v>#DIV/0!</v>
      </c>
      <c r="I36" s="355" t="e">
        <f t="shared" si="10"/>
        <v>#DIV/0!</v>
      </c>
      <c r="J36" s="355" t="e">
        <f t="shared" si="10"/>
        <v>#DIV/0!</v>
      </c>
      <c r="K36" s="355" t="e">
        <f t="shared" si="10"/>
        <v>#DIV/0!</v>
      </c>
      <c r="L36" s="355" t="e">
        <f t="shared" si="10"/>
        <v>#DIV/0!</v>
      </c>
      <c r="M36" s="355" t="e">
        <f t="shared" si="10"/>
        <v>#DIV/0!</v>
      </c>
      <c r="N36" s="355" t="e">
        <f t="shared" si="10"/>
        <v>#DIV/0!</v>
      </c>
      <c r="O36" s="355" t="e">
        <f t="shared" si="10"/>
        <v>#DIV/0!</v>
      </c>
      <c r="P36" s="355" t="e">
        <f t="shared" si="10"/>
        <v>#DIV/0!</v>
      </c>
      <c r="Q36" s="355" t="e">
        <f t="shared" si="10"/>
        <v>#DIV/0!</v>
      </c>
      <c r="R36" s="301" t="e">
        <f t="shared" si="3"/>
        <v>#DIV/0!</v>
      </c>
      <c r="S36" s="301" t="e">
        <f t="shared" si="4"/>
        <v>#DIV/0!</v>
      </c>
      <c r="T36" s="301" t="e">
        <f t="shared" si="5"/>
        <v>#DIV/0!</v>
      </c>
      <c r="U36" s="301" t="e">
        <f t="shared" si="6"/>
        <v>#DIV/0!</v>
      </c>
      <c r="V36" s="301" t="e">
        <f t="shared" si="7"/>
        <v>#DIV/0!</v>
      </c>
      <c r="W36" s="301" t="e">
        <f t="shared" si="8"/>
        <v>#DIV/0!</v>
      </c>
      <c r="X36" s="304" t="e">
        <f t="shared" si="12"/>
        <v>#DIV/0!</v>
      </c>
    </row>
    <row r="37" spans="1:24" ht="16.5">
      <c r="A37" s="88">
        <v>46056</v>
      </c>
      <c r="B37" s="290">
        <f t="shared" si="13"/>
        <v>0</v>
      </c>
      <c r="C37" s="379">
        <f t="shared" si="13"/>
        <v>0</v>
      </c>
      <c r="D37" s="475">
        <f t="shared" si="13"/>
        <v>0</v>
      </c>
      <c r="E37" s="372" t="e">
        <f t="shared" si="1"/>
        <v>#DIV/0!</v>
      </c>
      <c r="F37" s="354" t="e">
        <f t="shared" si="11"/>
        <v>#DIV/0!</v>
      </c>
      <c r="G37" s="355" t="e">
        <f t="shared" si="11"/>
        <v>#DIV/0!</v>
      </c>
      <c r="H37" s="355" t="e">
        <f t="shared" si="11"/>
        <v>#DIV/0!</v>
      </c>
      <c r="I37" s="355" t="e">
        <f t="shared" si="10"/>
        <v>#DIV/0!</v>
      </c>
      <c r="J37" s="355" t="e">
        <f t="shared" si="10"/>
        <v>#DIV/0!</v>
      </c>
      <c r="K37" s="355" t="e">
        <f t="shared" si="10"/>
        <v>#DIV/0!</v>
      </c>
      <c r="L37" s="355" t="e">
        <f t="shared" si="10"/>
        <v>#DIV/0!</v>
      </c>
      <c r="M37" s="355" t="e">
        <f t="shared" si="10"/>
        <v>#DIV/0!</v>
      </c>
      <c r="N37" s="355" t="e">
        <f t="shared" si="10"/>
        <v>#DIV/0!</v>
      </c>
      <c r="O37" s="355" t="e">
        <f t="shared" si="10"/>
        <v>#DIV/0!</v>
      </c>
      <c r="P37" s="355" t="e">
        <f t="shared" si="10"/>
        <v>#DIV/0!</v>
      </c>
      <c r="Q37" s="355" t="e">
        <f t="shared" si="10"/>
        <v>#DIV/0!</v>
      </c>
      <c r="R37" s="301" t="e">
        <f t="shared" si="3"/>
        <v>#DIV/0!</v>
      </c>
      <c r="S37" s="301" t="e">
        <f t="shared" si="4"/>
        <v>#DIV/0!</v>
      </c>
      <c r="T37" s="301" t="e">
        <f t="shared" si="5"/>
        <v>#DIV/0!</v>
      </c>
      <c r="U37" s="301" t="e">
        <f t="shared" si="6"/>
        <v>#DIV/0!</v>
      </c>
      <c r="V37" s="301" t="e">
        <f t="shared" si="7"/>
        <v>#DIV/0!</v>
      </c>
      <c r="W37" s="301" t="e">
        <f t="shared" si="8"/>
        <v>#DIV/0!</v>
      </c>
      <c r="X37" s="304" t="e">
        <f t="shared" si="12"/>
        <v>#DIV/0!</v>
      </c>
    </row>
    <row r="38" spans="1:24" ht="16.5">
      <c r="A38" s="88">
        <v>46057</v>
      </c>
      <c r="B38" s="290">
        <f t="shared" si="13"/>
        <v>0</v>
      </c>
      <c r="C38" s="379">
        <f t="shared" si="13"/>
        <v>0</v>
      </c>
      <c r="D38" s="475">
        <f t="shared" si="13"/>
        <v>0</v>
      </c>
      <c r="E38" s="372" t="e">
        <f t="shared" si="1"/>
        <v>#DIV/0!</v>
      </c>
      <c r="F38" s="354" t="e">
        <f t="shared" si="11"/>
        <v>#DIV/0!</v>
      </c>
      <c r="G38" s="355" t="e">
        <f t="shared" si="11"/>
        <v>#DIV/0!</v>
      </c>
      <c r="H38" s="355" t="e">
        <f t="shared" si="11"/>
        <v>#DIV/0!</v>
      </c>
      <c r="I38" s="355" t="e">
        <f t="shared" si="10"/>
        <v>#DIV/0!</v>
      </c>
      <c r="J38" s="355" t="e">
        <f t="shared" si="10"/>
        <v>#DIV/0!</v>
      </c>
      <c r="K38" s="355" t="e">
        <f t="shared" si="10"/>
        <v>#DIV/0!</v>
      </c>
      <c r="L38" s="355" t="e">
        <f t="shared" si="10"/>
        <v>#DIV/0!</v>
      </c>
      <c r="M38" s="355" t="e">
        <f t="shared" si="10"/>
        <v>#DIV/0!</v>
      </c>
      <c r="N38" s="355" t="e">
        <f t="shared" si="10"/>
        <v>#DIV/0!</v>
      </c>
      <c r="O38" s="355" t="e">
        <f t="shared" si="10"/>
        <v>#DIV/0!</v>
      </c>
      <c r="P38" s="355" t="e">
        <f t="shared" si="10"/>
        <v>#DIV/0!</v>
      </c>
      <c r="Q38" s="355" t="e">
        <f t="shared" si="10"/>
        <v>#DIV/0!</v>
      </c>
      <c r="R38" s="301" t="e">
        <f t="shared" si="3"/>
        <v>#DIV/0!</v>
      </c>
      <c r="S38" s="301" t="e">
        <f t="shared" si="4"/>
        <v>#DIV/0!</v>
      </c>
      <c r="T38" s="301" t="e">
        <f t="shared" si="5"/>
        <v>#DIV/0!</v>
      </c>
      <c r="U38" s="301" t="e">
        <f t="shared" si="6"/>
        <v>#DIV/0!</v>
      </c>
      <c r="V38" s="301" t="e">
        <f t="shared" si="7"/>
        <v>#DIV/0!</v>
      </c>
      <c r="W38" s="301" t="e">
        <f t="shared" si="8"/>
        <v>#DIV/0!</v>
      </c>
      <c r="X38" s="304" t="e">
        <f t="shared" si="12"/>
        <v>#DIV/0!</v>
      </c>
    </row>
    <row r="39" spans="1:24" ht="16.5">
      <c r="A39" s="88">
        <v>46058</v>
      </c>
      <c r="B39" s="290">
        <f t="shared" si="13"/>
        <v>0</v>
      </c>
      <c r="C39" s="379">
        <f t="shared" si="13"/>
        <v>0</v>
      </c>
      <c r="D39" s="475">
        <f t="shared" si="13"/>
        <v>0</v>
      </c>
      <c r="E39" s="372" t="e">
        <f t="shared" si="1"/>
        <v>#DIV/0!</v>
      </c>
      <c r="F39" s="354" t="e">
        <f t="shared" si="11"/>
        <v>#DIV/0!</v>
      </c>
      <c r="G39" s="355" t="e">
        <f t="shared" si="11"/>
        <v>#DIV/0!</v>
      </c>
      <c r="H39" s="355" t="e">
        <f t="shared" si="11"/>
        <v>#DIV/0!</v>
      </c>
      <c r="I39" s="355" t="e">
        <f t="shared" si="10"/>
        <v>#DIV/0!</v>
      </c>
      <c r="J39" s="355" t="e">
        <f t="shared" si="10"/>
        <v>#DIV/0!</v>
      </c>
      <c r="K39" s="355" t="e">
        <f t="shared" si="10"/>
        <v>#DIV/0!</v>
      </c>
      <c r="L39" s="355" t="e">
        <f t="shared" si="10"/>
        <v>#DIV/0!</v>
      </c>
      <c r="M39" s="355" t="e">
        <f t="shared" si="10"/>
        <v>#DIV/0!</v>
      </c>
      <c r="N39" s="355" t="e">
        <f t="shared" si="10"/>
        <v>#DIV/0!</v>
      </c>
      <c r="O39" s="355" t="e">
        <f t="shared" si="10"/>
        <v>#DIV/0!</v>
      </c>
      <c r="P39" s="355" t="e">
        <f t="shared" si="10"/>
        <v>#DIV/0!</v>
      </c>
      <c r="Q39" s="355" t="e">
        <f t="shared" si="10"/>
        <v>#DIV/0!</v>
      </c>
      <c r="R39" s="301" t="e">
        <f t="shared" si="3"/>
        <v>#DIV/0!</v>
      </c>
      <c r="S39" s="301" t="e">
        <f t="shared" si="4"/>
        <v>#DIV/0!</v>
      </c>
      <c r="T39" s="301" t="e">
        <f t="shared" si="5"/>
        <v>#DIV/0!</v>
      </c>
      <c r="U39" s="301" t="e">
        <f t="shared" si="6"/>
        <v>#DIV/0!</v>
      </c>
      <c r="V39" s="301" t="e">
        <f t="shared" si="7"/>
        <v>#DIV/0!</v>
      </c>
      <c r="W39" s="301" t="e">
        <f t="shared" si="8"/>
        <v>#DIV/0!</v>
      </c>
      <c r="X39" s="304" t="e">
        <f t="shared" si="12"/>
        <v>#DIV/0!</v>
      </c>
    </row>
    <row r="40" spans="1:24" ht="16.5">
      <c r="A40" s="132">
        <v>46059</v>
      </c>
      <c r="B40" s="290">
        <f t="shared" si="13"/>
        <v>0</v>
      </c>
      <c r="C40" s="379">
        <f t="shared" si="13"/>
        <v>0</v>
      </c>
      <c r="D40" s="475">
        <f t="shared" si="13"/>
        <v>0</v>
      </c>
      <c r="E40" s="372" t="e">
        <f t="shared" si="1"/>
        <v>#DIV/0!</v>
      </c>
      <c r="F40" s="354" t="e">
        <f t="shared" si="11"/>
        <v>#DIV/0!</v>
      </c>
      <c r="G40" s="355" t="e">
        <f t="shared" si="11"/>
        <v>#DIV/0!</v>
      </c>
      <c r="H40" s="355" t="e">
        <f t="shared" si="11"/>
        <v>#DIV/0!</v>
      </c>
      <c r="I40" s="355" t="e">
        <f t="shared" si="10"/>
        <v>#DIV/0!</v>
      </c>
      <c r="J40" s="355" t="e">
        <f t="shared" si="10"/>
        <v>#DIV/0!</v>
      </c>
      <c r="K40" s="355" t="e">
        <f t="shared" si="10"/>
        <v>#DIV/0!</v>
      </c>
      <c r="L40" s="355" t="e">
        <f t="shared" si="10"/>
        <v>#DIV/0!</v>
      </c>
      <c r="M40" s="355" t="e">
        <f t="shared" si="10"/>
        <v>#DIV/0!</v>
      </c>
      <c r="N40" s="355" t="e">
        <f t="shared" si="10"/>
        <v>#DIV/0!</v>
      </c>
      <c r="O40" s="355" t="e">
        <f t="shared" si="10"/>
        <v>#DIV/0!</v>
      </c>
      <c r="P40" s="355" t="e">
        <f t="shared" si="10"/>
        <v>#DIV/0!</v>
      </c>
      <c r="Q40" s="355" t="e">
        <f t="shared" si="10"/>
        <v>#DIV/0!</v>
      </c>
      <c r="R40" s="301" t="e">
        <f t="shared" si="3"/>
        <v>#DIV/0!</v>
      </c>
      <c r="S40" s="301" t="e">
        <f t="shared" si="4"/>
        <v>#DIV/0!</v>
      </c>
      <c r="T40" s="301" t="e">
        <f t="shared" si="5"/>
        <v>#DIV/0!</v>
      </c>
      <c r="U40" s="301" t="e">
        <f t="shared" si="6"/>
        <v>#DIV/0!</v>
      </c>
      <c r="V40" s="301" t="e">
        <f t="shared" si="7"/>
        <v>#DIV/0!</v>
      </c>
      <c r="W40" s="301" t="e">
        <f t="shared" si="8"/>
        <v>#DIV/0!</v>
      </c>
      <c r="X40" s="304" t="e">
        <f t="shared" si="12"/>
        <v>#DIV/0!</v>
      </c>
    </row>
    <row r="41" spans="1:24" ht="16.5">
      <c r="A41" s="132">
        <v>46060</v>
      </c>
      <c r="B41" s="290">
        <f t="shared" si="13"/>
        <v>0</v>
      </c>
      <c r="C41" s="379">
        <f t="shared" si="13"/>
        <v>0</v>
      </c>
      <c r="D41" s="475">
        <f t="shared" si="13"/>
        <v>0</v>
      </c>
      <c r="E41" s="372" t="e">
        <f t="shared" si="1"/>
        <v>#DIV/0!</v>
      </c>
      <c r="F41" s="354" t="e">
        <f t="shared" si="11"/>
        <v>#DIV/0!</v>
      </c>
      <c r="G41" s="355" t="e">
        <f t="shared" si="11"/>
        <v>#DIV/0!</v>
      </c>
      <c r="H41" s="355" t="e">
        <f t="shared" si="11"/>
        <v>#DIV/0!</v>
      </c>
      <c r="I41" s="355" t="e">
        <f t="shared" si="10"/>
        <v>#DIV/0!</v>
      </c>
      <c r="J41" s="355" t="e">
        <f t="shared" si="10"/>
        <v>#DIV/0!</v>
      </c>
      <c r="K41" s="355" t="e">
        <f t="shared" si="10"/>
        <v>#DIV/0!</v>
      </c>
      <c r="L41" s="355" t="e">
        <f t="shared" si="10"/>
        <v>#DIV/0!</v>
      </c>
      <c r="M41" s="355" t="e">
        <f t="shared" si="10"/>
        <v>#DIV/0!</v>
      </c>
      <c r="N41" s="355" t="e">
        <f t="shared" si="10"/>
        <v>#DIV/0!</v>
      </c>
      <c r="O41" s="355" t="e">
        <f t="shared" si="10"/>
        <v>#DIV/0!</v>
      </c>
      <c r="P41" s="355" t="e">
        <f t="shared" si="10"/>
        <v>#DIV/0!</v>
      </c>
      <c r="Q41" s="355" t="e">
        <f t="shared" si="10"/>
        <v>#DIV/0!</v>
      </c>
      <c r="R41" s="301" t="e">
        <f t="shared" si="3"/>
        <v>#DIV/0!</v>
      </c>
      <c r="S41" s="301" t="e">
        <f t="shared" si="4"/>
        <v>#DIV/0!</v>
      </c>
      <c r="T41" s="301" t="e">
        <f t="shared" si="5"/>
        <v>#DIV/0!</v>
      </c>
      <c r="U41" s="301" t="e">
        <f t="shared" si="6"/>
        <v>#DIV/0!</v>
      </c>
      <c r="V41" s="301" t="e">
        <f t="shared" si="7"/>
        <v>#DIV/0!</v>
      </c>
      <c r="W41" s="301" t="e">
        <f t="shared" si="8"/>
        <v>#DIV/0!</v>
      </c>
      <c r="X41" s="304" t="e">
        <f t="shared" si="12"/>
        <v>#DIV/0!</v>
      </c>
    </row>
    <row r="42" spans="1:24" ht="16.5">
      <c r="A42" s="132">
        <v>46061</v>
      </c>
      <c r="B42" s="290">
        <f t="shared" si="13"/>
        <v>0</v>
      </c>
      <c r="C42" s="379">
        <f t="shared" si="13"/>
        <v>0</v>
      </c>
      <c r="D42" s="475">
        <f t="shared" si="13"/>
        <v>0</v>
      </c>
      <c r="E42" s="372" t="e">
        <f t="shared" si="1"/>
        <v>#DIV/0!</v>
      </c>
      <c r="F42" s="354" t="e">
        <f t="shared" si="11"/>
        <v>#DIV/0!</v>
      </c>
      <c r="G42" s="355" t="e">
        <f t="shared" si="11"/>
        <v>#DIV/0!</v>
      </c>
      <c r="H42" s="355" t="e">
        <f t="shared" si="11"/>
        <v>#DIV/0!</v>
      </c>
      <c r="I42" s="355" t="e">
        <f t="shared" si="10"/>
        <v>#DIV/0!</v>
      </c>
      <c r="J42" s="355" t="e">
        <f t="shared" si="10"/>
        <v>#DIV/0!</v>
      </c>
      <c r="K42" s="355" t="e">
        <f t="shared" si="10"/>
        <v>#DIV/0!</v>
      </c>
      <c r="L42" s="355" t="e">
        <f t="shared" si="10"/>
        <v>#DIV/0!</v>
      </c>
      <c r="M42" s="355" t="e">
        <f t="shared" si="10"/>
        <v>#DIV/0!</v>
      </c>
      <c r="N42" s="355" t="e">
        <f t="shared" si="10"/>
        <v>#DIV/0!</v>
      </c>
      <c r="O42" s="355" t="e">
        <f t="shared" si="10"/>
        <v>#DIV/0!</v>
      </c>
      <c r="P42" s="355" t="e">
        <f t="shared" si="10"/>
        <v>#DIV/0!</v>
      </c>
      <c r="Q42" s="355" t="e">
        <f t="shared" si="10"/>
        <v>#DIV/0!</v>
      </c>
      <c r="R42" s="301" t="e">
        <f t="shared" si="3"/>
        <v>#DIV/0!</v>
      </c>
      <c r="S42" s="301" t="e">
        <f t="shared" si="4"/>
        <v>#DIV/0!</v>
      </c>
      <c r="T42" s="301" t="e">
        <f t="shared" si="5"/>
        <v>#DIV/0!</v>
      </c>
      <c r="U42" s="301" t="e">
        <f t="shared" si="6"/>
        <v>#DIV/0!</v>
      </c>
      <c r="V42" s="301" t="e">
        <f t="shared" si="7"/>
        <v>#DIV/0!</v>
      </c>
      <c r="W42" s="301" t="e">
        <f t="shared" si="8"/>
        <v>#DIV/0!</v>
      </c>
      <c r="X42" s="304" t="e">
        <f t="shared" si="12"/>
        <v>#DIV/0!</v>
      </c>
    </row>
    <row r="43" spans="1:24" ht="16.5">
      <c r="A43" s="88">
        <v>46062</v>
      </c>
      <c r="B43" s="290">
        <f t="shared" si="13"/>
        <v>0</v>
      </c>
      <c r="C43" s="379">
        <f t="shared" si="13"/>
        <v>0</v>
      </c>
      <c r="D43" s="475">
        <f t="shared" si="13"/>
        <v>0</v>
      </c>
      <c r="E43" s="372" t="e">
        <f t="shared" si="1"/>
        <v>#DIV/0!</v>
      </c>
      <c r="F43" s="354" t="e">
        <f t="shared" si="11"/>
        <v>#DIV/0!</v>
      </c>
      <c r="G43" s="355" t="e">
        <f t="shared" si="11"/>
        <v>#DIV/0!</v>
      </c>
      <c r="H43" s="355" t="e">
        <f t="shared" si="11"/>
        <v>#DIV/0!</v>
      </c>
      <c r="I43" s="355" t="e">
        <f t="shared" si="10"/>
        <v>#DIV/0!</v>
      </c>
      <c r="J43" s="355" t="e">
        <f t="shared" si="10"/>
        <v>#DIV/0!</v>
      </c>
      <c r="K43" s="355" t="e">
        <f t="shared" si="10"/>
        <v>#DIV/0!</v>
      </c>
      <c r="L43" s="355" t="e">
        <f t="shared" si="10"/>
        <v>#DIV/0!</v>
      </c>
      <c r="M43" s="355" t="e">
        <f t="shared" si="10"/>
        <v>#DIV/0!</v>
      </c>
      <c r="N43" s="355" t="e">
        <f t="shared" si="10"/>
        <v>#DIV/0!</v>
      </c>
      <c r="O43" s="355" t="e">
        <f t="shared" si="10"/>
        <v>#DIV/0!</v>
      </c>
      <c r="P43" s="355" t="e">
        <f t="shared" si="10"/>
        <v>#DIV/0!</v>
      </c>
      <c r="Q43" s="355" t="e">
        <f t="shared" si="10"/>
        <v>#DIV/0!</v>
      </c>
      <c r="R43" s="301" t="e">
        <f t="shared" si="3"/>
        <v>#DIV/0!</v>
      </c>
      <c r="S43" s="301" t="e">
        <f t="shared" si="4"/>
        <v>#DIV/0!</v>
      </c>
      <c r="T43" s="301" t="e">
        <f t="shared" si="5"/>
        <v>#DIV/0!</v>
      </c>
      <c r="U43" s="301" t="e">
        <f t="shared" si="6"/>
        <v>#DIV/0!</v>
      </c>
      <c r="V43" s="301" t="e">
        <f t="shared" si="7"/>
        <v>#DIV/0!</v>
      </c>
      <c r="W43" s="301" t="e">
        <f t="shared" si="8"/>
        <v>#DIV/0!</v>
      </c>
      <c r="X43" s="304" t="e">
        <f t="shared" si="12"/>
        <v>#DIV/0!</v>
      </c>
    </row>
    <row r="44" spans="1:24" ht="16.5">
      <c r="A44" s="88">
        <v>46063</v>
      </c>
      <c r="B44" s="290">
        <f t="shared" si="13"/>
        <v>0</v>
      </c>
      <c r="C44" s="379">
        <f t="shared" si="13"/>
        <v>0</v>
      </c>
      <c r="D44" s="475">
        <f t="shared" si="13"/>
        <v>0</v>
      </c>
      <c r="E44" s="372" t="e">
        <f t="shared" si="1"/>
        <v>#DIV/0!</v>
      </c>
      <c r="F44" s="354" t="e">
        <f t="shared" si="11"/>
        <v>#DIV/0!</v>
      </c>
      <c r="G44" s="355" t="e">
        <f t="shared" si="11"/>
        <v>#DIV/0!</v>
      </c>
      <c r="H44" s="355" t="e">
        <f t="shared" si="11"/>
        <v>#DIV/0!</v>
      </c>
      <c r="I44" s="355" t="e">
        <f t="shared" si="10"/>
        <v>#DIV/0!</v>
      </c>
      <c r="J44" s="355" t="e">
        <f t="shared" si="10"/>
        <v>#DIV/0!</v>
      </c>
      <c r="K44" s="355" t="e">
        <f t="shared" si="10"/>
        <v>#DIV/0!</v>
      </c>
      <c r="L44" s="355" t="e">
        <f t="shared" si="10"/>
        <v>#DIV/0!</v>
      </c>
      <c r="M44" s="355" t="e">
        <f t="shared" si="10"/>
        <v>#DIV/0!</v>
      </c>
      <c r="N44" s="355" t="e">
        <f t="shared" si="10"/>
        <v>#DIV/0!</v>
      </c>
      <c r="O44" s="355" t="e">
        <f t="shared" si="10"/>
        <v>#DIV/0!</v>
      </c>
      <c r="P44" s="355" t="e">
        <f t="shared" si="10"/>
        <v>#DIV/0!</v>
      </c>
      <c r="Q44" s="355" t="e">
        <f t="shared" si="10"/>
        <v>#DIV/0!</v>
      </c>
      <c r="R44" s="301" t="e">
        <f t="shared" si="3"/>
        <v>#DIV/0!</v>
      </c>
      <c r="S44" s="301" t="e">
        <f t="shared" si="4"/>
        <v>#DIV/0!</v>
      </c>
      <c r="T44" s="301" t="e">
        <f t="shared" si="5"/>
        <v>#DIV/0!</v>
      </c>
      <c r="U44" s="301" t="e">
        <f t="shared" si="6"/>
        <v>#DIV/0!</v>
      </c>
      <c r="V44" s="301" t="e">
        <f t="shared" si="7"/>
        <v>#DIV/0!</v>
      </c>
      <c r="W44" s="301" t="e">
        <f t="shared" si="8"/>
        <v>#DIV/0!</v>
      </c>
      <c r="X44" s="304" t="e">
        <f t="shared" si="12"/>
        <v>#DIV/0!</v>
      </c>
    </row>
    <row r="45" spans="1:24" ht="16.5">
      <c r="A45" s="88">
        <v>46064</v>
      </c>
      <c r="B45" s="290">
        <f t="shared" si="13"/>
        <v>0</v>
      </c>
      <c r="C45" s="379">
        <f t="shared" si="13"/>
        <v>0</v>
      </c>
      <c r="D45" s="475">
        <f t="shared" si="13"/>
        <v>0</v>
      </c>
      <c r="E45" s="372" t="e">
        <f t="shared" si="1"/>
        <v>#DIV/0!</v>
      </c>
      <c r="F45" s="354" t="e">
        <f t="shared" si="11"/>
        <v>#DIV/0!</v>
      </c>
      <c r="G45" s="355" t="e">
        <f t="shared" si="11"/>
        <v>#DIV/0!</v>
      </c>
      <c r="H45" s="355" t="e">
        <f t="shared" si="11"/>
        <v>#DIV/0!</v>
      </c>
      <c r="I45" s="355" t="e">
        <f t="shared" si="10"/>
        <v>#DIV/0!</v>
      </c>
      <c r="J45" s="355" t="e">
        <f t="shared" si="10"/>
        <v>#DIV/0!</v>
      </c>
      <c r="K45" s="355" t="e">
        <f t="shared" si="10"/>
        <v>#DIV/0!</v>
      </c>
      <c r="L45" s="355" t="e">
        <f t="shared" si="10"/>
        <v>#DIV/0!</v>
      </c>
      <c r="M45" s="355" t="e">
        <f t="shared" si="10"/>
        <v>#DIV/0!</v>
      </c>
      <c r="N45" s="355" t="e">
        <f t="shared" si="10"/>
        <v>#DIV/0!</v>
      </c>
      <c r="O45" s="355" t="e">
        <f t="shared" si="10"/>
        <v>#DIV/0!</v>
      </c>
      <c r="P45" s="355" t="e">
        <f t="shared" si="10"/>
        <v>#DIV/0!</v>
      </c>
      <c r="Q45" s="355" t="e">
        <f t="shared" si="10"/>
        <v>#DIV/0!</v>
      </c>
      <c r="R45" s="301" t="e">
        <f t="shared" si="3"/>
        <v>#DIV/0!</v>
      </c>
      <c r="S45" s="301" t="e">
        <f t="shared" si="4"/>
        <v>#DIV/0!</v>
      </c>
      <c r="T45" s="301" t="e">
        <f t="shared" si="5"/>
        <v>#DIV/0!</v>
      </c>
      <c r="U45" s="301" t="e">
        <f t="shared" si="6"/>
        <v>#DIV/0!</v>
      </c>
      <c r="V45" s="301" t="e">
        <f t="shared" si="7"/>
        <v>#DIV/0!</v>
      </c>
      <c r="W45" s="301" t="e">
        <f t="shared" si="8"/>
        <v>#DIV/0!</v>
      </c>
      <c r="X45" s="304" t="e">
        <f t="shared" si="12"/>
        <v>#DIV/0!</v>
      </c>
    </row>
    <row r="46" spans="1:24" ht="16.5">
      <c r="A46" s="216">
        <v>46065</v>
      </c>
      <c r="B46" s="290">
        <f t="shared" si="13"/>
        <v>0</v>
      </c>
      <c r="C46" s="379">
        <f t="shared" si="13"/>
        <v>0</v>
      </c>
      <c r="D46" s="475">
        <f t="shared" si="13"/>
        <v>0</v>
      </c>
      <c r="E46" s="372" t="e">
        <f t="shared" si="1"/>
        <v>#DIV/0!</v>
      </c>
      <c r="F46" s="354" t="e">
        <f t="shared" si="11"/>
        <v>#DIV/0!</v>
      </c>
      <c r="G46" s="355" t="e">
        <f t="shared" si="11"/>
        <v>#DIV/0!</v>
      </c>
      <c r="H46" s="355" t="e">
        <f t="shared" si="11"/>
        <v>#DIV/0!</v>
      </c>
      <c r="I46" s="355" t="e">
        <f t="shared" si="10"/>
        <v>#DIV/0!</v>
      </c>
      <c r="J46" s="355" t="e">
        <f t="shared" si="10"/>
        <v>#DIV/0!</v>
      </c>
      <c r="K46" s="355" t="e">
        <f t="shared" si="10"/>
        <v>#DIV/0!</v>
      </c>
      <c r="L46" s="355" t="e">
        <f t="shared" si="10"/>
        <v>#DIV/0!</v>
      </c>
      <c r="M46" s="355" t="e">
        <f t="shared" si="10"/>
        <v>#DIV/0!</v>
      </c>
      <c r="N46" s="355" t="e">
        <f t="shared" si="10"/>
        <v>#DIV/0!</v>
      </c>
      <c r="O46" s="355" t="e">
        <f t="shared" si="10"/>
        <v>#DIV/0!</v>
      </c>
      <c r="P46" s="355" t="e">
        <f t="shared" si="10"/>
        <v>#DIV/0!</v>
      </c>
      <c r="Q46" s="355" t="e">
        <f t="shared" si="10"/>
        <v>#DIV/0!</v>
      </c>
      <c r="R46" s="301" t="e">
        <f t="shared" si="3"/>
        <v>#DIV/0!</v>
      </c>
      <c r="S46" s="301" t="e">
        <f t="shared" si="4"/>
        <v>#DIV/0!</v>
      </c>
      <c r="T46" s="301" t="e">
        <f t="shared" si="5"/>
        <v>#DIV/0!</v>
      </c>
      <c r="U46" s="301" t="e">
        <f t="shared" si="6"/>
        <v>#DIV/0!</v>
      </c>
      <c r="V46" s="301" t="e">
        <f t="shared" si="7"/>
        <v>#DIV/0!</v>
      </c>
      <c r="W46" s="301" t="e">
        <f t="shared" si="8"/>
        <v>#DIV/0!</v>
      </c>
      <c r="X46" s="304" t="e">
        <f t="shared" si="12"/>
        <v>#DIV/0!</v>
      </c>
    </row>
    <row r="47" spans="1:24" ht="16.5">
      <c r="A47" s="216">
        <v>46066</v>
      </c>
      <c r="B47" s="290">
        <f t="shared" si="13"/>
        <v>0</v>
      </c>
      <c r="C47" s="379">
        <f t="shared" si="13"/>
        <v>0</v>
      </c>
      <c r="D47" s="475">
        <f t="shared" si="13"/>
        <v>0</v>
      </c>
      <c r="E47" s="372" t="e">
        <f t="shared" si="1"/>
        <v>#DIV/0!</v>
      </c>
      <c r="F47" s="354" t="e">
        <f t="shared" si="11"/>
        <v>#DIV/0!</v>
      </c>
      <c r="G47" s="355" t="e">
        <f t="shared" si="11"/>
        <v>#DIV/0!</v>
      </c>
      <c r="H47" s="355" t="e">
        <f t="shared" si="11"/>
        <v>#DIV/0!</v>
      </c>
      <c r="I47" s="355" t="e">
        <f t="shared" si="10"/>
        <v>#DIV/0!</v>
      </c>
      <c r="J47" s="355" t="e">
        <f t="shared" si="10"/>
        <v>#DIV/0!</v>
      </c>
      <c r="K47" s="355" t="e">
        <f t="shared" si="10"/>
        <v>#DIV/0!</v>
      </c>
      <c r="L47" s="355" t="e">
        <f t="shared" si="10"/>
        <v>#DIV/0!</v>
      </c>
      <c r="M47" s="355" t="e">
        <f t="shared" si="10"/>
        <v>#DIV/0!</v>
      </c>
      <c r="N47" s="355" t="e">
        <f t="shared" si="10"/>
        <v>#DIV/0!</v>
      </c>
      <c r="O47" s="355" t="e">
        <f t="shared" si="10"/>
        <v>#DIV/0!</v>
      </c>
      <c r="P47" s="355" t="e">
        <f t="shared" si="10"/>
        <v>#DIV/0!</v>
      </c>
      <c r="Q47" s="355" t="e">
        <f t="shared" si="10"/>
        <v>#DIV/0!</v>
      </c>
      <c r="R47" s="301" t="e">
        <f t="shared" si="3"/>
        <v>#DIV/0!</v>
      </c>
      <c r="S47" s="301" t="e">
        <f t="shared" si="4"/>
        <v>#DIV/0!</v>
      </c>
      <c r="T47" s="301" t="e">
        <f t="shared" si="5"/>
        <v>#DIV/0!</v>
      </c>
      <c r="U47" s="301" t="e">
        <f t="shared" si="6"/>
        <v>#DIV/0!</v>
      </c>
      <c r="V47" s="301" t="e">
        <f t="shared" si="7"/>
        <v>#DIV/0!</v>
      </c>
      <c r="W47" s="301" t="e">
        <f t="shared" si="8"/>
        <v>#DIV/0!</v>
      </c>
      <c r="X47" s="304" t="e">
        <f t="shared" si="12"/>
        <v>#DIV/0!</v>
      </c>
    </row>
    <row r="48" spans="1:24" ht="16.5">
      <c r="A48" s="132">
        <v>46067</v>
      </c>
      <c r="B48" s="290">
        <f t="shared" si="13"/>
        <v>0</v>
      </c>
      <c r="C48" s="379">
        <f t="shared" si="13"/>
        <v>0</v>
      </c>
      <c r="D48" s="475">
        <f t="shared" si="13"/>
        <v>0</v>
      </c>
      <c r="E48" s="372" t="e">
        <f t="shared" si="1"/>
        <v>#DIV/0!</v>
      </c>
      <c r="F48" s="354" t="e">
        <f t="shared" si="11"/>
        <v>#DIV/0!</v>
      </c>
      <c r="G48" s="355" t="e">
        <f t="shared" si="11"/>
        <v>#DIV/0!</v>
      </c>
      <c r="H48" s="355" t="e">
        <f t="shared" si="11"/>
        <v>#DIV/0!</v>
      </c>
      <c r="I48" s="355" t="e">
        <f t="shared" si="10"/>
        <v>#DIV/0!</v>
      </c>
      <c r="J48" s="355" t="e">
        <f t="shared" si="10"/>
        <v>#DIV/0!</v>
      </c>
      <c r="K48" s="355" t="e">
        <f t="shared" si="10"/>
        <v>#DIV/0!</v>
      </c>
      <c r="L48" s="355" t="e">
        <f t="shared" si="10"/>
        <v>#DIV/0!</v>
      </c>
      <c r="M48" s="355" t="e">
        <f t="shared" si="10"/>
        <v>#DIV/0!</v>
      </c>
      <c r="N48" s="355" t="e">
        <f t="shared" si="10"/>
        <v>#DIV/0!</v>
      </c>
      <c r="O48" s="355" t="e">
        <f t="shared" si="10"/>
        <v>#DIV/0!</v>
      </c>
      <c r="P48" s="355" t="e">
        <f t="shared" si="10"/>
        <v>#DIV/0!</v>
      </c>
      <c r="Q48" s="355" t="e">
        <f t="shared" si="10"/>
        <v>#DIV/0!</v>
      </c>
      <c r="R48" s="301" t="e">
        <f t="shared" si="3"/>
        <v>#DIV/0!</v>
      </c>
      <c r="S48" s="301" t="e">
        <f t="shared" si="4"/>
        <v>#DIV/0!</v>
      </c>
      <c r="T48" s="301" t="e">
        <f t="shared" si="5"/>
        <v>#DIV/0!</v>
      </c>
      <c r="U48" s="301" t="e">
        <f t="shared" si="6"/>
        <v>#DIV/0!</v>
      </c>
      <c r="V48" s="301" t="e">
        <f t="shared" si="7"/>
        <v>#DIV/0!</v>
      </c>
      <c r="W48" s="301" t="e">
        <f t="shared" si="8"/>
        <v>#DIV/0!</v>
      </c>
      <c r="X48" s="304" t="e">
        <f t="shared" si="12"/>
        <v>#DIV/0!</v>
      </c>
    </row>
    <row r="49" spans="1:24" ht="16.5">
      <c r="A49" s="132">
        <v>46068</v>
      </c>
      <c r="B49" s="290">
        <f t="shared" si="13"/>
        <v>0</v>
      </c>
      <c r="C49" s="379">
        <f t="shared" si="13"/>
        <v>0</v>
      </c>
      <c r="D49" s="475">
        <f t="shared" si="13"/>
        <v>0</v>
      </c>
      <c r="E49" s="372" t="e">
        <f t="shared" si="1"/>
        <v>#DIV/0!</v>
      </c>
      <c r="F49" s="354" t="e">
        <f t="shared" si="11"/>
        <v>#DIV/0!</v>
      </c>
      <c r="G49" s="355" t="e">
        <f t="shared" si="11"/>
        <v>#DIV/0!</v>
      </c>
      <c r="H49" s="355" t="e">
        <f t="shared" si="11"/>
        <v>#DIV/0!</v>
      </c>
      <c r="I49" s="355" t="e">
        <f t="shared" si="10"/>
        <v>#DIV/0!</v>
      </c>
      <c r="J49" s="355" t="e">
        <f t="shared" si="10"/>
        <v>#DIV/0!</v>
      </c>
      <c r="K49" s="355" t="e">
        <f t="shared" si="10"/>
        <v>#DIV/0!</v>
      </c>
      <c r="L49" s="355" t="e">
        <f t="shared" si="10"/>
        <v>#DIV/0!</v>
      </c>
      <c r="M49" s="355" t="e">
        <f t="shared" si="10"/>
        <v>#DIV/0!</v>
      </c>
      <c r="N49" s="355" t="e">
        <f t="shared" si="10"/>
        <v>#DIV/0!</v>
      </c>
      <c r="O49" s="355" t="e">
        <f t="shared" si="10"/>
        <v>#DIV/0!</v>
      </c>
      <c r="P49" s="355" t="e">
        <f t="shared" si="10"/>
        <v>#DIV/0!</v>
      </c>
      <c r="Q49" s="355" t="e">
        <f t="shared" si="10"/>
        <v>#DIV/0!</v>
      </c>
      <c r="R49" s="301" t="e">
        <f t="shared" si="3"/>
        <v>#DIV/0!</v>
      </c>
      <c r="S49" s="301" t="e">
        <f t="shared" si="4"/>
        <v>#DIV/0!</v>
      </c>
      <c r="T49" s="301" t="e">
        <f t="shared" si="5"/>
        <v>#DIV/0!</v>
      </c>
      <c r="U49" s="301" t="e">
        <f t="shared" si="6"/>
        <v>#DIV/0!</v>
      </c>
      <c r="V49" s="301" t="e">
        <f t="shared" si="7"/>
        <v>#DIV/0!</v>
      </c>
      <c r="W49" s="301" t="e">
        <f t="shared" si="8"/>
        <v>#DIV/0!</v>
      </c>
      <c r="X49" s="304" t="e">
        <f t="shared" si="12"/>
        <v>#DIV/0!</v>
      </c>
    </row>
    <row r="50" spans="1:24" ht="16.5">
      <c r="A50" s="132">
        <v>46069</v>
      </c>
      <c r="B50" s="290">
        <f t="shared" si="13"/>
        <v>0</v>
      </c>
      <c r="C50" s="379">
        <f t="shared" si="13"/>
        <v>0</v>
      </c>
      <c r="D50" s="475">
        <f t="shared" si="13"/>
        <v>0</v>
      </c>
      <c r="E50" s="372" t="e">
        <f t="shared" si="1"/>
        <v>#DIV/0!</v>
      </c>
      <c r="F50" s="354" t="e">
        <f t="shared" si="11"/>
        <v>#DIV/0!</v>
      </c>
      <c r="G50" s="355" t="e">
        <f t="shared" si="11"/>
        <v>#DIV/0!</v>
      </c>
      <c r="H50" s="355" t="e">
        <f t="shared" si="11"/>
        <v>#DIV/0!</v>
      </c>
      <c r="I50" s="355" t="e">
        <f t="shared" si="10"/>
        <v>#DIV/0!</v>
      </c>
      <c r="J50" s="355" t="e">
        <f t="shared" si="10"/>
        <v>#DIV/0!</v>
      </c>
      <c r="K50" s="355" t="e">
        <f t="shared" si="10"/>
        <v>#DIV/0!</v>
      </c>
      <c r="L50" s="355" t="e">
        <f t="shared" si="10"/>
        <v>#DIV/0!</v>
      </c>
      <c r="M50" s="355" t="e">
        <f t="shared" si="10"/>
        <v>#DIV/0!</v>
      </c>
      <c r="N50" s="355" t="e">
        <f t="shared" si="10"/>
        <v>#DIV/0!</v>
      </c>
      <c r="O50" s="355" t="e">
        <f t="shared" si="10"/>
        <v>#DIV/0!</v>
      </c>
      <c r="P50" s="355" t="e">
        <f t="shared" si="10"/>
        <v>#DIV/0!</v>
      </c>
      <c r="Q50" s="355" t="e">
        <f t="shared" si="10"/>
        <v>#DIV/0!</v>
      </c>
      <c r="R50" s="301" t="e">
        <f t="shared" si="3"/>
        <v>#DIV/0!</v>
      </c>
      <c r="S50" s="301" t="e">
        <f t="shared" si="4"/>
        <v>#DIV/0!</v>
      </c>
      <c r="T50" s="301" t="e">
        <f t="shared" si="5"/>
        <v>#DIV/0!</v>
      </c>
      <c r="U50" s="301" t="e">
        <f t="shared" si="6"/>
        <v>#DIV/0!</v>
      </c>
      <c r="V50" s="301" t="e">
        <f t="shared" si="7"/>
        <v>#DIV/0!</v>
      </c>
      <c r="W50" s="301" t="e">
        <f t="shared" si="8"/>
        <v>#DIV/0!</v>
      </c>
      <c r="X50" s="304" t="e">
        <f t="shared" si="12"/>
        <v>#DIV/0!</v>
      </c>
    </row>
    <row r="51" spans="1:24" ht="16.5">
      <c r="A51" s="216">
        <v>46070</v>
      </c>
      <c r="B51" s="290">
        <f t="shared" si="13"/>
        <v>0</v>
      </c>
      <c r="C51" s="379">
        <f t="shared" si="13"/>
        <v>0</v>
      </c>
      <c r="D51" s="475">
        <f t="shared" si="13"/>
        <v>0</v>
      </c>
      <c r="E51" s="372" t="e">
        <f t="shared" si="1"/>
        <v>#DIV/0!</v>
      </c>
      <c r="F51" s="354" t="e">
        <f t="shared" si="11"/>
        <v>#DIV/0!</v>
      </c>
      <c r="G51" s="355" t="e">
        <f t="shared" si="11"/>
        <v>#DIV/0!</v>
      </c>
      <c r="H51" s="355" t="e">
        <f t="shared" si="11"/>
        <v>#DIV/0!</v>
      </c>
      <c r="I51" s="355" t="e">
        <f t="shared" si="10"/>
        <v>#DIV/0!</v>
      </c>
      <c r="J51" s="355" t="e">
        <f t="shared" si="10"/>
        <v>#DIV/0!</v>
      </c>
      <c r="K51" s="355" t="e">
        <f t="shared" si="10"/>
        <v>#DIV/0!</v>
      </c>
      <c r="L51" s="355" t="e">
        <f t="shared" ref="L51:Q78" si="14">(AL51*$AC51+BL51*$BC51)/$C51</f>
        <v>#DIV/0!</v>
      </c>
      <c r="M51" s="355" t="e">
        <f t="shared" si="14"/>
        <v>#DIV/0!</v>
      </c>
      <c r="N51" s="355" t="e">
        <f t="shared" si="14"/>
        <v>#DIV/0!</v>
      </c>
      <c r="O51" s="355" t="e">
        <f t="shared" si="14"/>
        <v>#DIV/0!</v>
      </c>
      <c r="P51" s="355" t="e">
        <f t="shared" si="14"/>
        <v>#DIV/0!</v>
      </c>
      <c r="Q51" s="355" t="e">
        <f t="shared" si="14"/>
        <v>#DIV/0!</v>
      </c>
      <c r="R51" s="301" t="e">
        <f t="shared" si="3"/>
        <v>#DIV/0!</v>
      </c>
      <c r="S51" s="301" t="e">
        <f t="shared" si="4"/>
        <v>#DIV/0!</v>
      </c>
      <c r="T51" s="301" t="e">
        <f t="shared" si="5"/>
        <v>#DIV/0!</v>
      </c>
      <c r="U51" s="301" t="e">
        <f t="shared" si="6"/>
        <v>#DIV/0!</v>
      </c>
      <c r="V51" s="301" t="e">
        <f t="shared" si="7"/>
        <v>#DIV/0!</v>
      </c>
      <c r="W51" s="301" t="e">
        <f t="shared" si="8"/>
        <v>#DIV/0!</v>
      </c>
      <c r="X51" s="304" t="e">
        <f t="shared" si="12"/>
        <v>#DIV/0!</v>
      </c>
    </row>
    <row r="52" spans="1:24" ht="16.5">
      <c r="A52" s="132">
        <v>46071</v>
      </c>
      <c r="B52" s="290">
        <f t="shared" si="13"/>
        <v>0</v>
      </c>
      <c r="C52" s="379">
        <f t="shared" si="13"/>
        <v>0</v>
      </c>
      <c r="D52" s="475">
        <f t="shared" si="13"/>
        <v>0</v>
      </c>
      <c r="E52" s="372" t="e">
        <f t="shared" si="1"/>
        <v>#DIV/0!</v>
      </c>
      <c r="F52" s="354" t="e">
        <f t="shared" si="11"/>
        <v>#DIV/0!</v>
      </c>
      <c r="G52" s="355" t="e">
        <f t="shared" si="11"/>
        <v>#DIV/0!</v>
      </c>
      <c r="H52" s="355" t="e">
        <f t="shared" si="11"/>
        <v>#DIV/0!</v>
      </c>
      <c r="I52" s="355" t="e">
        <f t="shared" si="11"/>
        <v>#DIV/0!</v>
      </c>
      <c r="J52" s="355" t="e">
        <f t="shared" si="11"/>
        <v>#DIV/0!</v>
      </c>
      <c r="K52" s="355" t="e">
        <f t="shared" si="11"/>
        <v>#DIV/0!</v>
      </c>
      <c r="L52" s="355" t="e">
        <f t="shared" si="14"/>
        <v>#DIV/0!</v>
      </c>
      <c r="M52" s="355" t="e">
        <f t="shared" si="14"/>
        <v>#DIV/0!</v>
      </c>
      <c r="N52" s="355" t="e">
        <f t="shared" si="14"/>
        <v>#DIV/0!</v>
      </c>
      <c r="O52" s="355" t="e">
        <f t="shared" si="14"/>
        <v>#DIV/0!</v>
      </c>
      <c r="P52" s="355" t="e">
        <f t="shared" si="14"/>
        <v>#DIV/0!</v>
      </c>
      <c r="Q52" s="355" t="e">
        <f t="shared" si="14"/>
        <v>#DIV/0!</v>
      </c>
      <c r="R52" s="301" t="e">
        <f t="shared" si="3"/>
        <v>#DIV/0!</v>
      </c>
      <c r="S52" s="301" t="e">
        <f t="shared" si="4"/>
        <v>#DIV/0!</v>
      </c>
      <c r="T52" s="301" t="e">
        <f t="shared" si="5"/>
        <v>#DIV/0!</v>
      </c>
      <c r="U52" s="301" t="e">
        <f t="shared" si="6"/>
        <v>#DIV/0!</v>
      </c>
      <c r="V52" s="301" t="e">
        <f t="shared" si="7"/>
        <v>#DIV/0!</v>
      </c>
      <c r="W52" s="301" t="e">
        <f t="shared" si="8"/>
        <v>#DIV/0!</v>
      </c>
      <c r="X52" s="304" t="e">
        <f t="shared" si="12"/>
        <v>#DIV/0!</v>
      </c>
    </row>
    <row r="53" spans="1:24" ht="16.5">
      <c r="A53" s="132">
        <v>46072</v>
      </c>
      <c r="B53" s="290">
        <f t="shared" si="13"/>
        <v>0</v>
      </c>
      <c r="C53" s="379">
        <f t="shared" si="13"/>
        <v>0</v>
      </c>
      <c r="D53" s="475">
        <f t="shared" si="13"/>
        <v>0</v>
      </c>
      <c r="E53" s="372" t="e">
        <f t="shared" si="1"/>
        <v>#DIV/0!</v>
      </c>
      <c r="F53" s="354" t="e">
        <f t="shared" si="11"/>
        <v>#DIV/0!</v>
      </c>
      <c r="G53" s="355" t="e">
        <f t="shared" si="11"/>
        <v>#DIV/0!</v>
      </c>
      <c r="H53" s="355" t="e">
        <f t="shared" si="11"/>
        <v>#DIV/0!</v>
      </c>
      <c r="I53" s="355" t="e">
        <f t="shared" si="11"/>
        <v>#DIV/0!</v>
      </c>
      <c r="J53" s="355" t="e">
        <f t="shared" si="11"/>
        <v>#DIV/0!</v>
      </c>
      <c r="K53" s="355" t="e">
        <f t="shared" si="11"/>
        <v>#DIV/0!</v>
      </c>
      <c r="L53" s="355" t="e">
        <f t="shared" si="14"/>
        <v>#DIV/0!</v>
      </c>
      <c r="M53" s="355" t="e">
        <f t="shared" si="14"/>
        <v>#DIV/0!</v>
      </c>
      <c r="N53" s="355" t="e">
        <f t="shared" si="14"/>
        <v>#DIV/0!</v>
      </c>
      <c r="O53" s="355" t="e">
        <f t="shared" si="14"/>
        <v>#DIV/0!</v>
      </c>
      <c r="P53" s="355" t="e">
        <f t="shared" si="14"/>
        <v>#DIV/0!</v>
      </c>
      <c r="Q53" s="355" t="e">
        <f t="shared" si="14"/>
        <v>#DIV/0!</v>
      </c>
      <c r="R53" s="301" t="e">
        <f t="shared" si="3"/>
        <v>#DIV/0!</v>
      </c>
      <c r="S53" s="301" t="e">
        <f t="shared" si="4"/>
        <v>#DIV/0!</v>
      </c>
      <c r="T53" s="301" t="e">
        <f t="shared" si="5"/>
        <v>#DIV/0!</v>
      </c>
      <c r="U53" s="301" t="e">
        <f t="shared" si="6"/>
        <v>#DIV/0!</v>
      </c>
      <c r="V53" s="301" t="e">
        <f t="shared" si="7"/>
        <v>#DIV/0!</v>
      </c>
      <c r="W53" s="301" t="e">
        <f t="shared" si="8"/>
        <v>#DIV/0!</v>
      </c>
      <c r="X53" s="304" t="e">
        <f t="shared" si="12"/>
        <v>#DIV/0!</v>
      </c>
    </row>
    <row r="54" spans="1:24" ht="16.5">
      <c r="A54" s="132">
        <v>46073</v>
      </c>
      <c r="B54" s="290">
        <f t="shared" si="13"/>
        <v>0</v>
      </c>
      <c r="C54" s="379">
        <f t="shared" si="13"/>
        <v>0</v>
      </c>
      <c r="D54" s="475">
        <f t="shared" si="13"/>
        <v>0</v>
      </c>
      <c r="E54" s="372" t="e">
        <f t="shared" si="1"/>
        <v>#DIV/0!</v>
      </c>
      <c r="F54" s="354" t="e">
        <f t="shared" si="11"/>
        <v>#DIV/0!</v>
      </c>
      <c r="G54" s="355" t="e">
        <f t="shared" si="11"/>
        <v>#DIV/0!</v>
      </c>
      <c r="H54" s="355" t="e">
        <f t="shared" si="11"/>
        <v>#DIV/0!</v>
      </c>
      <c r="I54" s="355" t="e">
        <f t="shared" si="11"/>
        <v>#DIV/0!</v>
      </c>
      <c r="J54" s="355" t="e">
        <f t="shared" si="11"/>
        <v>#DIV/0!</v>
      </c>
      <c r="K54" s="355" t="e">
        <f t="shared" si="11"/>
        <v>#DIV/0!</v>
      </c>
      <c r="L54" s="355" t="e">
        <f t="shared" si="14"/>
        <v>#DIV/0!</v>
      </c>
      <c r="M54" s="355" t="e">
        <f t="shared" si="14"/>
        <v>#DIV/0!</v>
      </c>
      <c r="N54" s="355" t="e">
        <f t="shared" si="14"/>
        <v>#DIV/0!</v>
      </c>
      <c r="O54" s="355" t="e">
        <f t="shared" si="14"/>
        <v>#DIV/0!</v>
      </c>
      <c r="P54" s="355" t="e">
        <f t="shared" si="14"/>
        <v>#DIV/0!</v>
      </c>
      <c r="Q54" s="355" t="e">
        <f t="shared" si="14"/>
        <v>#DIV/0!</v>
      </c>
      <c r="R54" s="301" t="e">
        <f t="shared" si="3"/>
        <v>#DIV/0!</v>
      </c>
      <c r="S54" s="301" t="e">
        <f t="shared" si="4"/>
        <v>#DIV/0!</v>
      </c>
      <c r="T54" s="301" t="e">
        <f t="shared" si="5"/>
        <v>#DIV/0!</v>
      </c>
      <c r="U54" s="301" t="e">
        <f t="shared" si="6"/>
        <v>#DIV/0!</v>
      </c>
      <c r="V54" s="301" t="e">
        <f t="shared" si="7"/>
        <v>#DIV/0!</v>
      </c>
      <c r="W54" s="301" t="e">
        <f t="shared" si="8"/>
        <v>#DIV/0!</v>
      </c>
      <c r="X54" s="304" t="e">
        <f t="shared" si="12"/>
        <v>#DIV/0!</v>
      </c>
    </row>
    <row r="55" spans="1:24" ht="16.5">
      <c r="A55" s="132">
        <v>46074</v>
      </c>
      <c r="B55" s="290">
        <f t="shared" si="13"/>
        <v>0</v>
      </c>
      <c r="C55" s="379">
        <f t="shared" si="13"/>
        <v>0</v>
      </c>
      <c r="D55" s="475">
        <f t="shared" si="13"/>
        <v>0</v>
      </c>
      <c r="E55" s="372" t="e">
        <f t="shared" si="1"/>
        <v>#DIV/0!</v>
      </c>
      <c r="F55" s="354" t="e">
        <f t="shared" si="11"/>
        <v>#DIV/0!</v>
      </c>
      <c r="G55" s="355" t="e">
        <f t="shared" si="11"/>
        <v>#DIV/0!</v>
      </c>
      <c r="H55" s="355" t="e">
        <f t="shared" si="11"/>
        <v>#DIV/0!</v>
      </c>
      <c r="I55" s="355" t="e">
        <f t="shared" si="11"/>
        <v>#DIV/0!</v>
      </c>
      <c r="J55" s="355" t="e">
        <f t="shared" si="11"/>
        <v>#DIV/0!</v>
      </c>
      <c r="K55" s="355" t="e">
        <f t="shared" si="11"/>
        <v>#DIV/0!</v>
      </c>
      <c r="L55" s="355" t="e">
        <f t="shared" si="14"/>
        <v>#DIV/0!</v>
      </c>
      <c r="M55" s="355" t="e">
        <f t="shared" si="14"/>
        <v>#DIV/0!</v>
      </c>
      <c r="N55" s="355" t="e">
        <f t="shared" si="14"/>
        <v>#DIV/0!</v>
      </c>
      <c r="O55" s="355" t="e">
        <f t="shared" si="14"/>
        <v>#DIV/0!</v>
      </c>
      <c r="P55" s="355" t="e">
        <f t="shared" si="14"/>
        <v>#DIV/0!</v>
      </c>
      <c r="Q55" s="355" t="e">
        <f t="shared" si="14"/>
        <v>#DIV/0!</v>
      </c>
      <c r="R55" s="301" t="e">
        <f t="shared" si="3"/>
        <v>#DIV/0!</v>
      </c>
      <c r="S55" s="301" t="e">
        <f t="shared" si="4"/>
        <v>#DIV/0!</v>
      </c>
      <c r="T55" s="301" t="e">
        <f t="shared" si="5"/>
        <v>#DIV/0!</v>
      </c>
      <c r="U55" s="301" t="e">
        <f t="shared" si="6"/>
        <v>#DIV/0!</v>
      </c>
      <c r="V55" s="301" t="e">
        <f t="shared" si="7"/>
        <v>#DIV/0!</v>
      </c>
      <c r="W55" s="301" t="e">
        <f t="shared" si="8"/>
        <v>#DIV/0!</v>
      </c>
      <c r="X55" s="304" t="e">
        <f t="shared" si="12"/>
        <v>#DIV/0!</v>
      </c>
    </row>
    <row r="56" spans="1:24" ht="16.5">
      <c r="A56" s="132">
        <v>46075</v>
      </c>
      <c r="B56" s="290">
        <f t="shared" si="13"/>
        <v>0</v>
      </c>
      <c r="C56" s="379">
        <f t="shared" si="13"/>
        <v>0</v>
      </c>
      <c r="D56" s="475">
        <f t="shared" si="13"/>
        <v>0</v>
      </c>
      <c r="E56" s="372" t="e">
        <f t="shared" si="1"/>
        <v>#DIV/0!</v>
      </c>
      <c r="F56" s="354" t="e">
        <f t="shared" ref="F56:O83" si="15">(AF56*$AC56+BF56*$BC56)/$C56</f>
        <v>#DIV/0!</v>
      </c>
      <c r="G56" s="355" t="e">
        <f t="shared" si="15"/>
        <v>#DIV/0!</v>
      </c>
      <c r="H56" s="355" t="e">
        <f t="shared" si="15"/>
        <v>#DIV/0!</v>
      </c>
      <c r="I56" s="355" t="e">
        <f t="shared" si="15"/>
        <v>#DIV/0!</v>
      </c>
      <c r="J56" s="355" t="e">
        <f t="shared" si="15"/>
        <v>#DIV/0!</v>
      </c>
      <c r="K56" s="355" t="e">
        <f t="shared" si="15"/>
        <v>#DIV/0!</v>
      </c>
      <c r="L56" s="355" t="e">
        <f t="shared" si="14"/>
        <v>#DIV/0!</v>
      </c>
      <c r="M56" s="355" t="e">
        <f t="shared" si="14"/>
        <v>#DIV/0!</v>
      </c>
      <c r="N56" s="355" t="e">
        <f t="shared" si="14"/>
        <v>#DIV/0!</v>
      </c>
      <c r="O56" s="355" t="e">
        <f t="shared" si="14"/>
        <v>#DIV/0!</v>
      </c>
      <c r="P56" s="355" t="e">
        <f t="shared" si="14"/>
        <v>#DIV/0!</v>
      </c>
      <c r="Q56" s="355" t="e">
        <f t="shared" si="14"/>
        <v>#DIV/0!</v>
      </c>
      <c r="R56" s="301" t="e">
        <f t="shared" si="3"/>
        <v>#DIV/0!</v>
      </c>
      <c r="S56" s="301" t="e">
        <f t="shared" si="4"/>
        <v>#DIV/0!</v>
      </c>
      <c r="T56" s="301" t="e">
        <f t="shared" si="5"/>
        <v>#DIV/0!</v>
      </c>
      <c r="U56" s="301" t="e">
        <f t="shared" si="6"/>
        <v>#DIV/0!</v>
      </c>
      <c r="V56" s="301" t="e">
        <f t="shared" si="7"/>
        <v>#DIV/0!</v>
      </c>
      <c r="W56" s="301" t="e">
        <f t="shared" si="8"/>
        <v>#DIV/0!</v>
      </c>
      <c r="X56" s="304" t="e">
        <f t="shared" si="12"/>
        <v>#DIV/0!</v>
      </c>
    </row>
    <row r="57" spans="1:24" ht="16.5">
      <c r="A57" s="132">
        <v>46076</v>
      </c>
      <c r="B57" s="290">
        <f t="shared" si="13"/>
        <v>0</v>
      </c>
      <c r="C57" s="379">
        <f t="shared" si="13"/>
        <v>0</v>
      </c>
      <c r="D57" s="475">
        <f t="shared" si="13"/>
        <v>0</v>
      </c>
      <c r="E57" s="372" t="e">
        <f t="shared" si="1"/>
        <v>#DIV/0!</v>
      </c>
      <c r="F57" s="354" t="e">
        <f t="shared" si="15"/>
        <v>#DIV/0!</v>
      </c>
      <c r="G57" s="355" t="e">
        <f t="shared" si="15"/>
        <v>#DIV/0!</v>
      </c>
      <c r="H57" s="355" t="e">
        <f t="shared" si="15"/>
        <v>#DIV/0!</v>
      </c>
      <c r="I57" s="355" t="e">
        <f t="shared" si="15"/>
        <v>#DIV/0!</v>
      </c>
      <c r="J57" s="355" t="e">
        <f t="shared" si="15"/>
        <v>#DIV/0!</v>
      </c>
      <c r="K57" s="355" t="e">
        <f t="shared" si="15"/>
        <v>#DIV/0!</v>
      </c>
      <c r="L57" s="355" t="e">
        <f t="shared" si="14"/>
        <v>#DIV/0!</v>
      </c>
      <c r="M57" s="355" t="e">
        <f t="shared" si="14"/>
        <v>#DIV/0!</v>
      </c>
      <c r="N57" s="355" t="e">
        <f t="shared" si="14"/>
        <v>#DIV/0!</v>
      </c>
      <c r="O57" s="355" t="e">
        <f t="shared" si="14"/>
        <v>#DIV/0!</v>
      </c>
      <c r="P57" s="355" t="e">
        <f t="shared" si="14"/>
        <v>#DIV/0!</v>
      </c>
      <c r="Q57" s="355" t="e">
        <f t="shared" si="14"/>
        <v>#DIV/0!</v>
      </c>
      <c r="R57" s="301" t="e">
        <f t="shared" si="3"/>
        <v>#DIV/0!</v>
      </c>
      <c r="S57" s="301" t="e">
        <f t="shared" si="4"/>
        <v>#DIV/0!</v>
      </c>
      <c r="T57" s="301" t="e">
        <f t="shared" si="5"/>
        <v>#DIV/0!</v>
      </c>
      <c r="U57" s="301" t="e">
        <f t="shared" si="6"/>
        <v>#DIV/0!</v>
      </c>
      <c r="V57" s="301" t="e">
        <f t="shared" si="7"/>
        <v>#DIV/0!</v>
      </c>
      <c r="W57" s="301" t="e">
        <f t="shared" si="8"/>
        <v>#DIV/0!</v>
      </c>
      <c r="X57" s="304" t="e">
        <f t="shared" si="12"/>
        <v>#DIV/0!</v>
      </c>
    </row>
    <row r="58" spans="1:24" ht="16.5">
      <c r="A58" s="132">
        <v>46077</v>
      </c>
      <c r="B58" s="290">
        <f t="shared" si="13"/>
        <v>0</v>
      </c>
      <c r="C58" s="379">
        <f t="shared" si="13"/>
        <v>0</v>
      </c>
      <c r="D58" s="475">
        <f t="shared" si="13"/>
        <v>0</v>
      </c>
      <c r="E58" s="372" t="e">
        <f t="shared" si="1"/>
        <v>#DIV/0!</v>
      </c>
      <c r="F58" s="354" t="e">
        <f t="shared" si="15"/>
        <v>#DIV/0!</v>
      </c>
      <c r="G58" s="355" t="e">
        <f t="shared" si="15"/>
        <v>#DIV/0!</v>
      </c>
      <c r="H58" s="355" t="e">
        <f t="shared" si="15"/>
        <v>#DIV/0!</v>
      </c>
      <c r="I58" s="355" t="e">
        <f t="shared" si="15"/>
        <v>#DIV/0!</v>
      </c>
      <c r="J58" s="355" t="e">
        <f t="shared" si="15"/>
        <v>#DIV/0!</v>
      </c>
      <c r="K58" s="355" t="e">
        <f t="shared" si="15"/>
        <v>#DIV/0!</v>
      </c>
      <c r="L58" s="355" t="e">
        <f t="shared" si="14"/>
        <v>#DIV/0!</v>
      </c>
      <c r="M58" s="355" t="e">
        <f t="shared" si="14"/>
        <v>#DIV/0!</v>
      </c>
      <c r="N58" s="355" t="e">
        <f t="shared" si="14"/>
        <v>#DIV/0!</v>
      </c>
      <c r="O58" s="355" t="e">
        <f t="shared" si="14"/>
        <v>#DIV/0!</v>
      </c>
      <c r="P58" s="355" t="e">
        <f t="shared" si="14"/>
        <v>#DIV/0!</v>
      </c>
      <c r="Q58" s="355" t="e">
        <f t="shared" si="14"/>
        <v>#DIV/0!</v>
      </c>
      <c r="R58" s="301" t="e">
        <f t="shared" si="3"/>
        <v>#DIV/0!</v>
      </c>
      <c r="S58" s="301" t="e">
        <f t="shared" si="4"/>
        <v>#DIV/0!</v>
      </c>
      <c r="T58" s="301" t="e">
        <f t="shared" si="5"/>
        <v>#DIV/0!</v>
      </c>
      <c r="U58" s="301" t="e">
        <f t="shared" si="6"/>
        <v>#DIV/0!</v>
      </c>
      <c r="V58" s="301" t="e">
        <f t="shared" si="7"/>
        <v>#DIV/0!</v>
      </c>
      <c r="W58" s="301" t="e">
        <f t="shared" si="8"/>
        <v>#DIV/0!</v>
      </c>
      <c r="X58" s="304" t="e">
        <f t="shared" si="12"/>
        <v>#DIV/0!</v>
      </c>
    </row>
    <row r="59" spans="1:24" ht="17.25" thickBot="1">
      <c r="A59" s="132">
        <v>46078</v>
      </c>
      <c r="B59" s="290">
        <f t="shared" si="13"/>
        <v>0</v>
      </c>
      <c r="C59" s="379">
        <f t="shared" si="13"/>
        <v>0</v>
      </c>
      <c r="D59" s="475">
        <f t="shared" si="13"/>
        <v>0</v>
      </c>
      <c r="E59" s="372" t="e">
        <f t="shared" si="1"/>
        <v>#DIV/0!</v>
      </c>
      <c r="F59" s="354" t="e">
        <f t="shared" si="15"/>
        <v>#DIV/0!</v>
      </c>
      <c r="G59" s="355" t="e">
        <f t="shared" si="15"/>
        <v>#DIV/0!</v>
      </c>
      <c r="H59" s="355" t="e">
        <f t="shared" si="15"/>
        <v>#DIV/0!</v>
      </c>
      <c r="I59" s="355" t="e">
        <f t="shared" si="15"/>
        <v>#DIV/0!</v>
      </c>
      <c r="J59" s="355" t="e">
        <f t="shared" si="15"/>
        <v>#DIV/0!</v>
      </c>
      <c r="K59" s="355" t="e">
        <f t="shared" si="15"/>
        <v>#DIV/0!</v>
      </c>
      <c r="L59" s="355" t="e">
        <f t="shared" si="14"/>
        <v>#DIV/0!</v>
      </c>
      <c r="M59" s="355" t="e">
        <f t="shared" si="14"/>
        <v>#DIV/0!</v>
      </c>
      <c r="N59" s="355" t="e">
        <f t="shared" si="14"/>
        <v>#DIV/0!</v>
      </c>
      <c r="O59" s="355" t="e">
        <f t="shared" si="14"/>
        <v>#DIV/0!</v>
      </c>
      <c r="P59" s="355" t="e">
        <f t="shared" si="14"/>
        <v>#DIV/0!</v>
      </c>
      <c r="Q59" s="355" t="e">
        <f t="shared" si="14"/>
        <v>#DIV/0!</v>
      </c>
      <c r="R59" s="301" t="e">
        <f t="shared" si="3"/>
        <v>#DIV/0!</v>
      </c>
      <c r="S59" s="301" t="e">
        <f t="shared" si="4"/>
        <v>#DIV/0!</v>
      </c>
      <c r="T59" s="301" t="e">
        <f t="shared" si="5"/>
        <v>#DIV/0!</v>
      </c>
      <c r="U59" s="301" t="e">
        <f t="shared" si="6"/>
        <v>#DIV/0!</v>
      </c>
      <c r="V59" s="301" t="e">
        <f t="shared" si="7"/>
        <v>#DIV/0!</v>
      </c>
      <c r="W59" s="301" t="e">
        <f t="shared" si="8"/>
        <v>#DIV/0!</v>
      </c>
      <c r="X59" s="304" t="e">
        <f t="shared" si="12"/>
        <v>#DIV/0!</v>
      </c>
    </row>
    <row r="60" spans="1:24" ht="16.5">
      <c r="A60" s="452">
        <v>46079</v>
      </c>
      <c r="B60" s="278">
        <f t="shared" si="13"/>
        <v>0</v>
      </c>
      <c r="C60" s="465">
        <f t="shared" si="13"/>
        <v>0</v>
      </c>
      <c r="D60" s="470">
        <f t="shared" si="13"/>
        <v>0</v>
      </c>
      <c r="E60" s="282" t="e">
        <f t="shared" si="1"/>
        <v>#DIV/0!</v>
      </c>
      <c r="F60" s="456" t="e">
        <f t="shared" si="15"/>
        <v>#DIV/0!</v>
      </c>
      <c r="G60" s="455" t="e">
        <f t="shared" si="15"/>
        <v>#DIV/0!</v>
      </c>
      <c r="H60" s="455" t="e">
        <f t="shared" si="15"/>
        <v>#DIV/0!</v>
      </c>
      <c r="I60" s="455" t="e">
        <f t="shared" si="15"/>
        <v>#DIV/0!</v>
      </c>
      <c r="J60" s="455" t="e">
        <f t="shared" si="15"/>
        <v>#DIV/0!</v>
      </c>
      <c r="K60" s="455" t="e">
        <f t="shared" si="15"/>
        <v>#DIV/0!</v>
      </c>
      <c r="L60" s="455" t="e">
        <f t="shared" si="14"/>
        <v>#DIV/0!</v>
      </c>
      <c r="M60" s="455" t="e">
        <f t="shared" si="14"/>
        <v>#DIV/0!</v>
      </c>
      <c r="N60" s="455" t="e">
        <f t="shared" si="14"/>
        <v>#DIV/0!</v>
      </c>
      <c r="O60" s="455" t="e">
        <f t="shared" si="14"/>
        <v>#DIV/0!</v>
      </c>
      <c r="P60" s="455" t="e">
        <f t="shared" si="14"/>
        <v>#DIV/0!</v>
      </c>
      <c r="Q60" s="455" t="e">
        <f t="shared" si="14"/>
        <v>#DIV/0!</v>
      </c>
      <c r="R60" s="285" t="e">
        <f t="shared" si="3"/>
        <v>#DIV/0!</v>
      </c>
      <c r="S60" s="285" t="e">
        <f t="shared" si="4"/>
        <v>#DIV/0!</v>
      </c>
      <c r="T60" s="285" t="e">
        <f t="shared" si="5"/>
        <v>#DIV/0!</v>
      </c>
      <c r="U60" s="285" t="e">
        <f t="shared" si="6"/>
        <v>#DIV/0!</v>
      </c>
      <c r="V60" s="285" t="e">
        <f t="shared" si="7"/>
        <v>#DIV/0!</v>
      </c>
      <c r="W60" s="285" t="e">
        <f t="shared" si="8"/>
        <v>#DIV/0!</v>
      </c>
      <c r="X60" s="292" t="e">
        <f t="shared" si="12"/>
        <v>#DIV/0!</v>
      </c>
    </row>
    <row r="61" spans="1:24" ht="16.5">
      <c r="A61" s="271">
        <v>46080</v>
      </c>
      <c r="B61" s="290">
        <f t="shared" si="13"/>
        <v>0</v>
      </c>
      <c r="C61" s="379">
        <f t="shared" si="13"/>
        <v>0</v>
      </c>
      <c r="D61" s="475">
        <f t="shared" si="13"/>
        <v>0</v>
      </c>
      <c r="E61" s="372" t="e">
        <f t="shared" si="1"/>
        <v>#DIV/0!</v>
      </c>
      <c r="F61" s="354" t="e">
        <f t="shared" si="15"/>
        <v>#DIV/0!</v>
      </c>
      <c r="G61" s="355" t="e">
        <f t="shared" si="15"/>
        <v>#DIV/0!</v>
      </c>
      <c r="H61" s="355" t="e">
        <f t="shared" si="15"/>
        <v>#DIV/0!</v>
      </c>
      <c r="I61" s="355" t="e">
        <f t="shared" si="15"/>
        <v>#DIV/0!</v>
      </c>
      <c r="J61" s="355" t="e">
        <f t="shared" si="15"/>
        <v>#DIV/0!</v>
      </c>
      <c r="K61" s="355" t="e">
        <f t="shared" si="15"/>
        <v>#DIV/0!</v>
      </c>
      <c r="L61" s="355" t="e">
        <f t="shared" si="14"/>
        <v>#DIV/0!</v>
      </c>
      <c r="M61" s="355" t="e">
        <f t="shared" si="14"/>
        <v>#DIV/0!</v>
      </c>
      <c r="N61" s="355" t="e">
        <f t="shared" si="14"/>
        <v>#DIV/0!</v>
      </c>
      <c r="O61" s="355" t="e">
        <f t="shared" si="14"/>
        <v>#DIV/0!</v>
      </c>
      <c r="P61" s="355" t="e">
        <f t="shared" si="14"/>
        <v>#DIV/0!</v>
      </c>
      <c r="Q61" s="355" t="e">
        <f t="shared" si="14"/>
        <v>#DIV/0!</v>
      </c>
      <c r="R61" s="301" t="e">
        <f t="shared" si="3"/>
        <v>#DIV/0!</v>
      </c>
      <c r="S61" s="301" t="e">
        <f t="shared" si="4"/>
        <v>#DIV/0!</v>
      </c>
      <c r="T61" s="301" t="e">
        <f t="shared" si="5"/>
        <v>#DIV/0!</v>
      </c>
      <c r="U61" s="301" t="e">
        <f t="shared" si="6"/>
        <v>#DIV/0!</v>
      </c>
      <c r="V61" s="301" t="e">
        <f t="shared" si="7"/>
        <v>#DIV/0!</v>
      </c>
      <c r="W61" s="301" t="e">
        <f t="shared" si="8"/>
        <v>#DIV/0!</v>
      </c>
      <c r="X61" s="304" t="e">
        <f t="shared" si="12"/>
        <v>#DIV/0!</v>
      </c>
    </row>
    <row r="62" spans="1:24" ht="16.5">
      <c r="A62" s="254">
        <v>46081</v>
      </c>
      <c r="B62" s="290">
        <f t="shared" si="13"/>
        <v>0</v>
      </c>
      <c r="C62" s="379">
        <f t="shared" si="13"/>
        <v>0</v>
      </c>
      <c r="D62" s="475">
        <f t="shared" si="13"/>
        <v>0</v>
      </c>
      <c r="E62" s="372" t="e">
        <f t="shared" si="1"/>
        <v>#DIV/0!</v>
      </c>
      <c r="F62" s="354" t="e">
        <f t="shared" si="15"/>
        <v>#DIV/0!</v>
      </c>
      <c r="G62" s="355" t="e">
        <f t="shared" si="15"/>
        <v>#DIV/0!</v>
      </c>
      <c r="H62" s="355" t="e">
        <f t="shared" si="15"/>
        <v>#DIV/0!</v>
      </c>
      <c r="I62" s="355" t="e">
        <f t="shared" si="15"/>
        <v>#DIV/0!</v>
      </c>
      <c r="J62" s="355" t="e">
        <f t="shared" si="15"/>
        <v>#DIV/0!</v>
      </c>
      <c r="K62" s="355" t="e">
        <f t="shared" si="15"/>
        <v>#DIV/0!</v>
      </c>
      <c r="L62" s="355" t="e">
        <f t="shared" si="14"/>
        <v>#DIV/0!</v>
      </c>
      <c r="M62" s="355" t="e">
        <f t="shared" si="14"/>
        <v>#DIV/0!</v>
      </c>
      <c r="N62" s="355" t="e">
        <f t="shared" si="14"/>
        <v>#DIV/0!</v>
      </c>
      <c r="O62" s="355" t="e">
        <f t="shared" si="14"/>
        <v>#DIV/0!</v>
      </c>
      <c r="P62" s="355" t="e">
        <f t="shared" si="14"/>
        <v>#DIV/0!</v>
      </c>
      <c r="Q62" s="355" t="s">
        <v>102</v>
      </c>
      <c r="R62" s="301" t="e">
        <f t="shared" si="3"/>
        <v>#DIV/0!</v>
      </c>
      <c r="S62" s="301" t="e">
        <f t="shared" si="4"/>
        <v>#DIV/0!</v>
      </c>
      <c r="T62" s="301" t="e">
        <f t="shared" si="5"/>
        <v>#DIV/0!</v>
      </c>
      <c r="U62" s="301" t="e">
        <f t="shared" si="6"/>
        <v>#DIV/0!</v>
      </c>
      <c r="V62" s="301" t="e">
        <f t="shared" si="7"/>
        <v>#DIV/0!</v>
      </c>
      <c r="W62" s="301" t="e">
        <f t="shared" si="8"/>
        <v>#DIV/0!</v>
      </c>
      <c r="X62" s="304" t="s">
        <v>102</v>
      </c>
    </row>
    <row r="63" spans="1:24" ht="16.5">
      <c r="A63" s="254">
        <v>46082</v>
      </c>
      <c r="B63" s="290">
        <f t="shared" si="13"/>
        <v>0</v>
      </c>
      <c r="C63" s="379">
        <f t="shared" si="13"/>
        <v>0</v>
      </c>
      <c r="D63" s="475">
        <f t="shared" si="13"/>
        <v>0</v>
      </c>
      <c r="E63" s="372" t="e">
        <f t="shared" si="1"/>
        <v>#DIV/0!</v>
      </c>
      <c r="F63" s="354" t="e">
        <f t="shared" si="15"/>
        <v>#DIV/0!</v>
      </c>
      <c r="G63" s="355" t="e">
        <f t="shared" si="15"/>
        <v>#DIV/0!</v>
      </c>
      <c r="H63" s="355" t="e">
        <f t="shared" si="15"/>
        <v>#DIV/0!</v>
      </c>
      <c r="I63" s="355" t="e">
        <f t="shared" si="15"/>
        <v>#DIV/0!</v>
      </c>
      <c r="J63" s="355" t="e">
        <f t="shared" si="15"/>
        <v>#DIV/0!</v>
      </c>
      <c r="K63" s="355" t="e">
        <f t="shared" si="15"/>
        <v>#DIV/0!</v>
      </c>
      <c r="L63" s="355" t="e">
        <f t="shared" si="14"/>
        <v>#DIV/0!</v>
      </c>
      <c r="M63" s="355" t="e">
        <f t="shared" si="14"/>
        <v>#DIV/0!</v>
      </c>
      <c r="N63" s="355" t="e">
        <f t="shared" si="14"/>
        <v>#DIV/0!</v>
      </c>
      <c r="O63" s="355" t="e">
        <f t="shared" si="14"/>
        <v>#DIV/0!</v>
      </c>
      <c r="P63" s="355" t="e">
        <f t="shared" si="14"/>
        <v>#DIV/0!</v>
      </c>
      <c r="Q63" s="355" t="s">
        <v>102</v>
      </c>
      <c r="R63" s="301" t="e">
        <f t="shared" si="3"/>
        <v>#DIV/0!</v>
      </c>
      <c r="S63" s="301" t="e">
        <f t="shared" si="4"/>
        <v>#DIV/0!</v>
      </c>
      <c r="T63" s="301" t="e">
        <f t="shared" si="5"/>
        <v>#DIV/0!</v>
      </c>
      <c r="U63" s="301" t="e">
        <f t="shared" si="6"/>
        <v>#DIV/0!</v>
      </c>
      <c r="V63" s="301" t="e">
        <f t="shared" si="7"/>
        <v>#DIV/0!</v>
      </c>
      <c r="W63" s="301" t="e">
        <f t="shared" si="8"/>
        <v>#DIV/0!</v>
      </c>
      <c r="X63" s="304" t="s">
        <v>102</v>
      </c>
    </row>
    <row r="64" spans="1:24" ht="16.5">
      <c r="A64" s="254">
        <v>46083</v>
      </c>
      <c r="B64" s="290">
        <f t="shared" si="13"/>
        <v>0</v>
      </c>
      <c r="C64" s="379">
        <f t="shared" si="13"/>
        <v>0</v>
      </c>
      <c r="D64" s="475">
        <f t="shared" si="13"/>
        <v>0</v>
      </c>
      <c r="E64" s="372" t="e">
        <f t="shared" si="1"/>
        <v>#DIV/0!</v>
      </c>
      <c r="F64" s="354" t="e">
        <f t="shared" si="15"/>
        <v>#DIV/0!</v>
      </c>
      <c r="G64" s="355" t="e">
        <f t="shared" si="15"/>
        <v>#DIV/0!</v>
      </c>
      <c r="H64" s="355" t="e">
        <f t="shared" si="15"/>
        <v>#DIV/0!</v>
      </c>
      <c r="I64" s="355" t="e">
        <f t="shared" si="15"/>
        <v>#DIV/0!</v>
      </c>
      <c r="J64" s="355" t="e">
        <f t="shared" si="15"/>
        <v>#DIV/0!</v>
      </c>
      <c r="K64" s="355" t="e">
        <f t="shared" si="15"/>
        <v>#DIV/0!</v>
      </c>
      <c r="L64" s="355" t="e">
        <f t="shared" si="14"/>
        <v>#DIV/0!</v>
      </c>
      <c r="M64" s="355" t="e">
        <f t="shared" si="14"/>
        <v>#DIV/0!</v>
      </c>
      <c r="N64" s="355" t="e">
        <f t="shared" si="14"/>
        <v>#DIV/0!</v>
      </c>
      <c r="O64" s="355" t="e">
        <f t="shared" si="14"/>
        <v>#DIV/0!</v>
      </c>
      <c r="P64" s="355" t="e">
        <f t="shared" si="14"/>
        <v>#DIV/0!</v>
      </c>
      <c r="Q64" s="355" t="s">
        <v>102</v>
      </c>
      <c r="R64" s="301" t="e">
        <f t="shared" si="3"/>
        <v>#DIV/0!</v>
      </c>
      <c r="S64" s="301" t="e">
        <f t="shared" si="4"/>
        <v>#DIV/0!</v>
      </c>
      <c r="T64" s="301" t="e">
        <f t="shared" si="5"/>
        <v>#DIV/0!</v>
      </c>
      <c r="U64" s="301" t="e">
        <f t="shared" si="6"/>
        <v>#DIV/0!</v>
      </c>
      <c r="V64" s="301" t="e">
        <f t="shared" si="7"/>
        <v>#DIV/0!</v>
      </c>
      <c r="W64" s="301" t="e">
        <f t="shared" si="8"/>
        <v>#DIV/0!</v>
      </c>
      <c r="X64" s="304" t="s">
        <v>102</v>
      </c>
    </row>
    <row r="65" spans="1:24" ht="16.5">
      <c r="A65" s="312">
        <v>46084</v>
      </c>
      <c r="B65" s="290">
        <f t="shared" si="13"/>
        <v>0</v>
      </c>
      <c r="C65" s="379">
        <f t="shared" si="13"/>
        <v>0</v>
      </c>
      <c r="D65" s="475">
        <f t="shared" si="13"/>
        <v>0</v>
      </c>
      <c r="E65" s="372" t="e">
        <f t="shared" si="1"/>
        <v>#DIV/0!</v>
      </c>
      <c r="F65" s="354" t="e">
        <f t="shared" si="15"/>
        <v>#DIV/0!</v>
      </c>
      <c r="G65" s="355" t="e">
        <f t="shared" si="15"/>
        <v>#DIV/0!</v>
      </c>
      <c r="H65" s="355" t="e">
        <f t="shared" si="15"/>
        <v>#DIV/0!</v>
      </c>
      <c r="I65" s="355" t="e">
        <f t="shared" si="15"/>
        <v>#DIV/0!</v>
      </c>
      <c r="J65" s="355" t="e">
        <f t="shared" si="15"/>
        <v>#DIV/0!</v>
      </c>
      <c r="K65" s="355" t="e">
        <f t="shared" si="15"/>
        <v>#DIV/0!</v>
      </c>
      <c r="L65" s="355" t="e">
        <f t="shared" si="14"/>
        <v>#DIV/0!</v>
      </c>
      <c r="M65" s="355" t="e">
        <f t="shared" si="14"/>
        <v>#DIV/0!</v>
      </c>
      <c r="N65" s="355" t="e">
        <f t="shared" si="14"/>
        <v>#DIV/0!</v>
      </c>
      <c r="O65" s="355" t="e">
        <f t="shared" si="14"/>
        <v>#DIV/0!</v>
      </c>
      <c r="P65" s="355" t="e">
        <f t="shared" si="14"/>
        <v>#DIV/0!</v>
      </c>
      <c r="Q65" s="355" t="s">
        <v>102</v>
      </c>
      <c r="R65" s="301" t="e">
        <f t="shared" si="3"/>
        <v>#DIV/0!</v>
      </c>
      <c r="S65" s="301" t="e">
        <f t="shared" si="4"/>
        <v>#DIV/0!</v>
      </c>
      <c r="T65" s="301" t="e">
        <f t="shared" si="5"/>
        <v>#DIV/0!</v>
      </c>
      <c r="U65" s="301" t="e">
        <f t="shared" si="6"/>
        <v>#DIV/0!</v>
      </c>
      <c r="V65" s="301" t="e">
        <f t="shared" si="7"/>
        <v>#DIV/0!</v>
      </c>
      <c r="W65" s="301" t="e">
        <f t="shared" si="8"/>
        <v>#DIV/0!</v>
      </c>
      <c r="X65" s="304" t="s">
        <v>102</v>
      </c>
    </row>
    <row r="66" spans="1:24" ht="16.5">
      <c r="A66" s="312">
        <v>46085</v>
      </c>
      <c r="B66" s="290">
        <f t="shared" ref="B66:D97" si="16">AB66+BB66</f>
        <v>0</v>
      </c>
      <c r="C66" s="379">
        <f t="shared" si="16"/>
        <v>0</v>
      </c>
      <c r="D66" s="475">
        <f t="shared" si="16"/>
        <v>0</v>
      </c>
      <c r="E66" s="372" t="e">
        <f t="shared" ref="E66:E124" si="17">D66/B66</f>
        <v>#DIV/0!</v>
      </c>
      <c r="F66" s="354" t="e">
        <f t="shared" si="15"/>
        <v>#DIV/0!</v>
      </c>
      <c r="G66" s="355" t="e">
        <f t="shared" si="15"/>
        <v>#DIV/0!</v>
      </c>
      <c r="H66" s="355" t="e">
        <f t="shared" si="15"/>
        <v>#DIV/0!</v>
      </c>
      <c r="I66" s="355" t="e">
        <f t="shared" si="15"/>
        <v>#DIV/0!</v>
      </c>
      <c r="J66" s="355" t="e">
        <f t="shared" si="15"/>
        <v>#DIV/0!</v>
      </c>
      <c r="K66" s="355" t="e">
        <f t="shared" si="15"/>
        <v>#DIV/0!</v>
      </c>
      <c r="L66" s="355" t="e">
        <f t="shared" si="14"/>
        <v>#DIV/0!</v>
      </c>
      <c r="M66" s="355" t="e">
        <f t="shared" si="14"/>
        <v>#DIV/0!</v>
      </c>
      <c r="N66" s="355" t="e">
        <f t="shared" si="14"/>
        <v>#DIV/0!</v>
      </c>
      <c r="O66" s="355" t="e">
        <f t="shared" si="14"/>
        <v>#DIV/0!</v>
      </c>
      <c r="P66" s="355" t="e">
        <f t="shared" si="14"/>
        <v>#DIV/0!</v>
      </c>
      <c r="Q66" s="355" t="s">
        <v>102</v>
      </c>
      <c r="R66" s="301" t="e">
        <f t="shared" ref="R66:R118" si="18">H66/F66</f>
        <v>#DIV/0!</v>
      </c>
      <c r="S66" s="301" t="e">
        <f t="shared" ref="S66:S114" si="19">L66/F66</f>
        <v>#DIV/0!</v>
      </c>
      <c r="T66" s="301" t="e">
        <f t="shared" ref="T66:T107" si="20">M66/F66</f>
        <v>#DIV/0!</v>
      </c>
      <c r="U66" s="301" t="e">
        <f t="shared" ref="U66:U100" si="21">N66/F66</f>
        <v>#DIV/0!</v>
      </c>
      <c r="V66" s="301" t="e">
        <f t="shared" ref="V66:V91" si="22">O66/F66</f>
        <v>#DIV/0!</v>
      </c>
      <c r="W66" s="301" t="e">
        <f t="shared" ref="W66:W76" si="23">P66/F66</f>
        <v>#DIV/0!</v>
      </c>
      <c r="X66" s="304" t="s">
        <v>102</v>
      </c>
    </row>
    <row r="67" spans="1:24" ht="16.5">
      <c r="A67" s="312">
        <v>46086</v>
      </c>
      <c r="B67" s="290">
        <f t="shared" si="16"/>
        <v>0</v>
      </c>
      <c r="C67" s="379">
        <f t="shared" si="16"/>
        <v>0</v>
      </c>
      <c r="D67" s="475">
        <f t="shared" si="16"/>
        <v>0</v>
      </c>
      <c r="E67" s="372" t="e">
        <f t="shared" si="17"/>
        <v>#DIV/0!</v>
      </c>
      <c r="F67" s="354" t="e">
        <f t="shared" si="15"/>
        <v>#DIV/0!</v>
      </c>
      <c r="G67" s="355" t="e">
        <f t="shared" si="15"/>
        <v>#DIV/0!</v>
      </c>
      <c r="H67" s="355" t="e">
        <f t="shared" si="15"/>
        <v>#DIV/0!</v>
      </c>
      <c r="I67" s="355" t="e">
        <f t="shared" si="15"/>
        <v>#DIV/0!</v>
      </c>
      <c r="J67" s="355" t="e">
        <f t="shared" si="15"/>
        <v>#DIV/0!</v>
      </c>
      <c r="K67" s="355" t="e">
        <f t="shared" si="15"/>
        <v>#DIV/0!</v>
      </c>
      <c r="L67" s="355" t="e">
        <f t="shared" si="14"/>
        <v>#DIV/0!</v>
      </c>
      <c r="M67" s="355" t="e">
        <f t="shared" si="14"/>
        <v>#DIV/0!</v>
      </c>
      <c r="N67" s="355" t="e">
        <f t="shared" si="14"/>
        <v>#DIV/0!</v>
      </c>
      <c r="O67" s="355" t="e">
        <f t="shared" si="14"/>
        <v>#DIV/0!</v>
      </c>
      <c r="P67" s="355" t="e">
        <f t="shared" si="14"/>
        <v>#DIV/0!</v>
      </c>
      <c r="Q67" s="355" t="s">
        <v>102</v>
      </c>
      <c r="R67" s="301" t="e">
        <f t="shared" si="18"/>
        <v>#DIV/0!</v>
      </c>
      <c r="S67" s="301" t="e">
        <f t="shared" si="19"/>
        <v>#DIV/0!</v>
      </c>
      <c r="T67" s="301" t="e">
        <f t="shared" si="20"/>
        <v>#DIV/0!</v>
      </c>
      <c r="U67" s="301" t="e">
        <f t="shared" si="21"/>
        <v>#DIV/0!</v>
      </c>
      <c r="V67" s="301" t="e">
        <f t="shared" si="22"/>
        <v>#DIV/0!</v>
      </c>
      <c r="W67" s="301" t="e">
        <f t="shared" si="23"/>
        <v>#DIV/0!</v>
      </c>
      <c r="X67" s="304" t="s">
        <v>102</v>
      </c>
    </row>
    <row r="68" spans="1:24" ht="16.5">
      <c r="A68" s="271">
        <v>46087</v>
      </c>
      <c r="B68" s="290">
        <f t="shared" si="16"/>
        <v>0</v>
      </c>
      <c r="C68" s="379">
        <f t="shared" si="16"/>
        <v>0</v>
      </c>
      <c r="D68" s="475">
        <f t="shared" si="16"/>
        <v>0</v>
      </c>
      <c r="E68" s="372" t="e">
        <f t="shared" si="17"/>
        <v>#DIV/0!</v>
      </c>
      <c r="F68" s="354" t="e">
        <f t="shared" si="15"/>
        <v>#DIV/0!</v>
      </c>
      <c r="G68" s="355" t="e">
        <f t="shared" si="15"/>
        <v>#DIV/0!</v>
      </c>
      <c r="H68" s="355" t="e">
        <f t="shared" si="15"/>
        <v>#DIV/0!</v>
      </c>
      <c r="I68" s="355" t="e">
        <f t="shared" si="15"/>
        <v>#DIV/0!</v>
      </c>
      <c r="J68" s="355" t="e">
        <f t="shared" si="15"/>
        <v>#DIV/0!</v>
      </c>
      <c r="K68" s="355" t="e">
        <f t="shared" si="15"/>
        <v>#DIV/0!</v>
      </c>
      <c r="L68" s="355" t="e">
        <f t="shared" si="14"/>
        <v>#DIV/0!</v>
      </c>
      <c r="M68" s="355" t="e">
        <f t="shared" si="14"/>
        <v>#DIV/0!</v>
      </c>
      <c r="N68" s="355" t="e">
        <f t="shared" si="14"/>
        <v>#DIV/0!</v>
      </c>
      <c r="O68" s="355" t="e">
        <f t="shared" si="14"/>
        <v>#DIV/0!</v>
      </c>
      <c r="P68" s="355" t="e">
        <f t="shared" si="14"/>
        <v>#DIV/0!</v>
      </c>
      <c r="Q68" s="355" t="s">
        <v>102</v>
      </c>
      <c r="R68" s="301" t="e">
        <f t="shared" si="18"/>
        <v>#DIV/0!</v>
      </c>
      <c r="S68" s="301" t="e">
        <f t="shared" si="19"/>
        <v>#DIV/0!</v>
      </c>
      <c r="T68" s="301" t="e">
        <f t="shared" si="20"/>
        <v>#DIV/0!</v>
      </c>
      <c r="U68" s="301" t="e">
        <f t="shared" si="21"/>
        <v>#DIV/0!</v>
      </c>
      <c r="V68" s="301" t="e">
        <f t="shared" si="22"/>
        <v>#DIV/0!</v>
      </c>
      <c r="W68" s="301" t="e">
        <f t="shared" si="23"/>
        <v>#DIV/0!</v>
      </c>
      <c r="X68" s="304" t="s">
        <v>102</v>
      </c>
    </row>
    <row r="69" spans="1:24" ht="16.5">
      <c r="A69" s="271">
        <v>46088</v>
      </c>
      <c r="B69" s="290">
        <f t="shared" si="16"/>
        <v>0</v>
      </c>
      <c r="C69" s="379">
        <f t="shared" si="16"/>
        <v>0</v>
      </c>
      <c r="D69" s="475">
        <f t="shared" si="16"/>
        <v>0</v>
      </c>
      <c r="E69" s="372" t="e">
        <f t="shared" si="17"/>
        <v>#DIV/0!</v>
      </c>
      <c r="F69" s="354" t="e">
        <f t="shared" si="15"/>
        <v>#DIV/0!</v>
      </c>
      <c r="G69" s="355" t="e">
        <f t="shared" si="15"/>
        <v>#DIV/0!</v>
      </c>
      <c r="H69" s="355" t="e">
        <f t="shared" si="15"/>
        <v>#DIV/0!</v>
      </c>
      <c r="I69" s="355" t="e">
        <f t="shared" si="15"/>
        <v>#DIV/0!</v>
      </c>
      <c r="J69" s="355" t="e">
        <f t="shared" si="15"/>
        <v>#DIV/0!</v>
      </c>
      <c r="K69" s="355" t="e">
        <f t="shared" si="15"/>
        <v>#DIV/0!</v>
      </c>
      <c r="L69" s="355" t="e">
        <f t="shared" si="14"/>
        <v>#DIV/0!</v>
      </c>
      <c r="M69" s="355" t="e">
        <f t="shared" si="14"/>
        <v>#DIV/0!</v>
      </c>
      <c r="N69" s="355" t="e">
        <f t="shared" si="14"/>
        <v>#DIV/0!</v>
      </c>
      <c r="O69" s="355" t="e">
        <f t="shared" si="14"/>
        <v>#DIV/0!</v>
      </c>
      <c r="P69" s="355" t="e">
        <f t="shared" si="14"/>
        <v>#DIV/0!</v>
      </c>
      <c r="Q69" s="355" t="s">
        <v>102</v>
      </c>
      <c r="R69" s="301" t="e">
        <f t="shared" si="18"/>
        <v>#DIV/0!</v>
      </c>
      <c r="S69" s="301" t="e">
        <f t="shared" si="19"/>
        <v>#DIV/0!</v>
      </c>
      <c r="T69" s="301" t="e">
        <f t="shared" si="20"/>
        <v>#DIV/0!</v>
      </c>
      <c r="U69" s="301" t="e">
        <f t="shared" si="21"/>
        <v>#DIV/0!</v>
      </c>
      <c r="V69" s="301" t="e">
        <f t="shared" si="22"/>
        <v>#DIV/0!</v>
      </c>
      <c r="W69" s="301" t="e">
        <f t="shared" si="23"/>
        <v>#DIV/0!</v>
      </c>
      <c r="X69" s="304" t="s">
        <v>102</v>
      </c>
    </row>
    <row r="70" spans="1:24" ht="16.5">
      <c r="A70" s="254">
        <v>46089</v>
      </c>
      <c r="B70" s="290">
        <f t="shared" si="16"/>
        <v>0</v>
      </c>
      <c r="C70" s="379">
        <f t="shared" si="16"/>
        <v>0</v>
      </c>
      <c r="D70" s="475">
        <f t="shared" si="16"/>
        <v>0</v>
      </c>
      <c r="E70" s="372" t="e">
        <f t="shared" si="17"/>
        <v>#DIV/0!</v>
      </c>
      <c r="F70" s="354" t="e">
        <f t="shared" si="15"/>
        <v>#DIV/0!</v>
      </c>
      <c r="G70" s="355" t="e">
        <f t="shared" si="15"/>
        <v>#DIV/0!</v>
      </c>
      <c r="H70" s="355" t="e">
        <f t="shared" si="15"/>
        <v>#DIV/0!</v>
      </c>
      <c r="I70" s="355" t="e">
        <f t="shared" si="15"/>
        <v>#DIV/0!</v>
      </c>
      <c r="J70" s="355" t="e">
        <f t="shared" si="15"/>
        <v>#DIV/0!</v>
      </c>
      <c r="K70" s="355" t="e">
        <f t="shared" si="15"/>
        <v>#DIV/0!</v>
      </c>
      <c r="L70" s="355" t="e">
        <f t="shared" si="14"/>
        <v>#DIV/0!</v>
      </c>
      <c r="M70" s="355" t="e">
        <f t="shared" si="14"/>
        <v>#DIV/0!</v>
      </c>
      <c r="N70" s="355" t="e">
        <f t="shared" si="14"/>
        <v>#DIV/0!</v>
      </c>
      <c r="O70" s="355" t="e">
        <f t="shared" si="14"/>
        <v>#DIV/0!</v>
      </c>
      <c r="P70" s="355" t="e">
        <f t="shared" si="14"/>
        <v>#DIV/0!</v>
      </c>
      <c r="Q70" s="355" t="s">
        <v>102</v>
      </c>
      <c r="R70" s="301" t="e">
        <f t="shared" si="18"/>
        <v>#DIV/0!</v>
      </c>
      <c r="S70" s="301" t="e">
        <f t="shared" si="19"/>
        <v>#DIV/0!</v>
      </c>
      <c r="T70" s="301" t="e">
        <f t="shared" si="20"/>
        <v>#DIV/0!</v>
      </c>
      <c r="U70" s="301" t="e">
        <f t="shared" si="21"/>
        <v>#DIV/0!</v>
      </c>
      <c r="V70" s="301" t="e">
        <f t="shared" si="22"/>
        <v>#DIV/0!</v>
      </c>
      <c r="W70" s="301" t="e">
        <f t="shared" si="23"/>
        <v>#DIV/0!</v>
      </c>
      <c r="X70" s="304" t="s">
        <v>102</v>
      </c>
    </row>
    <row r="71" spans="1:24" ht="16.5">
      <c r="A71" s="254">
        <v>46090</v>
      </c>
      <c r="B71" s="290">
        <f t="shared" si="16"/>
        <v>0</v>
      </c>
      <c r="C71" s="379">
        <f t="shared" si="16"/>
        <v>0</v>
      </c>
      <c r="D71" s="475">
        <f t="shared" si="16"/>
        <v>0</v>
      </c>
      <c r="E71" s="372" t="e">
        <f t="shared" si="17"/>
        <v>#DIV/0!</v>
      </c>
      <c r="F71" s="354" t="e">
        <f t="shared" si="15"/>
        <v>#DIV/0!</v>
      </c>
      <c r="G71" s="355" t="e">
        <f t="shared" si="15"/>
        <v>#DIV/0!</v>
      </c>
      <c r="H71" s="355" t="e">
        <f t="shared" si="15"/>
        <v>#DIV/0!</v>
      </c>
      <c r="I71" s="355" t="e">
        <f t="shared" si="15"/>
        <v>#DIV/0!</v>
      </c>
      <c r="J71" s="355" t="e">
        <f t="shared" si="15"/>
        <v>#DIV/0!</v>
      </c>
      <c r="K71" s="355" t="e">
        <f t="shared" si="15"/>
        <v>#DIV/0!</v>
      </c>
      <c r="L71" s="355" t="e">
        <f t="shared" si="14"/>
        <v>#DIV/0!</v>
      </c>
      <c r="M71" s="355" t="e">
        <f t="shared" si="14"/>
        <v>#DIV/0!</v>
      </c>
      <c r="N71" s="355" t="e">
        <f t="shared" si="14"/>
        <v>#DIV/0!</v>
      </c>
      <c r="O71" s="355" t="e">
        <f t="shared" si="14"/>
        <v>#DIV/0!</v>
      </c>
      <c r="P71" s="355" t="e">
        <f t="shared" si="14"/>
        <v>#DIV/0!</v>
      </c>
      <c r="Q71" s="355" t="s">
        <v>102</v>
      </c>
      <c r="R71" s="301" t="e">
        <f t="shared" si="18"/>
        <v>#DIV/0!</v>
      </c>
      <c r="S71" s="301" t="e">
        <f t="shared" si="19"/>
        <v>#DIV/0!</v>
      </c>
      <c r="T71" s="301" t="e">
        <f t="shared" si="20"/>
        <v>#DIV/0!</v>
      </c>
      <c r="U71" s="301" t="e">
        <f t="shared" si="21"/>
        <v>#DIV/0!</v>
      </c>
      <c r="V71" s="301" t="e">
        <f t="shared" si="22"/>
        <v>#DIV/0!</v>
      </c>
      <c r="W71" s="301" t="e">
        <f t="shared" si="23"/>
        <v>#DIV/0!</v>
      </c>
      <c r="X71" s="304" t="s">
        <v>102</v>
      </c>
    </row>
    <row r="72" spans="1:24" ht="16.5">
      <c r="A72" s="271">
        <v>46091</v>
      </c>
      <c r="B72" s="290">
        <f t="shared" si="16"/>
        <v>0</v>
      </c>
      <c r="C72" s="379">
        <f t="shared" si="16"/>
        <v>0</v>
      </c>
      <c r="D72" s="475">
        <f t="shared" si="16"/>
        <v>0</v>
      </c>
      <c r="E72" s="372" t="e">
        <f t="shared" si="17"/>
        <v>#DIV/0!</v>
      </c>
      <c r="F72" s="354" t="e">
        <f t="shared" si="15"/>
        <v>#DIV/0!</v>
      </c>
      <c r="G72" s="355" t="e">
        <f t="shared" si="15"/>
        <v>#DIV/0!</v>
      </c>
      <c r="H72" s="355" t="e">
        <f t="shared" si="15"/>
        <v>#DIV/0!</v>
      </c>
      <c r="I72" s="355" t="e">
        <f t="shared" si="15"/>
        <v>#DIV/0!</v>
      </c>
      <c r="J72" s="355" t="e">
        <f t="shared" si="15"/>
        <v>#DIV/0!</v>
      </c>
      <c r="K72" s="355" t="e">
        <f t="shared" si="15"/>
        <v>#DIV/0!</v>
      </c>
      <c r="L72" s="355" t="e">
        <f t="shared" si="14"/>
        <v>#DIV/0!</v>
      </c>
      <c r="M72" s="355" t="e">
        <f t="shared" si="14"/>
        <v>#DIV/0!</v>
      </c>
      <c r="N72" s="355" t="e">
        <f t="shared" si="14"/>
        <v>#DIV/0!</v>
      </c>
      <c r="O72" s="355" t="e">
        <f t="shared" si="14"/>
        <v>#DIV/0!</v>
      </c>
      <c r="P72" s="355" t="e">
        <f t="shared" si="14"/>
        <v>#DIV/0!</v>
      </c>
      <c r="Q72" s="355" t="s">
        <v>102</v>
      </c>
      <c r="R72" s="301" t="e">
        <f t="shared" si="18"/>
        <v>#DIV/0!</v>
      </c>
      <c r="S72" s="301" t="e">
        <f t="shared" si="19"/>
        <v>#DIV/0!</v>
      </c>
      <c r="T72" s="301" t="e">
        <f t="shared" si="20"/>
        <v>#DIV/0!</v>
      </c>
      <c r="U72" s="301" t="e">
        <f t="shared" si="21"/>
        <v>#DIV/0!</v>
      </c>
      <c r="V72" s="301" t="e">
        <f t="shared" si="22"/>
        <v>#DIV/0!</v>
      </c>
      <c r="W72" s="301" t="e">
        <f t="shared" si="23"/>
        <v>#DIV/0!</v>
      </c>
      <c r="X72" s="304" t="s">
        <v>102</v>
      </c>
    </row>
    <row r="73" spans="1:24" ht="16.5">
      <c r="A73" s="271">
        <v>46092</v>
      </c>
      <c r="B73" s="290">
        <f t="shared" si="16"/>
        <v>0</v>
      </c>
      <c r="C73" s="379">
        <f t="shared" si="16"/>
        <v>0</v>
      </c>
      <c r="D73" s="475">
        <f t="shared" si="16"/>
        <v>0</v>
      </c>
      <c r="E73" s="372" t="e">
        <f t="shared" si="17"/>
        <v>#DIV/0!</v>
      </c>
      <c r="F73" s="354" t="e">
        <f t="shared" si="15"/>
        <v>#DIV/0!</v>
      </c>
      <c r="G73" s="355" t="e">
        <f t="shared" si="15"/>
        <v>#DIV/0!</v>
      </c>
      <c r="H73" s="355" t="e">
        <f t="shared" si="15"/>
        <v>#DIV/0!</v>
      </c>
      <c r="I73" s="355" t="e">
        <f t="shared" si="15"/>
        <v>#DIV/0!</v>
      </c>
      <c r="J73" s="355" t="e">
        <f t="shared" si="15"/>
        <v>#DIV/0!</v>
      </c>
      <c r="K73" s="355" t="e">
        <f t="shared" si="15"/>
        <v>#DIV/0!</v>
      </c>
      <c r="L73" s="355" t="e">
        <f t="shared" si="14"/>
        <v>#DIV/0!</v>
      </c>
      <c r="M73" s="355" t="e">
        <f t="shared" si="14"/>
        <v>#DIV/0!</v>
      </c>
      <c r="N73" s="355" t="e">
        <f t="shared" si="14"/>
        <v>#DIV/0!</v>
      </c>
      <c r="O73" s="355" t="e">
        <f t="shared" si="14"/>
        <v>#DIV/0!</v>
      </c>
      <c r="P73" s="355" t="e">
        <f t="shared" si="14"/>
        <v>#DIV/0!</v>
      </c>
      <c r="Q73" s="355" t="s">
        <v>102</v>
      </c>
      <c r="R73" s="301" t="e">
        <f t="shared" si="18"/>
        <v>#DIV/0!</v>
      </c>
      <c r="S73" s="301" t="e">
        <f t="shared" si="19"/>
        <v>#DIV/0!</v>
      </c>
      <c r="T73" s="301" t="e">
        <f t="shared" si="20"/>
        <v>#DIV/0!</v>
      </c>
      <c r="U73" s="301" t="e">
        <f t="shared" si="21"/>
        <v>#DIV/0!</v>
      </c>
      <c r="V73" s="301" t="e">
        <f t="shared" si="22"/>
        <v>#DIV/0!</v>
      </c>
      <c r="W73" s="301" t="e">
        <f t="shared" si="23"/>
        <v>#DIV/0!</v>
      </c>
      <c r="X73" s="304" t="s">
        <v>102</v>
      </c>
    </row>
    <row r="74" spans="1:24" ht="16.5">
      <c r="A74" s="271">
        <v>46093</v>
      </c>
      <c r="B74" s="290">
        <f t="shared" si="16"/>
        <v>0</v>
      </c>
      <c r="C74" s="379">
        <f t="shared" si="16"/>
        <v>0</v>
      </c>
      <c r="D74" s="475">
        <f t="shared" si="16"/>
        <v>0</v>
      </c>
      <c r="E74" s="372" t="e">
        <f t="shared" si="17"/>
        <v>#DIV/0!</v>
      </c>
      <c r="F74" s="354" t="e">
        <f t="shared" si="15"/>
        <v>#DIV/0!</v>
      </c>
      <c r="G74" s="355" t="e">
        <f t="shared" si="15"/>
        <v>#DIV/0!</v>
      </c>
      <c r="H74" s="355" t="e">
        <f t="shared" si="15"/>
        <v>#DIV/0!</v>
      </c>
      <c r="I74" s="355" t="e">
        <f t="shared" si="15"/>
        <v>#DIV/0!</v>
      </c>
      <c r="J74" s="355" t="e">
        <f t="shared" si="15"/>
        <v>#DIV/0!</v>
      </c>
      <c r="K74" s="355" t="e">
        <f t="shared" si="15"/>
        <v>#DIV/0!</v>
      </c>
      <c r="L74" s="355" t="e">
        <f t="shared" si="14"/>
        <v>#DIV/0!</v>
      </c>
      <c r="M74" s="355" t="e">
        <f t="shared" si="14"/>
        <v>#DIV/0!</v>
      </c>
      <c r="N74" s="355" t="e">
        <f t="shared" si="14"/>
        <v>#DIV/0!</v>
      </c>
      <c r="O74" s="355" t="e">
        <f t="shared" si="14"/>
        <v>#DIV/0!</v>
      </c>
      <c r="P74" s="355" t="e">
        <f t="shared" si="14"/>
        <v>#DIV/0!</v>
      </c>
      <c r="Q74" s="355" t="s">
        <v>102</v>
      </c>
      <c r="R74" s="301" t="e">
        <f t="shared" si="18"/>
        <v>#DIV/0!</v>
      </c>
      <c r="S74" s="301" t="e">
        <f t="shared" si="19"/>
        <v>#DIV/0!</v>
      </c>
      <c r="T74" s="301" t="e">
        <f t="shared" si="20"/>
        <v>#DIV/0!</v>
      </c>
      <c r="U74" s="301" t="e">
        <f t="shared" si="21"/>
        <v>#DIV/0!</v>
      </c>
      <c r="V74" s="301" t="e">
        <f t="shared" si="22"/>
        <v>#DIV/0!</v>
      </c>
      <c r="W74" s="301" t="e">
        <f t="shared" si="23"/>
        <v>#DIV/0!</v>
      </c>
      <c r="X74" s="304" t="s">
        <v>102</v>
      </c>
    </row>
    <row r="75" spans="1:24" ht="16.5">
      <c r="A75" s="271">
        <v>46094</v>
      </c>
      <c r="B75" s="290">
        <f t="shared" si="16"/>
        <v>0</v>
      </c>
      <c r="C75" s="379">
        <f t="shared" si="16"/>
        <v>0</v>
      </c>
      <c r="D75" s="475">
        <f t="shared" si="16"/>
        <v>0</v>
      </c>
      <c r="E75" s="372" t="e">
        <f t="shared" si="17"/>
        <v>#DIV/0!</v>
      </c>
      <c r="F75" s="354" t="e">
        <f t="shared" si="15"/>
        <v>#DIV/0!</v>
      </c>
      <c r="G75" s="355" t="e">
        <f t="shared" si="15"/>
        <v>#DIV/0!</v>
      </c>
      <c r="H75" s="355" t="e">
        <f t="shared" si="15"/>
        <v>#DIV/0!</v>
      </c>
      <c r="I75" s="355" t="e">
        <f t="shared" si="15"/>
        <v>#DIV/0!</v>
      </c>
      <c r="J75" s="355" t="e">
        <f t="shared" si="15"/>
        <v>#DIV/0!</v>
      </c>
      <c r="K75" s="355" t="e">
        <f t="shared" si="15"/>
        <v>#DIV/0!</v>
      </c>
      <c r="L75" s="355" t="e">
        <f t="shared" si="14"/>
        <v>#DIV/0!</v>
      </c>
      <c r="M75" s="355" t="e">
        <f t="shared" si="14"/>
        <v>#DIV/0!</v>
      </c>
      <c r="N75" s="355" t="e">
        <f t="shared" si="14"/>
        <v>#DIV/0!</v>
      </c>
      <c r="O75" s="355" t="e">
        <f t="shared" si="14"/>
        <v>#DIV/0!</v>
      </c>
      <c r="P75" s="355" t="e">
        <f t="shared" si="14"/>
        <v>#DIV/0!</v>
      </c>
      <c r="Q75" s="355" t="s">
        <v>102</v>
      </c>
      <c r="R75" s="301" t="e">
        <f t="shared" si="18"/>
        <v>#DIV/0!</v>
      </c>
      <c r="S75" s="301" t="e">
        <f t="shared" si="19"/>
        <v>#DIV/0!</v>
      </c>
      <c r="T75" s="301" t="e">
        <f t="shared" si="20"/>
        <v>#DIV/0!</v>
      </c>
      <c r="U75" s="301" t="e">
        <f t="shared" si="21"/>
        <v>#DIV/0!</v>
      </c>
      <c r="V75" s="301" t="e">
        <f t="shared" si="22"/>
        <v>#DIV/0!</v>
      </c>
      <c r="W75" s="301" t="e">
        <f t="shared" si="23"/>
        <v>#DIV/0!</v>
      </c>
      <c r="X75" s="304" t="s">
        <v>102</v>
      </c>
    </row>
    <row r="76" spans="1:24" ht="16.5">
      <c r="A76" s="271">
        <v>46095</v>
      </c>
      <c r="B76" s="290">
        <f t="shared" si="16"/>
        <v>0</v>
      </c>
      <c r="C76" s="379">
        <f t="shared" si="16"/>
        <v>0</v>
      </c>
      <c r="D76" s="475">
        <f t="shared" si="16"/>
        <v>0</v>
      </c>
      <c r="E76" s="372" t="e">
        <f t="shared" si="17"/>
        <v>#DIV/0!</v>
      </c>
      <c r="F76" s="354" t="e">
        <f t="shared" si="15"/>
        <v>#DIV/0!</v>
      </c>
      <c r="G76" s="355" t="e">
        <f t="shared" si="15"/>
        <v>#DIV/0!</v>
      </c>
      <c r="H76" s="355" t="e">
        <f t="shared" si="15"/>
        <v>#DIV/0!</v>
      </c>
      <c r="I76" s="355" t="e">
        <f t="shared" si="15"/>
        <v>#DIV/0!</v>
      </c>
      <c r="J76" s="355" t="e">
        <f t="shared" si="15"/>
        <v>#DIV/0!</v>
      </c>
      <c r="K76" s="355" t="e">
        <f t="shared" si="15"/>
        <v>#DIV/0!</v>
      </c>
      <c r="L76" s="355" t="e">
        <f t="shared" si="14"/>
        <v>#DIV/0!</v>
      </c>
      <c r="M76" s="355" t="e">
        <f t="shared" si="14"/>
        <v>#DIV/0!</v>
      </c>
      <c r="N76" s="355" t="e">
        <f t="shared" si="14"/>
        <v>#DIV/0!</v>
      </c>
      <c r="O76" s="355" t="e">
        <f t="shared" si="14"/>
        <v>#DIV/0!</v>
      </c>
      <c r="P76" s="355" t="e">
        <f t="shared" si="14"/>
        <v>#DIV/0!</v>
      </c>
      <c r="Q76" s="355" t="s">
        <v>102</v>
      </c>
      <c r="R76" s="301" t="e">
        <f t="shared" si="18"/>
        <v>#DIV/0!</v>
      </c>
      <c r="S76" s="301" t="e">
        <f t="shared" si="19"/>
        <v>#DIV/0!</v>
      </c>
      <c r="T76" s="301" t="e">
        <f t="shared" si="20"/>
        <v>#DIV/0!</v>
      </c>
      <c r="U76" s="301" t="e">
        <f t="shared" si="21"/>
        <v>#DIV/0!</v>
      </c>
      <c r="V76" s="301" t="e">
        <f t="shared" si="22"/>
        <v>#DIV/0!</v>
      </c>
      <c r="W76" s="301" t="e">
        <f t="shared" si="23"/>
        <v>#DIV/0!</v>
      </c>
      <c r="X76" s="304" t="s">
        <v>102</v>
      </c>
    </row>
    <row r="77" spans="1:24" ht="16.5">
      <c r="A77" s="271">
        <v>46096</v>
      </c>
      <c r="B77" s="290">
        <f t="shared" si="16"/>
        <v>0</v>
      </c>
      <c r="C77" s="379">
        <f t="shared" si="16"/>
        <v>0</v>
      </c>
      <c r="D77" s="475">
        <f t="shared" si="16"/>
        <v>0</v>
      </c>
      <c r="E77" s="372" t="e">
        <f t="shared" si="17"/>
        <v>#DIV/0!</v>
      </c>
      <c r="F77" s="354" t="e">
        <f t="shared" si="15"/>
        <v>#DIV/0!</v>
      </c>
      <c r="G77" s="355" t="e">
        <f t="shared" si="15"/>
        <v>#DIV/0!</v>
      </c>
      <c r="H77" s="355" t="e">
        <f t="shared" si="15"/>
        <v>#DIV/0!</v>
      </c>
      <c r="I77" s="355" t="e">
        <f t="shared" si="15"/>
        <v>#DIV/0!</v>
      </c>
      <c r="J77" s="355" t="e">
        <f t="shared" si="15"/>
        <v>#DIV/0!</v>
      </c>
      <c r="K77" s="355" t="e">
        <f t="shared" si="15"/>
        <v>#DIV/0!</v>
      </c>
      <c r="L77" s="355" t="e">
        <f t="shared" si="14"/>
        <v>#DIV/0!</v>
      </c>
      <c r="M77" s="355" t="e">
        <f t="shared" si="14"/>
        <v>#DIV/0!</v>
      </c>
      <c r="N77" s="355" t="e">
        <f t="shared" si="14"/>
        <v>#DIV/0!</v>
      </c>
      <c r="O77" s="355" t="e">
        <f t="shared" si="14"/>
        <v>#DIV/0!</v>
      </c>
      <c r="P77" s="355" t="s">
        <v>102</v>
      </c>
      <c r="Q77" s="355" t="s">
        <v>102</v>
      </c>
      <c r="R77" s="301" t="e">
        <f t="shared" si="18"/>
        <v>#DIV/0!</v>
      </c>
      <c r="S77" s="301" t="e">
        <f t="shared" si="19"/>
        <v>#DIV/0!</v>
      </c>
      <c r="T77" s="301" t="e">
        <f t="shared" si="20"/>
        <v>#DIV/0!</v>
      </c>
      <c r="U77" s="301" t="e">
        <f t="shared" si="21"/>
        <v>#DIV/0!</v>
      </c>
      <c r="V77" s="301" t="e">
        <f t="shared" si="22"/>
        <v>#DIV/0!</v>
      </c>
      <c r="W77" s="301" t="s">
        <v>102</v>
      </c>
      <c r="X77" s="304" t="s">
        <v>102</v>
      </c>
    </row>
    <row r="78" spans="1:24" ht="16.5">
      <c r="A78" s="271">
        <v>46097</v>
      </c>
      <c r="B78" s="290">
        <f t="shared" si="16"/>
        <v>0</v>
      </c>
      <c r="C78" s="379">
        <f t="shared" si="16"/>
        <v>0</v>
      </c>
      <c r="D78" s="475">
        <f t="shared" si="16"/>
        <v>0</v>
      </c>
      <c r="E78" s="372" t="e">
        <f t="shared" si="17"/>
        <v>#DIV/0!</v>
      </c>
      <c r="F78" s="354" t="e">
        <f t="shared" si="15"/>
        <v>#DIV/0!</v>
      </c>
      <c r="G78" s="355" t="e">
        <f t="shared" si="15"/>
        <v>#DIV/0!</v>
      </c>
      <c r="H78" s="355" t="e">
        <f t="shared" si="15"/>
        <v>#DIV/0!</v>
      </c>
      <c r="I78" s="355" t="e">
        <f t="shared" si="15"/>
        <v>#DIV/0!</v>
      </c>
      <c r="J78" s="355" t="e">
        <f t="shared" si="15"/>
        <v>#DIV/0!</v>
      </c>
      <c r="K78" s="355" t="e">
        <f t="shared" si="15"/>
        <v>#DIV/0!</v>
      </c>
      <c r="L78" s="355" t="e">
        <f t="shared" si="14"/>
        <v>#DIV/0!</v>
      </c>
      <c r="M78" s="355" t="e">
        <f t="shared" si="14"/>
        <v>#DIV/0!</v>
      </c>
      <c r="N78" s="355" t="e">
        <f t="shared" si="14"/>
        <v>#DIV/0!</v>
      </c>
      <c r="O78" s="355" t="e">
        <f t="shared" si="14"/>
        <v>#DIV/0!</v>
      </c>
      <c r="P78" s="355" t="s">
        <v>102</v>
      </c>
      <c r="Q78" s="355" t="s">
        <v>102</v>
      </c>
      <c r="R78" s="301" t="e">
        <f t="shared" si="18"/>
        <v>#DIV/0!</v>
      </c>
      <c r="S78" s="301" t="e">
        <f t="shared" si="19"/>
        <v>#DIV/0!</v>
      </c>
      <c r="T78" s="301" t="e">
        <f t="shared" si="20"/>
        <v>#DIV/0!</v>
      </c>
      <c r="U78" s="301" t="e">
        <f t="shared" si="21"/>
        <v>#DIV/0!</v>
      </c>
      <c r="V78" s="301" t="e">
        <f t="shared" si="22"/>
        <v>#DIV/0!</v>
      </c>
      <c r="W78" s="301" t="s">
        <v>102</v>
      </c>
      <c r="X78" s="304" t="s">
        <v>102</v>
      </c>
    </row>
    <row r="79" spans="1:24" ht="16.5">
      <c r="A79" s="271">
        <v>46098</v>
      </c>
      <c r="B79" s="290">
        <f t="shared" si="16"/>
        <v>0</v>
      </c>
      <c r="C79" s="379">
        <f t="shared" si="16"/>
        <v>0</v>
      </c>
      <c r="D79" s="475">
        <f t="shared" si="16"/>
        <v>0</v>
      </c>
      <c r="E79" s="372" t="e">
        <f t="shared" si="17"/>
        <v>#DIV/0!</v>
      </c>
      <c r="F79" s="354" t="e">
        <f t="shared" si="15"/>
        <v>#DIV/0!</v>
      </c>
      <c r="G79" s="355" t="e">
        <f t="shared" si="15"/>
        <v>#DIV/0!</v>
      </c>
      <c r="H79" s="355" t="e">
        <f t="shared" si="15"/>
        <v>#DIV/0!</v>
      </c>
      <c r="I79" s="355" t="e">
        <f t="shared" si="15"/>
        <v>#DIV/0!</v>
      </c>
      <c r="J79" s="355" t="e">
        <f t="shared" si="15"/>
        <v>#DIV/0!</v>
      </c>
      <c r="K79" s="355" t="e">
        <f t="shared" si="15"/>
        <v>#DIV/0!</v>
      </c>
      <c r="L79" s="355" t="e">
        <f t="shared" si="15"/>
        <v>#DIV/0!</v>
      </c>
      <c r="M79" s="355" t="e">
        <f t="shared" si="15"/>
        <v>#DIV/0!</v>
      </c>
      <c r="N79" s="355" t="e">
        <f t="shared" si="15"/>
        <v>#DIV/0!</v>
      </c>
      <c r="O79" s="355" t="e">
        <f t="shared" si="15"/>
        <v>#DIV/0!</v>
      </c>
      <c r="P79" s="355" t="s">
        <v>102</v>
      </c>
      <c r="Q79" s="355" t="s">
        <v>102</v>
      </c>
      <c r="R79" s="301" t="e">
        <f t="shared" si="18"/>
        <v>#DIV/0!</v>
      </c>
      <c r="S79" s="301" t="e">
        <f t="shared" si="19"/>
        <v>#DIV/0!</v>
      </c>
      <c r="T79" s="301" t="e">
        <f t="shared" si="20"/>
        <v>#DIV/0!</v>
      </c>
      <c r="U79" s="301" t="e">
        <f t="shared" si="21"/>
        <v>#DIV/0!</v>
      </c>
      <c r="V79" s="301" t="e">
        <f t="shared" si="22"/>
        <v>#DIV/0!</v>
      </c>
      <c r="W79" s="301" t="s">
        <v>102</v>
      </c>
      <c r="X79" s="304" t="s">
        <v>102</v>
      </c>
    </row>
    <row r="80" spans="1:24" ht="17.25" thickBot="1">
      <c r="A80" s="271">
        <v>46099</v>
      </c>
      <c r="B80" s="290">
        <f t="shared" si="16"/>
        <v>0</v>
      </c>
      <c r="C80" s="379">
        <f t="shared" si="16"/>
        <v>0</v>
      </c>
      <c r="D80" s="475">
        <f t="shared" si="16"/>
        <v>0</v>
      </c>
      <c r="E80" s="372" t="e">
        <f t="shared" si="17"/>
        <v>#DIV/0!</v>
      </c>
      <c r="F80" s="323" t="e">
        <f t="shared" si="15"/>
        <v>#DIV/0!</v>
      </c>
      <c r="G80" s="324" t="e">
        <f t="shared" si="15"/>
        <v>#DIV/0!</v>
      </c>
      <c r="H80" s="324" t="e">
        <f t="shared" si="15"/>
        <v>#DIV/0!</v>
      </c>
      <c r="I80" s="324" t="e">
        <f t="shared" si="15"/>
        <v>#DIV/0!</v>
      </c>
      <c r="J80" s="324" t="e">
        <f t="shared" si="15"/>
        <v>#DIV/0!</v>
      </c>
      <c r="K80" s="324" t="e">
        <f t="shared" si="15"/>
        <v>#DIV/0!</v>
      </c>
      <c r="L80" s="324" t="e">
        <f t="shared" si="15"/>
        <v>#DIV/0!</v>
      </c>
      <c r="M80" s="324" t="e">
        <f t="shared" si="15"/>
        <v>#DIV/0!</v>
      </c>
      <c r="N80" s="324" t="e">
        <f t="shared" si="15"/>
        <v>#DIV/0!</v>
      </c>
      <c r="O80" s="324" t="e">
        <f t="shared" si="15"/>
        <v>#DIV/0!</v>
      </c>
      <c r="P80" s="324" t="s">
        <v>102</v>
      </c>
      <c r="Q80" s="324" t="s">
        <v>102</v>
      </c>
      <c r="R80" s="307" t="e">
        <f t="shared" si="18"/>
        <v>#DIV/0!</v>
      </c>
      <c r="S80" s="307" t="e">
        <f t="shared" si="19"/>
        <v>#DIV/0!</v>
      </c>
      <c r="T80" s="307" t="e">
        <f t="shared" si="20"/>
        <v>#DIV/0!</v>
      </c>
      <c r="U80" s="307" t="e">
        <f t="shared" si="21"/>
        <v>#DIV/0!</v>
      </c>
      <c r="V80" s="307" t="e">
        <f t="shared" si="22"/>
        <v>#DIV/0!</v>
      </c>
      <c r="W80" s="307" t="s">
        <v>102</v>
      </c>
      <c r="X80" s="309" t="s">
        <v>102</v>
      </c>
    </row>
    <row r="81" spans="1:24" ht="16.5">
      <c r="A81" s="111">
        <v>46100</v>
      </c>
      <c r="B81" s="278">
        <f t="shared" si="16"/>
        <v>0</v>
      </c>
      <c r="C81" s="465">
        <f t="shared" si="16"/>
        <v>0</v>
      </c>
      <c r="D81" s="470">
        <f t="shared" si="16"/>
        <v>0</v>
      </c>
      <c r="E81" s="282" t="e">
        <f t="shared" si="17"/>
        <v>#DIV/0!</v>
      </c>
      <c r="F81" s="354" t="e">
        <f t="shared" si="15"/>
        <v>#DIV/0!</v>
      </c>
      <c r="G81" s="355" t="e">
        <f t="shared" si="15"/>
        <v>#DIV/0!</v>
      </c>
      <c r="H81" s="355" t="e">
        <f t="shared" si="15"/>
        <v>#DIV/0!</v>
      </c>
      <c r="I81" s="355" t="e">
        <f t="shared" si="15"/>
        <v>#DIV/0!</v>
      </c>
      <c r="J81" s="355" t="e">
        <f t="shared" si="15"/>
        <v>#DIV/0!</v>
      </c>
      <c r="K81" s="355" t="e">
        <f t="shared" si="15"/>
        <v>#DIV/0!</v>
      </c>
      <c r="L81" s="355" t="e">
        <f t="shared" si="15"/>
        <v>#DIV/0!</v>
      </c>
      <c r="M81" s="355" t="e">
        <f t="shared" si="15"/>
        <v>#DIV/0!</v>
      </c>
      <c r="N81" s="355" t="e">
        <f t="shared" si="15"/>
        <v>#DIV/0!</v>
      </c>
      <c r="O81" s="355" t="e">
        <f t="shared" si="15"/>
        <v>#DIV/0!</v>
      </c>
      <c r="P81" s="355" t="s">
        <v>102</v>
      </c>
      <c r="Q81" s="355" t="s">
        <v>102</v>
      </c>
      <c r="R81" s="301" t="e">
        <f t="shared" si="18"/>
        <v>#DIV/0!</v>
      </c>
      <c r="S81" s="301" t="e">
        <f t="shared" si="19"/>
        <v>#DIV/0!</v>
      </c>
      <c r="T81" s="301" t="e">
        <f t="shared" si="20"/>
        <v>#DIV/0!</v>
      </c>
      <c r="U81" s="301" t="e">
        <f t="shared" si="21"/>
        <v>#DIV/0!</v>
      </c>
      <c r="V81" s="301" t="e">
        <f t="shared" si="22"/>
        <v>#DIV/0!</v>
      </c>
      <c r="W81" s="301" t="s">
        <v>102</v>
      </c>
      <c r="X81" s="304" t="s">
        <v>102</v>
      </c>
    </row>
    <row r="82" spans="1:24" ht="16.5">
      <c r="A82" s="325">
        <v>46101</v>
      </c>
      <c r="B82" s="290">
        <f t="shared" si="16"/>
        <v>0</v>
      </c>
      <c r="C82" s="379">
        <f t="shared" si="16"/>
        <v>0</v>
      </c>
      <c r="D82" s="475">
        <f t="shared" si="16"/>
        <v>0</v>
      </c>
      <c r="E82" s="372" t="e">
        <f t="shared" si="17"/>
        <v>#DIV/0!</v>
      </c>
      <c r="F82" s="354" t="e">
        <f t="shared" si="15"/>
        <v>#DIV/0!</v>
      </c>
      <c r="G82" s="355" t="e">
        <f t="shared" si="15"/>
        <v>#DIV/0!</v>
      </c>
      <c r="H82" s="355" t="e">
        <f t="shared" si="15"/>
        <v>#DIV/0!</v>
      </c>
      <c r="I82" s="355" t="e">
        <f t="shared" si="15"/>
        <v>#DIV/0!</v>
      </c>
      <c r="J82" s="355" t="e">
        <f t="shared" si="15"/>
        <v>#DIV/0!</v>
      </c>
      <c r="K82" s="355" t="e">
        <f t="shared" si="15"/>
        <v>#DIV/0!</v>
      </c>
      <c r="L82" s="355" t="e">
        <f t="shared" si="15"/>
        <v>#DIV/0!</v>
      </c>
      <c r="M82" s="355" t="e">
        <f t="shared" si="15"/>
        <v>#DIV/0!</v>
      </c>
      <c r="N82" s="355" t="e">
        <f t="shared" si="15"/>
        <v>#DIV/0!</v>
      </c>
      <c r="O82" s="355" t="e">
        <f t="shared" si="15"/>
        <v>#DIV/0!</v>
      </c>
      <c r="P82" s="355" t="s">
        <v>102</v>
      </c>
      <c r="Q82" s="355" t="s">
        <v>102</v>
      </c>
      <c r="R82" s="301" t="e">
        <f t="shared" si="18"/>
        <v>#DIV/0!</v>
      </c>
      <c r="S82" s="301" t="e">
        <f t="shared" si="19"/>
        <v>#DIV/0!</v>
      </c>
      <c r="T82" s="301" t="e">
        <f t="shared" si="20"/>
        <v>#DIV/0!</v>
      </c>
      <c r="U82" s="301" t="e">
        <f t="shared" si="21"/>
        <v>#DIV/0!</v>
      </c>
      <c r="V82" s="301" t="e">
        <f t="shared" si="22"/>
        <v>#DIV/0!</v>
      </c>
      <c r="W82" s="301" t="s">
        <v>102</v>
      </c>
      <c r="X82" s="304" t="s">
        <v>102</v>
      </c>
    </row>
    <row r="83" spans="1:24" ht="16.5">
      <c r="A83" s="325">
        <v>46102</v>
      </c>
      <c r="B83" s="290">
        <f t="shared" si="16"/>
        <v>0</v>
      </c>
      <c r="C83" s="379">
        <f t="shared" si="16"/>
        <v>0</v>
      </c>
      <c r="D83" s="475">
        <f t="shared" si="16"/>
        <v>0</v>
      </c>
      <c r="E83" s="372" t="e">
        <f t="shared" si="17"/>
        <v>#DIV/0!</v>
      </c>
      <c r="F83" s="354" t="e">
        <f t="shared" si="15"/>
        <v>#DIV/0!</v>
      </c>
      <c r="G83" s="355" t="e">
        <f t="shared" si="15"/>
        <v>#DIV/0!</v>
      </c>
      <c r="H83" s="355" t="e">
        <f t="shared" si="15"/>
        <v>#DIV/0!</v>
      </c>
      <c r="I83" s="355" t="e">
        <f t="shared" si="15"/>
        <v>#DIV/0!</v>
      </c>
      <c r="J83" s="355" t="e">
        <f t="shared" si="15"/>
        <v>#DIV/0!</v>
      </c>
      <c r="K83" s="355" t="e">
        <f t="shared" si="15"/>
        <v>#DIV/0!</v>
      </c>
      <c r="L83" s="355" t="e">
        <f t="shared" si="15"/>
        <v>#DIV/0!</v>
      </c>
      <c r="M83" s="355" t="e">
        <f t="shared" si="15"/>
        <v>#DIV/0!</v>
      </c>
      <c r="N83" s="355" t="e">
        <f t="shared" si="15"/>
        <v>#DIV/0!</v>
      </c>
      <c r="O83" s="355" t="e">
        <f t="shared" si="15"/>
        <v>#DIV/0!</v>
      </c>
      <c r="P83" s="355" t="s">
        <v>102</v>
      </c>
      <c r="Q83" s="355" t="s">
        <v>102</v>
      </c>
      <c r="R83" s="301" t="e">
        <f t="shared" si="18"/>
        <v>#DIV/0!</v>
      </c>
      <c r="S83" s="301" t="e">
        <f t="shared" si="19"/>
        <v>#DIV/0!</v>
      </c>
      <c r="T83" s="301" t="e">
        <f t="shared" si="20"/>
        <v>#DIV/0!</v>
      </c>
      <c r="U83" s="301" t="e">
        <f t="shared" si="21"/>
        <v>#DIV/0!</v>
      </c>
      <c r="V83" s="301" t="e">
        <f t="shared" si="22"/>
        <v>#DIV/0!</v>
      </c>
      <c r="W83" s="301" t="s">
        <v>102</v>
      </c>
      <c r="X83" s="304" t="s">
        <v>102</v>
      </c>
    </row>
    <row r="84" spans="1:24" ht="16.5">
      <c r="A84" s="325">
        <v>46103</v>
      </c>
      <c r="B84" s="290">
        <f t="shared" si="16"/>
        <v>0</v>
      </c>
      <c r="C84" s="379">
        <f t="shared" si="16"/>
        <v>0</v>
      </c>
      <c r="D84" s="475">
        <f t="shared" si="16"/>
        <v>0</v>
      </c>
      <c r="E84" s="372" t="e">
        <f t="shared" si="17"/>
        <v>#DIV/0!</v>
      </c>
      <c r="F84" s="354" t="e">
        <f t="shared" ref="F84:O99" si="24">(AF84*$AC84+BF84*$BC84)/$C84</f>
        <v>#DIV/0!</v>
      </c>
      <c r="G84" s="355" t="e">
        <f t="shared" si="24"/>
        <v>#DIV/0!</v>
      </c>
      <c r="H84" s="355" t="e">
        <f t="shared" si="24"/>
        <v>#DIV/0!</v>
      </c>
      <c r="I84" s="355" t="e">
        <f t="shared" si="24"/>
        <v>#DIV/0!</v>
      </c>
      <c r="J84" s="355" t="e">
        <f t="shared" si="24"/>
        <v>#DIV/0!</v>
      </c>
      <c r="K84" s="355" t="e">
        <f t="shared" si="24"/>
        <v>#DIV/0!</v>
      </c>
      <c r="L84" s="355" t="e">
        <f t="shared" si="24"/>
        <v>#DIV/0!</v>
      </c>
      <c r="M84" s="355" t="e">
        <f t="shared" si="24"/>
        <v>#DIV/0!</v>
      </c>
      <c r="N84" s="355" t="e">
        <f t="shared" si="24"/>
        <v>#DIV/0!</v>
      </c>
      <c r="O84" s="355" t="e">
        <f t="shared" si="24"/>
        <v>#DIV/0!</v>
      </c>
      <c r="P84" s="355" t="s">
        <v>102</v>
      </c>
      <c r="Q84" s="355" t="s">
        <v>102</v>
      </c>
      <c r="R84" s="301" t="e">
        <f t="shared" si="18"/>
        <v>#DIV/0!</v>
      </c>
      <c r="S84" s="301" t="e">
        <f t="shared" si="19"/>
        <v>#DIV/0!</v>
      </c>
      <c r="T84" s="301" t="e">
        <f t="shared" si="20"/>
        <v>#DIV/0!</v>
      </c>
      <c r="U84" s="301" t="e">
        <f t="shared" si="21"/>
        <v>#DIV/0!</v>
      </c>
      <c r="V84" s="301" t="e">
        <f t="shared" si="22"/>
        <v>#DIV/0!</v>
      </c>
      <c r="W84" s="301" t="s">
        <v>102</v>
      </c>
      <c r="X84" s="304" t="s">
        <v>102</v>
      </c>
    </row>
    <row r="85" spans="1:24" ht="16.5">
      <c r="A85" s="322">
        <v>46104</v>
      </c>
      <c r="B85" s="290">
        <f t="shared" si="16"/>
        <v>0</v>
      </c>
      <c r="C85" s="379">
        <f t="shared" si="16"/>
        <v>0</v>
      </c>
      <c r="D85" s="475">
        <f t="shared" si="16"/>
        <v>0</v>
      </c>
      <c r="E85" s="372" t="e">
        <f t="shared" si="17"/>
        <v>#DIV/0!</v>
      </c>
      <c r="F85" s="354" t="e">
        <f t="shared" si="24"/>
        <v>#DIV/0!</v>
      </c>
      <c r="G85" s="355" t="e">
        <f t="shared" si="24"/>
        <v>#DIV/0!</v>
      </c>
      <c r="H85" s="355" t="e">
        <f t="shared" si="24"/>
        <v>#DIV/0!</v>
      </c>
      <c r="I85" s="355" t="e">
        <f t="shared" si="24"/>
        <v>#DIV/0!</v>
      </c>
      <c r="J85" s="355" t="e">
        <f t="shared" si="24"/>
        <v>#DIV/0!</v>
      </c>
      <c r="K85" s="355" t="e">
        <f t="shared" si="24"/>
        <v>#DIV/0!</v>
      </c>
      <c r="L85" s="355" t="e">
        <f t="shared" si="24"/>
        <v>#DIV/0!</v>
      </c>
      <c r="M85" s="355" t="e">
        <f t="shared" si="24"/>
        <v>#DIV/0!</v>
      </c>
      <c r="N85" s="355" t="e">
        <f t="shared" si="24"/>
        <v>#DIV/0!</v>
      </c>
      <c r="O85" s="355" t="e">
        <f t="shared" si="24"/>
        <v>#DIV/0!</v>
      </c>
      <c r="P85" s="355" t="s">
        <v>102</v>
      </c>
      <c r="Q85" s="355" t="s">
        <v>102</v>
      </c>
      <c r="R85" s="301" t="e">
        <f t="shared" si="18"/>
        <v>#DIV/0!</v>
      </c>
      <c r="S85" s="301" t="e">
        <f t="shared" si="19"/>
        <v>#DIV/0!</v>
      </c>
      <c r="T85" s="301" t="e">
        <f t="shared" si="20"/>
        <v>#DIV/0!</v>
      </c>
      <c r="U85" s="301" t="e">
        <f t="shared" si="21"/>
        <v>#DIV/0!</v>
      </c>
      <c r="V85" s="301" t="e">
        <f t="shared" si="22"/>
        <v>#DIV/0!</v>
      </c>
      <c r="W85" s="301" t="s">
        <v>102</v>
      </c>
      <c r="X85" s="304" t="s">
        <v>102</v>
      </c>
    </row>
    <row r="86" spans="1:24" ht="16.5">
      <c r="A86" s="321">
        <v>46105</v>
      </c>
      <c r="B86" s="290">
        <f t="shared" si="16"/>
        <v>0</v>
      </c>
      <c r="C86" s="379">
        <f t="shared" si="16"/>
        <v>0</v>
      </c>
      <c r="D86" s="475">
        <f t="shared" si="16"/>
        <v>0</v>
      </c>
      <c r="E86" s="372" t="e">
        <f t="shared" si="17"/>
        <v>#DIV/0!</v>
      </c>
      <c r="F86" s="354" t="e">
        <f t="shared" si="24"/>
        <v>#DIV/0!</v>
      </c>
      <c r="G86" s="355" t="e">
        <f t="shared" si="24"/>
        <v>#DIV/0!</v>
      </c>
      <c r="H86" s="355" t="e">
        <f t="shared" si="24"/>
        <v>#DIV/0!</v>
      </c>
      <c r="I86" s="355" t="e">
        <f t="shared" si="24"/>
        <v>#DIV/0!</v>
      </c>
      <c r="J86" s="355" t="e">
        <f t="shared" si="24"/>
        <v>#DIV/0!</v>
      </c>
      <c r="K86" s="355" t="e">
        <f t="shared" si="24"/>
        <v>#DIV/0!</v>
      </c>
      <c r="L86" s="355" t="e">
        <f t="shared" si="24"/>
        <v>#DIV/0!</v>
      </c>
      <c r="M86" s="355" t="e">
        <f t="shared" si="24"/>
        <v>#DIV/0!</v>
      </c>
      <c r="N86" s="355" t="e">
        <f t="shared" si="24"/>
        <v>#DIV/0!</v>
      </c>
      <c r="O86" s="355" t="e">
        <f t="shared" si="24"/>
        <v>#DIV/0!</v>
      </c>
      <c r="P86" s="355" t="s">
        <v>102</v>
      </c>
      <c r="Q86" s="355" t="s">
        <v>102</v>
      </c>
      <c r="R86" s="301" t="e">
        <f t="shared" si="18"/>
        <v>#DIV/0!</v>
      </c>
      <c r="S86" s="301" t="e">
        <f t="shared" si="19"/>
        <v>#DIV/0!</v>
      </c>
      <c r="T86" s="301" t="e">
        <f t="shared" si="20"/>
        <v>#DIV/0!</v>
      </c>
      <c r="U86" s="301" t="e">
        <f t="shared" si="21"/>
        <v>#DIV/0!</v>
      </c>
      <c r="V86" s="301" t="e">
        <f t="shared" si="22"/>
        <v>#DIV/0!</v>
      </c>
      <c r="W86" s="301" t="s">
        <v>102</v>
      </c>
      <c r="X86" s="304" t="s">
        <v>102</v>
      </c>
    </row>
    <row r="87" spans="1:24" ht="16.5">
      <c r="A87" s="321">
        <v>46106</v>
      </c>
      <c r="B87" s="290">
        <f t="shared" si="16"/>
        <v>0</v>
      </c>
      <c r="C87" s="379">
        <f t="shared" si="16"/>
        <v>0</v>
      </c>
      <c r="D87" s="475">
        <f t="shared" si="16"/>
        <v>0</v>
      </c>
      <c r="E87" s="372" t="e">
        <f t="shared" si="17"/>
        <v>#DIV/0!</v>
      </c>
      <c r="F87" s="354" t="e">
        <f t="shared" si="24"/>
        <v>#DIV/0!</v>
      </c>
      <c r="G87" s="355" t="e">
        <f t="shared" si="24"/>
        <v>#DIV/0!</v>
      </c>
      <c r="H87" s="355" t="e">
        <f t="shared" si="24"/>
        <v>#DIV/0!</v>
      </c>
      <c r="I87" s="355" t="e">
        <f t="shared" si="24"/>
        <v>#DIV/0!</v>
      </c>
      <c r="J87" s="355" t="e">
        <f t="shared" si="24"/>
        <v>#DIV/0!</v>
      </c>
      <c r="K87" s="355" t="e">
        <f t="shared" si="24"/>
        <v>#DIV/0!</v>
      </c>
      <c r="L87" s="355" t="e">
        <f t="shared" si="24"/>
        <v>#DIV/0!</v>
      </c>
      <c r="M87" s="355" t="e">
        <f t="shared" si="24"/>
        <v>#DIV/0!</v>
      </c>
      <c r="N87" s="355" t="e">
        <f t="shared" si="24"/>
        <v>#DIV/0!</v>
      </c>
      <c r="O87" s="355" t="e">
        <f t="shared" si="24"/>
        <v>#DIV/0!</v>
      </c>
      <c r="P87" s="355" t="s">
        <v>102</v>
      </c>
      <c r="Q87" s="355" t="s">
        <v>102</v>
      </c>
      <c r="R87" s="301" t="e">
        <f t="shared" si="18"/>
        <v>#DIV/0!</v>
      </c>
      <c r="S87" s="301" t="e">
        <f t="shared" si="19"/>
        <v>#DIV/0!</v>
      </c>
      <c r="T87" s="301" t="e">
        <f t="shared" si="20"/>
        <v>#DIV/0!</v>
      </c>
      <c r="U87" s="301" t="e">
        <f t="shared" si="21"/>
        <v>#DIV/0!</v>
      </c>
      <c r="V87" s="301" t="e">
        <f t="shared" si="22"/>
        <v>#DIV/0!</v>
      </c>
      <c r="W87" s="301" t="s">
        <v>102</v>
      </c>
      <c r="X87" s="304" t="s">
        <v>102</v>
      </c>
    </row>
    <row r="88" spans="1:24" ht="16.5">
      <c r="A88" s="325">
        <v>46107</v>
      </c>
      <c r="B88" s="290">
        <f t="shared" si="16"/>
        <v>0</v>
      </c>
      <c r="C88" s="379">
        <f t="shared" si="16"/>
        <v>0</v>
      </c>
      <c r="D88" s="475">
        <f t="shared" si="16"/>
        <v>0</v>
      </c>
      <c r="E88" s="372" t="e">
        <f t="shared" si="17"/>
        <v>#DIV/0!</v>
      </c>
      <c r="F88" s="354" t="e">
        <f t="shared" si="24"/>
        <v>#DIV/0!</v>
      </c>
      <c r="G88" s="355" t="e">
        <f t="shared" si="24"/>
        <v>#DIV/0!</v>
      </c>
      <c r="H88" s="355" t="e">
        <f t="shared" si="24"/>
        <v>#DIV/0!</v>
      </c>
      <c r="I88" s="355" t="e">
        <f t="shared" si="24"/>
        <v>#DIV/0!</v>
      </c>
      <c r="J88" s="355" t="e">
        <f t="shared" si="24"/>
        <v>#DIV/0!</v>
      </c>
      <c r="K88" s="355" t="e">
        <f t="shared" si="24"/>
        <v>#DIV/0!</v>
      </c>
      <c r="L88" s="355" t="e">
        <f t="shared" si="24"/>
        <v>#DIV/0!</v>
      </c>
      <c r="M88" s="355" t="e">
        <f t="shared" si="24"/>
        <v>#DIV/0!</v>
      </c>
      <c r="N88" s="355" t="e">
        <f t="shared" si="24"/>
        <v>#DIV/0!</v>
      </c>
      <c r="O88" s="355" t="e">
        <f t="shared" si="24"/>
        <v>#DIV/0!</v>
      </c>
      <c r="P88" s="355" t="s">
        <v>102</v>
      </c>
      <c r="Q88" s="355" t="s">
        <v>102</v>
      </c>
      <c r="R88" s="301" t="e">
        <f t="shared" si="18"/>
        <v>#DIV/0!</v>
      </c>
      <c r="S88" s="301" t="e">
        <f t="shared" si="19"/>
        <v>#DIV/0!</v>
      </c>
      <c r="T88" s="301" t="e">
        <f t="shared" si="20"/>
        <v>#DIV/0!</v>
      </c>
      <c r="U88" s="301" t="e">
        <f t="shared" si="21"/>
        <v>#DIV/0!</v>
      </c>
      <c r="V88" s="301" t="e">
        <f t="shared" si="22"/>
        <v>#DIV/0!</v>
      </c>
      <c r="W88" s="301" t="s">
        <v>102</v>
      </c>
      <c r="X88" s="304" t="s">
        <v>102</v>
      </c>
    </row>
    <row r="89" spans="1:24" ht="16.5">
      <c r="A89" s="325">
        <v>46108</v>
      </c>
      <c r="B89" s="290">
        <f t="shared" si="16"/>
        <v>0</v>
      </c>
      <c r="C89" s="379">
        <f t="shared" si="16"/>
        <v>0</v>
      </c>
      <c r="D89" s="475">
        <f t="shared" si="16"/>
        <v>0</v>
      </c>
      <c r="E89" s="372" t="e">
        <f t="shared" si="17"/>
        <v>#DIV/0!</v>
      </c>
      <c r="F89" s="354" t="e">
        <f t="shared" si="24"/>
        <v>#DIV/0!</v>
      </c>
      <c r="G89" s="355" t="e">
        <f t="shared" si="24"/>
        <v>#DIV/0!</v>
      </c>
      <c r="H89" s="355" t="e">
        <f t="shared" si="24"/>
        <v>#DIV/0!</v>
      </c>
      <c r="I89" s="355" t="e">
        <f t="shared" si="24"/>
        <v>#DIV/0!</v>
      </c>
      <c r="J89" s="355" t="e">
        <f t="shared" si="24"/>
        <v>#DIV/0!</v>
      </c>
      <c r="K89" s="355" t="e">
        <f t="shared" si="24"/>
        <v>#DIV/0!</v>
      </c>
      <c r="L89" s="355" t="e">
        <f t="shared" si="24"/>
        <v>#DIV/0!</v>
      </c>
      <c r="M89" s="355" t="e">
        <f t="shared" si="24"/>
        <v>#DIV/0!</v>
      </c>
      <c r="N89" s="355" t="e">
        <f t="shared" si="24"/>
        <v>#DIV/0!</v>
      </c>
      <c r="O89" s="355" t="e">
        <f t="shared" si="24"/>
        <v>#DIV/0!</v>
      </c>
      <c r="P89" s="355" t="s">
        <v>102</v>
      </c>
      <c r="Q89" s="355" t="s">
        <v>102</v>
      </c>
      <c r="R89" s="301" t="e">
        <f t="shared" si="18"/>
        <v>#DIV/0!</v>
      </c>
      <c r="S89" s="301" t="e">
        <f t="shared" si="19"/>
        <v>#DIV/0!</v>
      </c>
      <c r="T89" s="301" t="e">
        <f t="shared" si="20"/>
        <v>#DIV/0!</v>
      </c>
      <c r="U89" s="301" t="e">
        <f t="shared" si="21"/>
        <v>#DIV/0!</v>
      </c>
      <c r="V89" s="301" t="e">
        <f t="shared" si="22"/>
        <v>#DIV/0!</v>
      </c>
      <c r="W89" s="301" t="s">
        <v>102</v>
      </c>
      <c r="X89" s="304" t="s">
        <v>102</v>
      </c>
    </row>
    <row r="90" spans="1:24" ht="16.5">
      <c r="A90" s="325">
        <v>46109</v>
      </c>
      <c r="B90" s="290">
        <f t="shared" si="16"/>
        <v>0</v>
      </c>
      <c r="C90" s="379">
        <f t="shared" si="16"/>
        <v>0</v>
      </c>
      <c r="D90" s="475">
        <f t="shared" si="16"/>
        <v>0</v>
      </c>
      <c r="E90" s="372" t="e">
        <f t="shared" si="17"/>
        <v>#DIV/0!</v>
      </c>
      <c r="F90" s="354" t="e">
        <f t="shared" si="24"/>
        <v>#DIV/0!</v>
      </c>
      <c r="G90" s="355" t="e">
        <f t="shared" si="24"/>
        <v>#DIV/0!</v>
      </c>
      <c r="H90" s="355" t="e">
        <f t="shared" si="24"/>
        <v>#DIV/0!</v>
      </c>
      <c r="I90" s="355" t="e">
        <f t="shared" si="24"/>
        <v>#DIV/0!</v>
      </c>
      <c r="J90" s="355" t="e">
        <f t="shared" si="24"/>
        <v>#DIV/0!</v>
      </c>
      <c r="K90" s="355" t="e">
        <f t="shared" si="24"/>
        <v>#DIV/0!</v>
      </c>
      <c r="L90" s="355" t="e">
        <f t="shared" si="24"/>
        <v>#DIV/0!</v>
      </c>
      <c r="M90" s="355" t="e">
        <f t="shared" si="24"/>
        <v>#DIV/0!</v>
      </c>
      <c r="N90" s="355" t="e">
        <f t="shared" si="24"/>
        <v>#DIV/0!</v>
      </c>
      <c r="O90" s="355" t="e">
        <f t="shared" si="24"/>
        <v>#DIV/0!</v>
      </c>
      <c r="P90" s="355" t="s">
        <v>102</v>
      </c>
      <c r="Q90" s="355" t="s">
        <v>102</v>
      </c>
      <c r="R90" s="301" t="e">
        <f t="shared" si="18"/>
        <v>#DIV/0!</v>
      </c>
      <c r="S90" s="301" t="e">
        <f t="shared" si="19"/>
        <v>#DIV/0!</v>
      </c>
      <c r="T90" s="301" t="e">
        <f t="shared" si="20"/>
        <v>#DIV/0!</v>
      </c>
      <c r="U90" s="301" t="e">
        <f t="shared" si="21"/>
        <v>#DIV/0!</v>
      </c>
      <c r="V90" s="301" t="e">
        <f t="shared" si="22"/>
        <v>#DIV/0!</v>
      </c>
      <c r="W90" s="301" t="s">
        <v>102</v>
      </c>
      <c r="X90" s="304" t="s">
        <v>102</v>
      </c>
    </row>
    <row r="91" spans="1:24" ht="16.5">
      <c r="A91" s="322">
        <v>46110</v>
      </c>
      <c r="B91" s="290">
        <f t="shared" si="16"/>
        <v>0</v>
      </c>
      <c r="C91" s="379">
        <f t="shared" si="16"/>
        <v>0</v>
      </c>
      <c r="D91" s="475">
        <f t="shared" si="16"/>
        <v>0</v>
      </c>
      <c r="E91" s="372" t="e">
        <f t="shared" si="17"/>
        <v>#DIV/0!</v>
      </c>
      <c r="F91" s="354" t="e">
        <f t="shared" si="24"/>
        <v>#DIV/0!</v>
      </c>
      <c r="G91" s="355" t="e">
        <f t="shared" si="24"/>
        <v>#DIV/0!</v>
      </c>
      <c r="H91" s="355" t="e">
        <f t="shared" si="24"/>
        <v>#DIV/0!</v>
      </c>
      <c r="I91" s="355" t="e">
        <f t="shared" si="24"/>
        <v>#DIV/0!</v>
      </c>
      <c r="J91" s="355" t="e">
        <f t="shared" si="24"/>
        <v>#DIV/0!</v>
      </c>
      <c r="K91" s="355" t="e">
        <f t="shared" si="24"/>
        <v>#DIV/0!</v>
      </c>
      <c r="L91" s="355" t="e">
        <f t="shared" si="24"/>
        <v>#DIV/0!</v>
      </c>
      <c r="M91" s="355" t="e">
        <f t="shared" si="24"/>
        <v>#DIV/0!</v>
      </c>
      <c r="N91" s="355" t="e">
        <f t="shared" si="24"/>
        <v>#DIV/0!</v>
      </c>
      <c r="O91" s="355" t="e">
        <f t="shared" si="24"/>
        <v>#DIV/0!</v>
      </c>
      <c r="P91" s="355" t="s">
        <v>102</v>
      </c>
      <c r="Q91" s="355" t="s">
        <v>102</v>
      </c>
      <c r="R91" s="301" t="e">
        <f t="shared" si="18"/>
        <v>#DIV/0!</v>
      </c>
      <c r="S91" s="301" t="e">
        <f t="shared" si="19"/>
        <v>#DIV/0!</v>
      </c>
      <c r="T91" s="301" t="e">
        <f t="shared" si="20"/>
        <v>#DIV/0!</v>
      </c>
      <c r="U91" s="301" t="e">
        <f t="shared" si="21"/>
        <v>#DIV/0!</v>
      </c>
      <c r="V91" s="301" t="e">
        <f t="shared" si="22"/>
        <v>#DIV/0!</v>
      </c>
      <c r="W91" s="301" t="s">
        <v>102</v>
      </c>
      <c r="X91" s="304" t="s">
        <v>102</v>
      </c>
    </row>
    <row r="92" spans="1:24" ht="16.5">
      <c r="A92" s="322">
        <v>46111</v>
      </c>
      <c r="B92" s="290">
        <f t="shared" si="16"/>
        <v>0</v>
      </c>
      <c r="C92" s="379">
        <f t="shared" si="16"/>
        <v>0</v>
      </c>
      <c r="D92" s="475">
        <f t="shared" si="16"/>
        <v>0</v>
      </c>
      <c r="E92" s="372" t="e">
        <f t="shared" si="17"/>
        <v>#DIV/0!</v>
      </c>
      <c r="F92" s="354" t="e">
        <f t="shared" si="24"/>
        <v>#DIV/0!</v>
      </c>
      <c r="G92" s="355" t="e">
        <f t="shared" si="24"/>
        <v>#DIV/0!</v>
      </c>
      <c r="H92" s="355" t="e">
        <f t="shared" si="24"/>
        <v>#DIV/0!</v>
      </c>
      <c r="I92" s="355" t="e">
        <f t="shared" si="24"/>
        <v>#DIV/0!</v>
      </c>
      <c r="J92" s="355" t="e">
        <f t="shared" si="24"/>
        <v>#DIV/0!</v>
      </c>
      <c r="K92" s="355" t="e">
        <f t="shared" si="24"/>
        <v>#DIV/0!</v>
      </c>
      <c r="L92" s="355" t="e">
        <f t="shared" si="24"/>
        <v>#DIV/0!</v>
      </c>
      <c r="M92" s="355" t="e">
        <f t="shared" si="24"/>
        <v>#DIV/0!</v>
      </c>
      <c r="N92" s="355" t="e">
        <f t="shared" si="24"/>
        <v>#DIV/0!</v>
      </c>
      <c r="O92" s="355" t="s">
        <v>102</v>
      </c>
      <c r="P92" s="355" t="s">
        <v>102</v>
      </c>
      <c r="Q92" s="355" t="s">
        <v>102</v>
      </c>
      <c r="R92" s="301" t="e">
        <f t="shared" si="18"/>
        <v>#DIV/0!</v>
      </c>
      <c r="S92" s="301" t="e">
        <f t="shared" si="19"/>
        <v>#DIV/0!</v>
      </c>
      <c r="T92" s="301" t="e">
        <f t="shared" si="20"/>
        <v>#DIV/0!</v>
      </c>
      <c r="U92" s="301" t="e">
        <f t="shared" si="21"/>
        <v>#DIV/0!</v>
      </c>
      <c r="V92" s="301" t="s">
        <v>102</v>
      </c>
      <c r="W92" s="301" t="s">
        <v>102</v>
      </c>
      <c r="X92" s="304" t="s">
        <v>102</v>
      </c>
    </row>
    <row r="93" spans="1:24" ht="16.5">
      <c r="A93" s="322">
        <v>46112</v>
      </c>
      <c r="B93" s="290">
        <f t="shared" si="16"/>
        <v>0</v>
      </c>
      <c r="C93" s="379">
        <f t="shared" si="16"/>
        <v>0</v>
      </c>
      <c r="D93" s="475">
        <f t="shared" si="16"/>
        <v>0</v>
      </c>
      <c r="E93" s="372" t="e">
        <f t="shared" si="17"/>
        <v>#DIV/0!</v>
      </c>
      <c r="F93" s="354" t="e">
        <f t="shared" si="24"/>
        <v>#DIV/0!</v>
      </c>
      <c r="G93" s="355" t="e">
        <f t="shared" si="24"/>
        <v>#DIV/0!</v>
      </c>
      <c r="H93" s="355" t="e">
        <f t="shared" si="24"/>
        <v>#DIV/0!</v>
      </c>
      <c r="I93" s="355" t="e">
        <f t="shared" si="24"/>
        <v>#DIV/0!</v>
      </c>
      <c r="J93" s="355" t="e">
        <f t="shared" si="24"/>
        <v>#DIV/0!</v>
      </c>
      <c r="K93" s="355" t="e">
        <f t="shared" si="24"/>
        <v>#DIV/0!</v>
      </c>
      <c r="L93" s="355" t="e">
        <f t="shared" si="24"/>
        <v>#DIV/0!</v>
      </c>
      <c r="M93" s="355" t="e">
        <f t="shared" si="24"/>
        <v>#DIV/0!</v>
      </c>
      <c r="N93" s="355" t="e">
        <f t="shared" si="24"/>
        <v>#DIV/0!</v>
      </c>
      <c r="O93" s="355" t="s">
        <v>102</v>
      </c>
      <c r="P93" s="355" t="s">
        <v>102</v>
      </c>
      <c r="Q93" s="355" t="s">
        <v>102</v>
      </c>
      <c r="R93" s="301" t="e">
        <f t="shared" si="18"/>
        <v>#DIV/0!</v>
      </c>
      <c r="S93" s="301" t="e">
        <f t="shared" si="19"/>
        <v>#DIV/0!</v>
      </c>
      <c r="T93" s="301" t="e">
        <f t="shared" si="20"/>
        <v>#DIV/0!</v>
      </c>
      <c r="U93" s="301" t="e">
        <f t="shared" si="21"/>
        <v>#DIV/0!</v>
      </c>
      <c r="V93" s="301" t="s">
        <v>102</v>
      </c>
      <c r="W93" s="301" t="s">
        <v>102</v>
      </c>
      <c r="X93" s="304" t="s">
        <v>102</v>
      </c>
    </row>
    <row r="94" spans="1:24" ht="16.5">
      <c r="A94" s="321">
        <v>46113</v>
      </c>
      <c r="B94" s="290">
        <f t="shared" si="16"/>
        <v>0</v>
      </c>
      <c r="C94" s="379">
        <f t="shared" si="16"/>
        <v>0</v>
      </c>
      <c r="D94" s="475">
        <f t="shared" si="16"/>
        <v>0</v>
      </c>
      <c r="E94" s="372" t="e">
        <f t="shared" si="17"/>
        <v>#DIV/0!</v>
      </c>
      <c r="F94" s="354" t="e">
        <f t="shared" si="24"/>
        <v>#DIV/0!</v>
      </c>
      <c r="G94" s="355" t="e">
        <f t="shared" si="24"/>
        <v>#DIV/0!</v>
      </c>
      <c r="H94" s="355" t="e">
        <f t="shared" si="24"/>
        <v>#DIV/0!</v>
      </c>
      <c r="I94" s="355" t="e">
        <f t="shared" si="24"/>
        <v>#DIV/0!</v>
      </c>
      <c r="J94" s="355" t="e">
        <f t="shared" si="24"/>
        <v>#DIV/0!</v>
      </c>
      <c r="K94" s="355" t="e">
        <f t="shared" si="24"/>
        <v>#DIV/0!</v>
      </c>
      <c r="L94" s="355" t="e">
        <f t="shared" si="24"/>
        <v>#DIV/0!</v>
      </c>
      <c r="M94" s="355" t="e">
        <f t="shared" si="24"/>
        <v>#DIV/0!</v>
      </c>
      <c r="N94" s="355" t="e">
        <f t="shared" si="24"/>
        <v>#DIV/0!</v>
      </c>
      <c r="O94" s="355" t="s">
        <v>102</v>
      </c>
      <c r="P94" s="355" t="s">
        <v>102</v>
      </c>
      <c r="Q94" s="355" t="s">
        <v>102</v>
      </c>
      <c r="R94" s="301" t="e">
        <f t="shared" si="18"/>
        <v>#DIV/0!</v>
      </c>
      <c r="S94" s="301" t="e">
        <f t="shared" si="19"/>
        <v>#DIV/0!</v>
      </c>
      <c r="T94" s="301" t="e">
        <f t="shared" si="20"/>
        <v>#DIV/0!</v>
      </c>
      <c r="U94" s="301" t="e">
        <f t="shared" si="21"/>
        <v>#DIV/0!</v>
      </c>
      <c r="V94" s="301" t="s">
        <v>102</v>
      </c>
      <c r="W94" s="301" t="s">
        <v>102</v>
      </c>
      <c r="X94" s="304" t="s">
        <v>102</v>
      </c>
    </row>
    <row r="95" spans="1:24" ht="16.5">
      <c r="A95" s="321">
        <v>46114</v>
      </c>
      <c r="B95" s="290">
        <f t="shared" si="16"/>
        <v>0</v>
      </c>
      <c r="C95" s="379">
        <f t="shared" si="16"/>
        <v>0</v>
      </c>
      <c r="D95" s="475">
        <f t="shared" si="16"/>
        <v>0</v>
      </c>
      <c r="E95" s="372" t="e">
        <f t="shared" si="17"/>
        <v>#DIV/0!</v>
      </c>
      <c r="F95" s="354" t="e">
        <f t="shared" si="24"/>
        <v>#DIV/0!</v>
      </c>
      <c r="G95" s="355" t="e">
        <f t="shared" si="24"/>
        <v>#DIV/0!</v>
      </c>
      <c r="H95" s="355" t="e">
        <f t="shared" si="24"/>
        <v>#DIV/0!</v>
      </c>
      <c r="I95" s="355" t="e">
        <f t="shared" si="24"/>
        <v>#DIV/0!</v>
      </c>
      <c r="J95" s="355" t="e">
        <f t="shared" si="24"/>
        <v>#DIV/0!</v>
      </c>
      <c r="K95" s="355" t="e">
        <f t="shared" si="24"/>
        <v>#DIV/0!</v>
      </c>
      <c r="L95" s="355" t="e">
        <f t="shared" si="24"/>
        <v>#DIV/0!</v>
      </c>
      <c r="M95" s="355" t="e">
        <f t="shared" si="24"/>
        <v>#DIV/0!</v>
      </c>
      <c r="N95" s="355" t="e">
        <f t="shared" si="24"/>
        <v>#DIV/0!</v>
      </c>
      <c r="O95" s="355" t="s">
        <v>102</v>
      </c>
      <c r="P95" s="355" t="s">
        <v>102</v>
      </c>
      <c r="Q95" s="355" t="s">
        <v>102</v>
      </c>
      <c r="R95" s="301" t="e">
        <f t="shared" si="18"/>
        <v>#DIV/0!</v>
      </c>
      <c r="S95" s="301" t="e">
        <f t="shared" si="19"/>
        <v>#DIV/0!</v>
      </c>
      <c r="T95" s="301" t="e">
        <f t="shared" si="20"/>
        <v>#DIV/0!</v>
      </c>
      <c r="U95" s="301" t="e">
        <f t="shared" si="21"/>
        <v>#DIV/0!</v>
      </c>
      <c r="V95" s="301" t="s">
        <v>102</v>
      </c>
      <c r="W95" s="301" t="s">
        <v>102</v>
      </c>
      <c r="X95" s="304" t="s">
        <v>102</v>
      </c>
    </row>
    <row r="96" spans="1:24" ht="16.5">
      <c r="A96" s="322">
        <v>46115</v>
      </c>
      <c r="B96" s="290">
        <f t="shared" si="16"/>
        <v>0</v>
      </c>
      <c r="C96" s="379">
        <f t="shared" si="16"/>
        <v>0</v>
      </c>
      <c r="D96" s="475">
        <f t="shared" si="16"/>
        <v>0</v>
      </c>
      <c r="E96" s="372" t="e">
        <f t="shared" si="17"/>
        <v>#DIV/0!</v>
      </c>
      <c r="F96" s="354" t="e">
        <f t="shared" si="24"/>
        <v>#DIV/0!</v>
      </c>
      <c r="G96" s="355" t="e">
        <f t="shared" si="24"/>
        <v>#DIV/0!</v>
      </c>
      <c r="H96" s="355" t="e">
        <f t="shared" si="24"/>
        <v>#DIV/0!</v>
      </c>
      <c r="I96" s="355" t="e">
        <f t="shared" si="24"/>
        <v>#DIV/0!</v>
      </c>
      <c r="J96" s="355" t="e">
        <f t="shared" si="24"/>
        <v>#DIV/0!</v>
      </c>
      <c r="K96" s="355" t="e">
        <f t="shared" si="24"/>
        <v>#DIV/0!</v>
      </c>
      <c r="L96" s="355" t="e">
        <f t="shared" si="24"/>
        <v>#DIV/0!</v>
      </c>
      <c r="M96" s="355" t="e">
        <f t="shared" si="24"/>
        <v>#DIV/0!</v>
      </c>
      <c r="N96" s="355" t="e">
        <f t="shared" si="24"/>
        <v>#DIV/0!</v>
      </c>
      <c r="O96" s="355" t="s">
        <v>102</v>
      </c>
      <c r="P96" s="355" t="s">
        <v>102</v>
      </c>
      <c r="Q96" s="355" t="s">
        <v>102</v>
      </c>
      <c r="R96" s="301" t="e">
        <f t="shared" si="18"/>
        <v>#DIV/0!</v>
      </c>
      <c r="S96" s="301" t="e">
        <f t="shared" si="19"/>
        <v>#DIV/0!</v>
      </c>
      <c r="T96" s="301" t="e">
        <f t="shared" si="20"/>
        <v>#DIV/0!</v>
      </c>
      <c r="U96" s="301" t="e">
        <f t="shared" si="21"/>
        <v>#DIV/0!</v>
      </c>
      <c r="V96" s="301" t="s">
        <v>102</v>
      </c>
      <c r="W96" s="301" t="s">
        <v>102</v>
      </c>
      <c r="X96" s="304" t="s">
        <v>102</v>
      </c>
    </row>
    <row r="97" spans="1:24" ht="16.5">
      <c r="A97" s="325">
        <v>46116</v>
      </c>
      <c r="B97" s="290">
        <f t="shared" si="16"/>
        <v>0</v>
      </c>
      <c r="C97" s="379">
        <f t="shared" si="16"/>
        <v>0</v>
      </c>
      <c r="D97" s="475">
        <f t="shared" si="16"/>
        <v>0</v>
      </c>
      <c r="E97" s="372" t="e">
        <f t="shared" si="17"/>
        <v>#DIV/0!</v>
      </c>
      <c r="F97" s="354" t="e">
        <f t="shared" si="24"/>
        <v>#DIV/0!</v>
      </c>
      <c r="G97" s="355" t="e">
        <f t="shared" si="24"/>
        <v>#DIV/0!</v>
      </c>
      <c r="H97" s="355" t="e">
        <f t="shared" si="24"/>
        <v>#DIV/0!</v>
      </c>
      <c r="I97" s="355" t="e">
        <f t="shared" si="24"/>
        <v>#DIV/0!</v>
      </c>
      <c r="J97" s="355" t="e">
        <f t="shared" si="24"/>
        <v>#DIV/0!</v>
      </c>
      <c r="K97" s="355" t="e">
        <f t="shared" si="24"/>
        <v>#DIV/0!</v>
      </c>
      <c r="L97" s="355" t="e">
        <f t="shared" si="24"/>
        <v>#DIV/0!</v>
      </c>
      <c r="M97" s="355" t="e">
        <f t="shared" si="24"/>
        <v>#DIV/0!</v>
      </c>
      <c r="N97" s="355" t="e">
        <f t="shared" si="24"/>
        <v>#DIV/0!</v>
      </c>
      <c r="O97" s="355" t="s">
        <v>102</v>
      </c>
      <c r="P97" s="355" t="s">
        <v>102</v>
      </c>
      <c r="Q97" s="355" t="s">
        <v>102</v>
      </c>
      <c r="R97" s="301" t="e">
        <f t="shared" si="18"/>
        <v>#DIV/0!</v>
      </c>
      <c r="S97" s="301" t="e">
        <f t="shared" si="19"/>
        <v>#DIV/0!</v>
      </c>
      <c r="T97" s="301" t="e">
        <f t="shared" si="20"/>
        <v>#DIV/0!</v>
      </c>
      <c r="U97" s="301" t="e">
        <f t="shared" si="21"/>
        <v>#DIV/0!</v>
      </c>
      <c r="V97" s="301" t="s">
        <v>102</v>
      </c>
      <c r="W97" s="301" t="s">
        <v>102</v>
      </c>
      <c r="X97" s="304" t="s">
        <v>102</v>
      </c>
    </row>
    <row r="98" spans="1:24" ht="16.5">
      <c r="A98" s="325">
        <v>46117</v>
      </c>
      <c r="B98" s="290">
        <f t="shared" ref="B98:D119" si="25">AB98+BB98</f>
        <v>0</v>
      </c>
      <c r="C98" s="379">
        <f t="shared" si="25"/>
        <v>0</v>
      </c>
      <c r="D98" s="475">
        <f t="shared" si="25"/>
        <v>0</v>
      </c>
      <c r="E98" s="372" t="e">
        <f t="shared" si="17"/>
        <v>#DIV/0!</v>
      </c>
      <c r="F98" s="354" t="e">
        <f t="shared" si="24"/>
        <v>#DIV/0!</v>
      </c>
      <c r="G98" s="355" t="e">
        <f t="shared" si="24"/>
        <v>#DIV/0!</v>
      </c>
      <c r="H98" s="355" t="e">
        <f t="shared" si="24"/>
        <v>#DIV/0!</v>
      </c>
      <c r="I98" s="355" t="e">
        <f t="shared" si="24"/>
        <v>#DIV/0!</v>
      </c>
      <c r="J98" s="355" t="e">
        <f t="shared" si="24"/>
        <v>#DIV/0!</v>
      </c>
      <c r="K98" s="355" t="e">
        <f t="shared" si="24"/>
        <v>#DIV/0!</v>
      </c>
      <c r="L98" s="355" t="e">
        <f t="shared" si="24"/>
        <v>#DIV/0!</v>
      </c>
      <c r="M98" s="355" t="e">
        <f t="shared" si="24"/>
        <v>#DIV/0!</v>
      </c>
      <c r="N98" s="355" t="e">
        <f t="shared" si="24"/>
        <v>#DIV/0!</v>
      </c>
      <c r="O98" s="355" t="s">
        <v>102</v>
      </c>
      <c r="P98" s="355" t="s">
        <v>102</v>
      </c>
      <c r="Q98" s="355" t="s">
        <v>102</v>
      </c>
      <c r="R98" s="301" t="e">
        <f t="shared" si="18"/>
        <v>#DIV/0!</v>
      </c>
      <c r="S98" s="301" t="e">
        <f t="shared" si="19"/>
        <v>#DIV/0!</v>
      </c>
      <c r="T98" s="301" t="e">
        <f t="shared" si="20"/>
        <v>#DIV/0!</v>
      </c>
      <c r="U98" s="301" t="e">
        <f t="shared" si="21"/>
        <v>#DIV/0!</v>
      </c>
      <c r="V98" s="301" t="s">
        <v>102</v>
      </c>
      <c r="W98" s="301" t="s">
        <v>102</v>
      </c>
      <c r="X98" s="304" t="s">
        <v>102</v>
      </c>
    </row>
    <row r="99" spans="1:24" ht="16.5">
      <c r="A99" s="325">
        <v>46118</v>
      </c>
      <c r="B99" s="290">
        <f t="shared" si="25"/>
        <v>0</v>
      </c>
      <c r="C99" s="379">
        <f t="shared" si="25"/>
        <v>0</v>
      </c>
      <c r="D99" s="475">
        <f t="shared" si="25"/>
        <v>0</v>
      </c>
      <c r="E99" s="372" t="e">
        <f t="shared" si="17"/>
        <v>#DIV/0!</v>
      </c>
      <c r="F99" s="354" t="e">
        <f t="shared" si="24"/>
        <v>#DIV/0!</v>
      </c>
      <c r="G99" s="355" t="e">
        <f t="shared" si="24"/>
        <v>#DIV/0!</v>
      </c>
      <c r="H99" s="355" t="e">
        <f t="shared" si="24"/>
        <v>#DIV/0!</v>
      </c>
      <c r="I99" s="355" t="e">
        <f t="shared" si="24"/>
        <v>#DIV/0!</v>
      </c>
      <c r="J99" s="355" t="e">
        <f t="shared" si="24"/>
        <v>#DIV/0!</v>
      </c>
      <c r="K99" s="355" t="e">
        <f t="shared" si="24"/>
        <v>#DIV/0!</v>
      </c>
      <c r="L99" s="355" t="e">
        <f t="shared" si="24"/>
        <v>#DIV/0!</v>
      </c>
      <c r="M99" s="355" t="e">
        <f t="shared" si="24"/>
        <v>#DIV/0!</v>
      </c>
      <c r="N99" s="355" t="e">
        <f t="shared" si="24"/>
        <v>#DIV/0!</v>
      </c>
      <c r="O99" s="355" t="s">
        <v>102</v>
      </c>
      <c r="P99" s="355" t="s">
        <v>102</v>
      </c>
      <c r="Q99" s="355" t="s">
        <v>102</v>
      </c>
      <c r="R99" s="301" t="e">
        <f t="shared" si="18"/>
        <v>#DIV/0!</v>
      </c>
      <c r="S99" s="301" t="e">
        <f t="shared" si="19"/>
        <v>#DIV/0!</v>
      </c>
      <c r="T99" s="301" t="e">
        <f t="shared" si="20"/>
        <v>#DIV/0!</v>
      </c>
      <c r="U99" s="301" t="e">
        <f t="shared" si="21"/>
        <v>#DIV/0!</v>
      </c>
      <c r="V99" s="301" t="s">
        <v>102</v>
      </c>
      <c r="W99" s="301" t="s">
        <v>102</v>
      </c>
      <c r="X99" s="304" t="s">
        <v>102</v>
      </c>
    </row>
    <row r="100" spans="1:24" ht="16.5">
      <c r="A100" s="322">
        <v>46119</v>
      </c>
      <c r="B100" s="290">
        <f t="shared" si="25"/>
        <v>0</v>
      </c>
      <c r="C100" s="379">
        <f t="shared" si="25"/>
        <v>0</v>
      </c>
      <c r="D100" s="475">
        <f t="shared" si="25"/>
        <v>0</v>
      </c>
      <c r="E100" s="372" t="e">
        <f t="shared" si="17"/>
        <v>#DIV/0!</v>
      </c>
      <c r="F100" s="354" t="e">
        <f t="shared" ref="F100:N115" si="26">(AF100*$AC100+BF100*$BC100)/$C100</f>
        <v>#DIV/0!</v>
      </c>
      <c r="G100" s="355" t="e">
        <f t="shared" si="26"/>
        <v>#DIV/0!</v>
      </c>
      <c r="H100" s="355" t="e">
        <f t="shared" si="26"/>
        <v>#DIV/0!</v>
      </c>
      <c r="I100" s="355" t="e">
        <f t="shared" si="26"/>
        <v>#DIV/0!</v>
      </c>
      <c r="J100" s="355" t="e">
        <f t="shared" si="26"/>
        <v>#DIV/0!</v>
      </c>
      <c r="K100" s="355" t="e">
        <f t="shared" si="26"/>
        <v>#DIV/0!</v>
      </c>
      <c r="L100" s="355" t="e">
        <f t="shared" si="26"/>
        <v>#DIV/0!</v>
      </c>
      <c r="M100" s="355" t="e">
        <f t="shared" si="26"/>
        <v>#DIV/0!</v>
      </c>
      <c r="N100" s="355" t="e">
        <f t="shared" si="26"/>
        <v>#DIV/0!</v>
      </c>
      <c r="O100" s="355" t="s">
        <v>102</v>
      </c>
      <c r="P100" s="355" t="s">
        <v>102</v>
      </c>
      <c r="Q100" s="355" t="s">
        <v>102</v>
      </c>
      <c r="R100" s="301" t="e">
        <f t="shared" si="18"/>
        <v>#DIV/0!</v>
      </c>
      <c r="S100" s="301" t="e">
        <f t="shared" si="19"/>
        <v>#DIV/0!</v>
      </c>
      <c r="T100" s="301" t="e">
        <f t="shared" si="20"/>
        <v>#DIV/0!</v>
      </c>
      <c r="U100" s="301" t="e">
        <f t="shared" si="21"/>
        <v>#DIV/0!</v>
      </c>
      <c r="V100" s="301" t="s">
        <v>102</v>
      </c>
      <c r="W100" s="301" t="s">
        <v>102</v>
      </c>
      <c r="X100" s="304" t="s">
        <v>102</v>
      </c>
    </row>
    <row r="101" spans="1:24" ht="16.5">
      <c r="A101" s="322">
        <v>46120</v>
      </c>
      <c r="B101" s="290">
        <f t="shared" si="25"/>
        <v>0</v>
      </c>
      <c r="C101" s="379">
        <f t="shared" si="25"/>
        <v>0</v>
      </c>
      <c r="D101" s="475">
        <f t="shared" si="25"/>
        <v>0</v>
      </c>
      <c r="E101" s="372" t="e">
        <f t="shared" si="17"/>
        <v>#DIV/0!</v>
      </c>
      <c r="F101" s="354" t="e">
        <f t="shared" si="26"/>
        <v>#DIV/0!</v>
      </c>
      <c r="G101" s="355" t="e">
        <f t="shared" si="26"/>
        <v>#DIV/0!</v>
      </c>
      <c r="H101" s="355" t="e">
        <f t="shared" si="26"/>
        <v>#DIV/0!</v>
      </c>
      <c r="I101" s="355" t="e">
        <f t="shared" si="26"/>
        <v>#DIV/0!</v>
      </c>
      <c r="J101" s="355" t="e">
        <f t="shared" si="26"/>
        <v>#DIV/0!</v>
      </c>
      <c r="K101" s="355" t="e">
        <f t="shared" si="26"/>
        <v>#DIV/0!</v>
      </c>
      <c r="L101" s="355" t="e">
        <f t="shared" si="26"/>
        <v>#DIV/0!</v>
      </c>
      <c r="M101" s="355" t="e">
        <f t="shared" si="26"/>
        <v>#DIV/0!</v>
      </c>
      <c r="N101" s="355" t="s">
        <v>102</v>
      </c>
      <c r="O101" s="355" t="s">
        <v>102</v>
      </c>
      <c r="P101" s="355" t="s">
        <v>102</v>
      </c>
      <c r="Q101" s="355" t="s">
        <v>102</v>
      </c>
      <c r="R101" s="301" t="e">
        <f t="shared" si="18"/>
        <v>#DIV/0!</v>
      </c>
      <c r="S101" s="301" t="e">
        <f t="shared" si="19"/>
        <v>#DIV/0!</v>
      </c>
      <c r="T101" s="301" t="e">
        <f t="shared" si="20"/>
        <v>#DIV/0!</v>
      </c>
      <c r="U101" s="301" t="s">
        <v>102</v>
      </c>
      <c r="V101" s="301" t="s">
        <v>102</v>
      </c>
      <c r="W101" s="301" t="s">
        <v>102</v>
      </c>
      <c r="X101" s="304" t="s">
        <v>102</v>
      </c>
    </row>
    <row r="102" spans="1:24" ht="17.25" thickBot="1">
      <c r="A102" s="322">
        <v>46121</v>
      </c>
      <c r="B102" s="290">
        <f t="shared" si="25"/>
        <v>0</v>
      </c>
      <c r="C102" s="379">
        <f t="shared" si="25"/>
        <v>0</v>
      </c>
      <c r="D102" s="475">
        <f t="shared" si="25"/>
        <v>0</v>
      </c>
      <c r="E102" s="372" t="e">
        <f t="shared" si="17"/>
        <v>#DIV/0!</v>
      </c>
      <c r="F102" s="323" t="e">
        <f t="shared" si="26"/>
        <v>#DIV/0!</v>
      </c>
      <c r="G102" s="324" t="e">
        <f t="shared" si="26"/>
        <v>#DIV/0!</v>
      </c>
      <c r="H102" s="324" t="e">
        <f t="shared" si="26"/>
        <v>#DIV/0!</v>
      </c>
      <c r="I102" s="324" t="e">
        <f t="shared" si="26"/>
        <v>#DIV/0!</v>
      </c>
      <c r="J102" s="324" t="e">
        <f t="shared" si="26"/>
        <v>#DIV/0!</v>
      </c>
      <c r="K102" s="324" t="e">
        <f t="shared" si="26"/>
        <v>#DIV/0!</v>
      </c>
      <c r="L102" s="324" t="e">
        <f t="shared" si="26"/>
        <v>#DIV/0!</v>
      </c>
      <c r="M102" s="324" t="e">
        <f t="shared" si="26"/>
        <v>#DIV/0!</v>
      </c>
      <c r="N102" s="324" t="s">
        <v>102</v>
      </c>
      <c r="O102" s="324" t="s">
        <v>102</v>
      </c>
      <c r="P102" s="324" t="s">
        <v>102</v>
      </c>
      <c r="Q102" s="324" t="s">
        <v>102</v>
      </c>
      <c r="R102" s="307" t="e">
        <f t="shared" si="18"/>
        <v>#DIV/0!</v>
      </c>
      <c r="S102" s="307" t="e">
        <f t="shared" si="19"/>
        <v>#DIV/0!</v>
      </c>
      <c r="T102" s="307" t="e">
        <f t="shared" si="20"/>
        <v>#DIV/0!</v>
      </c>
      <c r="U102" s="307" t="s">
        <v>102</v>
      </c>
      <c r="V102" s="307" t="s">
        <v>102</v>
      </c>
      <c r="W102" s="307" t="s">
        <v>102</v>
      </c>
      <c r="X102" s="309" t="s">
        <v>102</v>
      </c>
    </row>
    <row r="103" spans="1:24" ht="16.5">
      <c r="A103" s="473">
        <v>46122</v>
      </c>
      <c r="B103" s="278">
        <f t="shared" si="25"/>
        <v>0</v>
      </c>
      <c r="C103" s="465">
        <f t="shared" si="25"/>
        <v>0</v>
      </c>
      <c r="D103" s="470">
        <f t="shared" si="25"/>
        <v>0</v>
      </c>
      <c r="E103" s="282" t="e">
        <f t="shared" si="17"/>
        <v>#DIV/0!</v>
      </c>
      <c r="F103" s="354" t="e">
        <f t="shared" si="26"/>
        <v>#DIV/0!</v>
      </c>
      <c r="G103" s="355" t="e">
        <f t="shared" si="26"/>
        <v>#DIV/0!</v>
      </c>
      <c r="H103" s="355" t="e">
        <f t="shared" si="26"/>
        <v>#DIV/0!</v>
      </c>
      <c r="I103" s="355" t="e">
        <f t="shared" si="26"/>
        <v>#DIV/0!</v>
      </c>
      <c r="J103" s="355" t="e">
        <f t="shared" si="26"/>
        <v>#DIV/0!</v>
      </c>
      <c r="K103" s="355" t="e">
        <f t="shared" si="26"/>
        <v>#DIV/0!</v>
      </c>
      <c r="L103" s="355" t="e">
        <f t="shared" si="26"/>
        <v>#DIV/0!</v>
      </c>
      <c r="M103" s="355" t="e">
        <f t="shared" si="26"/>
        <v>#DIV/0!</v>
      </c>
      <c r="N103" s="355" t="s">
        <v>102</v>
      </c>
      <c r="O103" s="355" t="s">
        <v>102</v>
      </c>
      <c r="P103" s="355" t="s">
        <v>102</v>
      </c>
      <c r="Q103" s="355" t="s">
        <v>102</v>
      </c>
      <c r="R103" s="301" t="e">
        <f t="shared" si="18"/>
        <v>#DIV/0!</v>
      </c>
      <c r="S103" s="301" t="e">
        <f t="shared" si="19"/>
        <v>#DIV/0!</v>
      </c>
      <c r="T103" s="301" t="e">
        <f t="shared" si="20"/>
        <v>#DIV/0!</v>
      </c>
      <c r="U103" s="301" t="s">
        <v>102</v>
      </c>
      <c r="V103" s="301" t="s">
        <v>102</v>
      </c>
      <c r="W103" s="301" t="s">
        <v>102</v>
      </c>
      <c r="X103" s="304" t="s">
        <v>102</v>
      </c>
    </row>
    <row r="104" spans="1:24" ht="16.5">
      <c r="A104" s="312">
        <v>46123</v>
      </c>
      <c r="B104" s="290">
        <f t="shared" si="25"/>
        <v>0</v>
      </c>
      <c r="C104" s="379">
        <f t="shared" si="25"/>
        <v>0</v>
      </c>
      <c r="D104" s="475">
        <f t="shared" si="25"/>
        <v>0</v>
      </c>
      <c r="E104" s="372" t="e">
        <f t="shared" si="17"/>
        <v>#DIV/0!</v>
      </c>
      <c r="F104" s="354" t="e">
        <f t="shared" si="26"/>
        <v>#DIV/0!</v>
      </c>
      <c r="G104" s="355" t="e">
        <f t="shared" si="26"/>
        <v>#DIV/0!</v>
      </c>
      <c r="H104" s="355" t="e">
        <f t="shared" si="26"/>
        <v>#DIV/0!</v>
      </c>
      <c r="I104" s="355" t="e">
        <f t="shared" si="26"/>
        <v>#DIV/0!</v>
      </c>
      <c r="J104" s="355" t="e">
        <f t="shared" si="26"/>
        <v>#DIV/0!</v>
      </c>
      <c r="K104" s="355" t="e">
        <f t="shared" si="26"/>
        <v>#DIV/0!</v>
      </c>
      <c r="L104" s="355" t="e">
        <f t="shared" si="26"/>
        <v>#DIV/0!</v>
      </c>
      <c r="M104" s="355" t="e">
        <f t="shared" si="26"/>
        <v>#DIV/0!</v>
      </c>
      <c r="N104" s="355" t="s">
        <v>102</v>
      </c>
      <c r="O104" s="355" t="s">
        <v>102</v>
      </c>
      <c r="P104" s="355" t="s">
        <v>102</v>
      </c>
      <c r="Q104" s="355" t="s">
        <v>102</v>
      </c>
      <c r="R104" s="301" t="e">
        <f t="shared" si="18"/>
        <v>#DIV/0!</v>
      </c>
      <c r="S104" s="301" t="e">
        <f t="shared" si="19"/>
        <v>#DIV/0!</v>
      </c>
      <c r="T104" s="301" t="e">
        <f t="shared" si="20"/>
        <v>#DIV/0!</v>
      </c>
      <c r="U104" s="301" t="s">
        <v>102</v>
      </c>
      <c r="V104" s="301" t="s">
        <v>102</v>
      </c>
      <c r="W104" s="301" t="s">
        <v>102</v>
      </c>
      <c r="X104" s="304" t="s">
        <v>102</v>
      </c>
    </row>
    <row r="105" spans="1:24" ht="16.5">
      <c r="A105" s="312">
        <v>46124</v>
      </c>
      <c r="B105" s="290">
        <f t="shared" si="25"/>
        <v>0</v>
      </c>
      <c r="C105" s="379">
        <f t="shared" si="25"/>
        <v>0</v>
      </c>
      <c r="D105" s="475">
        <f t="shared" si="25"/>
        <v>0</v>
      </c>
      <c r="E105" s="372" t="e">
        <f t="shared" si="17"/>
        <v>#DIV/0!</v>
      </c>
      <c r="F105" s="354" t="e">
        <f t="shared" si="26"/>
        <v>#DIV/0!</v>
      </c>
      <c r="G105" s="355" t="e">
        <f t="shared" si="26"/>
        <v>#DIV/0!</v>
      </c>
      <c r="H105" s="355" t="e">
        <f t="shared" si="26"/>
        <v>#DIV/0!</v>
      </c>
      <c r="I105" s="355" t="e">
        <f t="shared" si="26"/>
        <v>#DIV/0!</v>
      </c>
      <c r="J105" s="355" t="e">
        <f t="shared" si="26"/>
        <v>#DIV/0!</v>
      </c>
      <c r="K105" s="355" t="e">
        <f t="shared" si="26"/>
        <v>#DIV/0!</v>
      </c>
      <c r="L105" s="355" t="e">
        <f t="shared" si="26"/>
        <v>#DIV/0!</v>
      </c>
      <c r="M105" s="355" t="e">
        <f t="shared" si="26"/>
        <v>#DIV/0!</v>
      </c>
      <c r="N105" s="355" t="s">
        <v>102</v>
      </c>
      <c r="O105" s="355" t="s">
        <v>102</v>
      </c>
      <c r="P105" s="355" t="s">
        <v>102</v>
      </c>
      <c r="Q105" s="355" t="s">
        <v>102</v>
      </c>
      <c r="R105" s="301" t="e">
        <f t="shared" si="18"/>
        <v>#DIV/0!</v>
      </c>
      <c r="S105" s="301" t="e">
        <f t="shared" si="19"/>
        <v>#DIV/0!</v>
      </c>
      <c r="T105" s="301" t="e">
        <f t="shared" si="20"/>
        <v>#DIV/0!</v>
      </c>
      <c r="U105" s="301" t="s">
        <v>102</v>
      </c>
      <c r="V105" s="301" t="s">
        <v>102</v>
      </c>
      <c r="W105" s="301" t="s">
        <v>102</v>
      </c>
      <c r="X105" s="304" t="s">
        <v>102</v>
      </c>
    </row>
    <row r="106" spans="1:24" ht="16.5">
      <c r="A106" s="271">
        <v>46125</v>
      </c>
      <c r="B106" s="290">
        <f t="shared" si="25"/>
        <v>0</v>
      </c>
      <c r="C106" s="379">
        <f t="shared" si="25"/>
        <v>0</v>
      </c>
      <c r="D106" s="475">
        <f t="shared" si="25"/>
        <v>0</v>
      </c>
      <c r="E106" s="372" t="e">
        <f t="shared" si="17"/>
        <v>#DIV/0!</v>
      </c>
      <c r="F106" s="354" t="e">
        <f t="shared" si="26"/>
        <v>#DIV/0!</v>
      </c>
      <c r="G106" s="355" t="e">
        <f t="shared" si="26"/>
        <v>#DIV/0!</v>
      </c>
      <c r="H106" s="355" t="e">
        <f t="shared" si="26"/>
        <v>#DIV/0!</v>
      </c>
      <c r="I106" s="355" t="e">
        <f t="shared" si="26"/>
        <v>#DIV/0!</v>
      </c>
      <c r="J106" s="355" t="e">
        <f t="shared" si="26"/>
        <v>#DIV/0!</v>
      </c>
      <c r="K106" s="355" t="e">
        <f t="shared" si="26"/>
        <v>#DIV/0!</v>
      </c>
      <c r="L106" s="355" t="e">
        <f t="shared" si="26"/>
        <v>#DIV/0!</v>
      </c>
      <c r="M106" s="355" t="e">
        <f t="shared" si="26"/>
        <v>#DIV/0!</v>
      </c>
      <c r="N106" s="355" t="s">
        <v>102</v>
      </c>
      <c r="O106" s="355" t="s">
        <v>102</v>
      </c>
      <c r="P106" s="355" t="s">
        <v>102</v>
      </c>
      <c r="Q106" s="355" t="s">
        <v>102</v>
      </c>
      <c r="R106" s="301" t="e">
        <f t="shared" si="18"/>
        <v>#DIV/0!</v>
      </c>
      <c r="S106" s="301" t="e">
        <f t="shared" si="19"/>
        <v>#DIV/0!</v>
      </c>
      <c r="T106" s="301" t="e">
        <f t="shared" si="20"/>
        <v>#DIV/0!</v>
      </c>
      <c r="U106" s="301" t="s">
        <v>102</v>
      </c>
      <c r="V106" s="301" t="s">
        <v>102</v>
      </c>
      <c r="W106" s="301" t="s">
        <v>102</v>
      </c>
      <c r="X106" s="304" t="s">
        <v>102</v>
      </c>
    </row>
    <row r="107" spans="1:24" ht="16.5">
      <c r="A107" s="271">
        <v>46126</v>
      </c>
      <c r="B107" s="290">
        <f t="shared" si="25"/>
        <v>0</v>
      </c>
      <c r="C107" s="379">
        <f t="shared" si="25"/>
        <v>0</v>
      </c>
      <c r="D107" s="475">
        <f t="shared" si="25"/>
        <v>0</v>
      </c>
      <c r="E107" s="372" t="e">
        <f t="shared" si="17"/>
        <v>#DIV/0!</v>
      </c>
      <c r="F107" s="354" t="e">
        <f t="shared" si="26"/>
        <v>#DIV/0!</v>
      </c>
      <c r="G107" s="355" t="e">
        <f t="shared" si="26"/>
        <v>#DIV/0!</v>
      </c>
      <c r="H107" s="355" t="e">
        <f t="shared" si="26"/>
        <v>#DIV/0!</v>
      </c>
      <c r="I107" s="355" t="e">
        <f t="shared" si="26"/>
        <v>#DIV/0!</v>
      </c>
      <c r="J107" s="355" t="e">
        <f t="shared" si="26"/>
        <v>#DIV/0!</v>
      </c>
      <c r="K107" s="355" t="e">
        <f t="shared" si="26"/>
        <v>#DIV/0!</v>
      </c>
      <c r="L107" s="355" t="e">
        <f t="shared" si="26"/>
        <v>#DIV/0!</v>
      </c>
      <c r="M107" s="355" t="e">
        <f t="shared" si="26"/>
        <v>#DIV/0!</v>
      </c>
      <c r="N107" s="355" t="s">
        <v>102</v>
      </c>
      <c r="O107" s="355" t="s">
        <v>102</v>
      </c>
      <c r="P107" s="355" t="s">
        <v>102</v>
      </c>
      <c r="Q107" s="355" t="s">
        <v>102</v>
      </c>
      <c r="R107" s="301" t="e">
        <f t="shared" si="18"/>
        <v>#DIV/0!</v>
      </c>
      <c r="S107" s="301" t="e">
        <f t="shared" si="19"/>
        <v>#DIV/0!</v>
      </c>
      <c r="T107" s="301" t="e">
        <f t="shared" si="20"/>
        <v>#DIV/0!</v>
      </c>
      <c r="U107" s="301" t="s">
        <v>102</v>
      </c>
      <c r="V107" s="301" t="s">
        <v>102</v>
      </c>
      <c r="W107" s="301" t="s">
        <v>102</v>
      </c>
      <c r="X107" s="304" t="s">
        <v>102</v>
      </c>
    </row>
    <row r="108" spans="1:24" ht="16.5">
      <c r="A108" s="271">
        <v>46127</v>
      </c>
      <c r="B108" s="290">
        <f t="shared" si="25"/>
        <v>0</v>
      </c>
      <c r="C108" s="379">
        <f t="shared" si="25"/>
        <v>0</v>
      </c>
      <c r="D108" s="475">
        <f t="shared" si="25"/>
        <v>0</v>
      </c>
      <c r="E108" s="372" t="e">
        <f t="shared" si="17"/>
        <v>#DIV/0!</v>
      </c>
      <c r="F108" s="354" t="e">
        <f t="shared" si="26"/>
        <v>#DIV/0!</v>
      </c>
      <c r="G108" s="355" t="e">
        <f t="shared" si="26"/>
        <v>#DIV/0!</v>
      </c>
      <c r="H108" s="355" t="e">
        <f t="shared" si="26"/>
        <v>#DIV/0!</v>
      </c>
      <c r="I108" s="355" t="e">
        <f t="shared" si="26"/>
        <v>#DIV/0!</v>
      </c>
      <c r="J108" s="355" t="e">
        <f t="shared" si="26"/>
        <v>#DIV/0!</v>
      </c>
      <c r="K108" s="355" t="e">
        <f t="shared" si="26"/>
        <v>#DIV/0!</v>
      </c>
      <c r="L108" s="355" t="e">
        <f t="shared" si="26"/>
        <v>#DIV/0!</v>
      </c>
      <c r="M108" s="355" t="s">
        <v>102</v>
      </c>
      <c r="N108" s="355" t="s">
        <v>102</v>
      </c>
      <c r="O108" s="355" t="s">
        <v>102</v>
      </c>
      <c r="P108" s="355" t="s">
        <v>102</v>
      </c>
      <c r="Q108" s="355" t="s">
        <v>102</v>
      </c>
      <c r="R108" s="301" t="e">
        <f t="shared" si="18"/>
        <v>#DIV/0!</v>
      </c>
      <c r="S108" s="301" t="e">
        <f t="shared" si="19"/>
        <v>#DIV/0!</v>
      </c>
      <c r="T108" s="301" t="s">
        <v>102</v>
      </c>
      <c r="U108" s="301" t="s">
        <v>102</v>
      </c>
      <c r="V108" s="301" t="s">
        <v>102</v>
      </c>
      <c r="W108" s="301" t="s">
        <v>102</v>
      </c>
      <c r="X108" s="304" t="s">
        <v>102</v>
      </c>
    </row>
    <row r="109" spans="1:24" ht="16.5">
      <c r="A109" s="254">
        <v>46128</v>
      </c>
      <c r="B109" s="290">
        <f t="shared" si="25"/>
        <v>0</v>
      </c>
      <c r="C109" s="379">
        <f t="shared" si="25"/>
        <v>0</v>
      </c>
      <c r="D109" s="475">
        <f t="shared" si="25"/>
        <v>0</v>
      </c>
      <c r="E109" s="372" t="e">
        <f t="shared" si="17"/>
        <v>#DIV/0!</v>
      </c>
      <c r="F109" s="354" t="e">
        <f t="shared" si="26"/>
        <v>#DIV/0!</v>
      </c>
      <c r="G109" s="355" t="e">
        <f t="shared" si="26"/>
        <v>#DIV/0!</v>
      </c>
      <c r="H109" s="355" t="e">
        <f t="shared" si="26"/>
        <v>#DIV/0!</v>
      </c>
      <c r="I109" s="355" t="e">
        <f t="shared" si="26"/>
        <v>#DIV/0!</v>
      </c>
      <c r="J109" s="355" t="e">
        <f t="shared" si="26"/>
        <v>#DIV/0!</v>
      </c>
      <c r="K109" s="355" t="e">
        <f t="shared" si="26"/>
        <v>#DIV/0!</v>
      </c>
      <c r="L109" s="355" t="e">
        <f t="shared" si="26"/>
        <v>#DIV/0!</v>
      </c>
      <c r="M109" s="355" t="s">
        <v>102</v>
      </c>
      <c r="N109" s="355" t="s">
        <v>102</v>
      </c>
      <c r="O109" s="355" t="s">
        <v>102</v>
      </c>
      <c r="P109" s="355" t="s">
        <v>102</v>
      </c>
      <c r="Q109" s="355" t="s">
        <v>102</v>
      </c>
      <c r="R109" s="301" t="e">
        <f t="shared" si="18"/>
        <v>#DIV/0!</v>
      </c>
      <c r="S109" s="301" t="e">
        <f t="shared" si="19"/>
        <v>#DIV/0!</v>
      </c>
      <c r="T109" s="301" t="s">
        <v>102</v>
      </c>
      <c r="U109" s="301" t="s">
        <v>102</v>
      </c>
      <c r="V109" s="301" t="s">
        <v>102</v>
      </c>
      <c r="W109" s="301" t="s">
        <v>102</v>
      </c>
      <c r="X109" s="304" t="s">
        <v>102</v>
      </c>
    </row>
    <row r="110" spans="1:24" ht="16.5">
      <c r="A110" s="271">
        <v>46129</v>
      </c>
      <c r="B110" s="290">
        <f t="shared" si="25"/>
        <v>0</v>
      </c>
      <c r="C110" s="379">
        <f t="shared" si="25"/>
        <v>0</v>
      </c>
      <c r="D110" s="475">
        <f t="shared" si="25"/>
        <v>0</v>
      </c>
      <c r="E110" s="372" t="e">
        <f t="shared" si="17"/>
        <v>#DIV/0!</v>
      </c>
      <c r="F110" s="354" t="e">
        <f t="shared" si="26"/>
        <v>#DIV/0!</v>
      </c>
      <c r="G110" s="355" t="e">
        <f t="shared" si="26"/>
        <v>#DIV/0!</v>
      </c>
      <c r="H110" s="355" t="e">
        <f t="shared" si="26"/>
        <v>#DIV/0!</v>
      </c>
      <c r="I110" s="355" t="e">
        <f t="shared" si="26"/>
        <v>#DIV/0!</v>
      </c>
      <c r="J110" s="355" t="e">
        <f t="shared" si="26"/>
        <v>#DIV/0!</v>
      </c>
      <c r="K110" s="355" t="e">
        <f t="shared" si="26"/>
        <v>#DIV/0!</v>
      </c>
      <c r="L110" s="355" t="e">
        <f t="shared" si="26"/>
        <v>#DIV/0!</v>
      </c>
      <c r="M110" s="355" t="s">
        <v>102</v>
      </c>
      <c r="N110" s="355" t="s">
        <v>102</v>
      </c>
      <c r="O110" s="355" t="s">
        <v>102</v>
      </c>
      <c r="P110" s="355" t="s">
        <v>102</v>
      </c>
      <c r="Q110" s="355" t="s">
        <v>102</v>
      </c>
      <c r="R110" s="301" t="e">
        <f t="shared" si="18"/>
        <v>#DIV/0!</v>
      </c>
      <c r="S110" s="301" t="e">
        <f t="shared" si="19"/>
        <v>#DIV/0!</v>
      </c>
      <c r="T110" s="301" t="s">
        <v>102</v>
      </c>
      <c r="U110" s="301" t="s">
        <v>102</v>
      </c>
      <c r="V110" s="301" t="s">
        <v>102</v>
      </c>
      <c r="W110" s="301" t="s">
        <v>102</v>
      </c>
      <c r="X110" s="304" t="s">
        <v>102</v>
      </c>
    </row>
    <row r="111" spans="1:24" ht="16.5">
      <c r="A111" s="271">
        <v>46130</v>
      </c>
      <c r="B111" s="290">
        <f t="shared" si="25"/>
        <v>0</v>
      </c>
      <c r="C111" s="379">
        <f t="shared" si="25"/>
        <v>0</v>
      </c>
      <c r="D111" s="475">
        <f t="shared" si="25"/>
        <v>0</v>
      </c>
      <c r="E111" s="372" t="e">
        <f t="shared" si="17"/>
        <v>#DIV/0!</v>
      </c>
      <c r="F111" s="354" t="e">
        <f t="shared" si="26"/>
        <v>#DIV/0!</v>
      </c>
      <c r="G111" s="355" t="e">
        <f t="shared" si="26"/>
        <v>#DIV/0!</v>
      </c>
      <c r="H111" s="355" t="e">
        <f t="shared" si="26"/>
        <v>#DIV/0!</v>
      </c>
      <c r="I111" s="355" t="e">
        <f t="shared" si="26"/>
        <v>#DIV/0!</v>
      </c>
      <c r="J111" s="355" t="e">
        <f t="shared" si="26"/>
        <v>#DIV/0!</v>
      </c>
      <c r="K111" s="355" t="e">
        <f t="shared" si="26"/>
        <v>#DIV/0!</v>
      </c>
      <c r="L111" s="355" t="e">
        <f t="shared" si="26"/>
        <v>#DIV/0!</v>
      </c>
      <c r="M111" s="355" t="s">
        <v>102</v>
      </c>
      <c r="N111" s="355" t="s">
        <v>102</v>
      </c>
      <c r="O111" s="355" t="s">
        <v>102</v>
      </c>
      <c r="P111" s="355" t="s">
        <v>102</v>
      </c>
      <c r="Q111" s="355" t="s">
        <v>102</v>
      </c>
      <c r="R111" s="301" t="e">
        <f t="shared" si="18"/>
        <v>#DIV/0!</v>
      </c>
      <c r="S111" s="301" t="e">
        <f t="shared" si="19"/>
        <v>#DIV/0!</v>
      </c>
      <c r="T111" s="301" t="s">
        <v>102</v>
      </c>
      <c r="U111" s="301" t="s">
        <v>102</v>
      </c>
      <c r="V111" s="301" t="s">
        <v>102</v>
      </c>
      <c r="W111" s="301" t="s">
        <v>102</v>
      </c>
      <c r="X111" s="304" t="s">
        <v>102</v>
      </c>
    </row>
    <row r="112" spans="1:24" ht="16.5">
      <c r="A112" s="254">
        <v>46131</v>
      </c>
      <c r="B112" s="290">
        <f t="shared" si="25"/>
        <v>0</v>
      </c>
      <c r="C112" s="379">
        <f t="shared" si="25"/>
        <v>0</v>
      </c>
      <c r="D112" s="475">
        <f t="shared" si="25"/>
        <v>0</v>
      </c>
      <c r="E112" s="372" t="e">
        <f t="shared" si="17"/>
        <v>#DIV/0!</v>
      </c>
      <c r="F112" s="354" t="e">
        <f t="shared" si="26"/>
        <v>#DIV/0!</v>
      </c>
      <c r="G112" s="355" t="e">
        <f t="shared" si="26"/>
        <v>#DIV/0!</v>
      </c>
      <c r="H112" s="355" t="e">
        <f t="shared" si="26"/>
        <v>#DIV/0!</v>
      </c>
      <c r="I112" s="355" t="e">
        <f t="shared" si="26"/>
        <v>#DIV/0!</v>
      </c>
      <c r="J112" s="355" t="e">
        <f t="shared" si="26"/>
        <v>#DIV/0!</v>
      </c>
      <c r="K112" s="355" t="e">
        <f t="shared" si="26"/>
        <v>#DIV/0!</v>
      </c>
      <c r="L112" s="355" t="e">
        <f t="shared" si="26"/>
        <v>#DIV/0!</v>
      </c>
      <c r="M112" s="355" t="s">
        <v>102</v>
      </c>
      <c r="N112" s="355" t="s">
        <v>102</v>
      </c>
      <c r="O112" s="355" t="s">
        <v>102</v>
      </c>
      <c r="P112" s="355" t="s">
        <v>102</v>
      </c>
      <c r="Q112" s="355" t="s">
        <v>102</v>
      </c>
      <c r="R112" s="301" t="e">
        <f t="shared" si="18"/>
        <v>#DIV/0!</v>
      </c>
      <c r="S112" s="301" t="e">
        <f t="shared" si="19"/>
        <v>#DIV/0!</v>
      </c>
      <c r="T112" s="301" t="s">
        <v>102</v>
      </c>
      <c r="U112" s="301" t="s">
        <v>102</v>
      </c>
      <c r="V112" s="301" t="s">
        <v>102</v>
      </c>
      <c r="W112" s="301" t="s">
        <v>102</v>
      </c>
      <c r="X112" s="304" t="s">
        <v>102</v>
      </c>
    </row>
    <row r="113" spans="1:24" ht="16.5">
      <c r="A113" s="254">
        <v>46132</v>
      </c>
      <c r="B113" s="290">
        <f t="shared" si="25"/>
        <v>0</v>
      </c>
      <c r="C113" s="379">
        <f t="shared" si="25"/>
        <v>0</v>
      </c>
      <c r="D113" s="475">
        <f t="shared" si="25"/>
        <v>0</v>
      </c>
      <c r="E113" s="372" t="e">
        <f t="shared" si="17"/>
        <v>#DIV/0!</v>
      </c>
      <c r="F113" s="354" t="e">
        <f t="shared" si="26"/>
        <v>#DIV/0!</v>
      </c>
      <c r="G113" s="355" t="e">
        <f t="shared" si="26"/>
        <v>#DIV/0!</v>
      </c>
      <c r="H113" s="355" t="e">
        <f t="shared" si="26"/>
        <v>#DIV/0!</v>
      </c>
      <c r="I113" s="355" t="e">
        <f t="shared" si="26"/>
        <v>#DIV/0!</v>
      </c>
      <c r="J113" s="355" t="e">
        <f t="shared" si="26"/>
        <v>#DIV/0!</v>
      </c>
      <c r="K113" s="355" t="e">
        <f t="shared" si="26"/>
        <v>#DIV/0!</v>
      </c>
      <c r="L113" s="355" t="e">
        <f t="shared" si="26"/>
        <v>#DIV/0!</v>
      </c>
      <c r="M113" s="355" t="s">
        <v>102</v>
      </c>
      <c r="N113" s="355" t="s">
        <v>102</v>
      </c>
      <c r="O113" s="355" t="s">
        <v>102</v>
      </c>
      <c r="P113" s="355" t="s">
        <v>102</v>
      </c>
      <c r="Q113" s="355" t="s">
        <v>102</v>
      </c>
      <c r="R113" s="301" t="e">
        <f t="shared" si="18"/>
        <v>#DIV/0!</v>
      </c>
      <c r="S113" s="301" t="e">
        <f t="shared" si="19"/>
        <v>#DIV/0!</v>
      </c>
      <c r="T113" s="301" t="s">
        <v>102</v>
      </c>
      <c r="U113" s="301" t="s">
        <v>102</v>
      </c>
      <c r="V113" s="301" t="s">
        <v>102</v>
      </c>
      <c r="W113" s="301" t="s">
        <v>102</v>
      </c>
      <c r="X113" s="304" t="s">
        <v>102</v>
      </c>
    </row>
    <row r="114" spans="1:24" ht="16.5">
      <c r="A114" s="271">
        <v>46133</v>
      </c>
      <c r="B114" s="290">
        <f t="shared" si="25"/>
        <v>0</v>
      </c>
      <c r="C114" s="379">
        <f t="shared" si="25"/>
        <v>0</v>
      </c>
      <c r="D114" s="475">
        <f t="shared" si="25"/>
        <v>0</v>
      </c>
      <c r="E114" s="372" t="e">
        <f t="shared" si="17"/>
        <v>#DIV/0!</v>
      </c>
      <c r="F114" s="354" t="e">
        <f t="shared" si="26"/>
        <v>#DIV/0!</v>
      </c>
      <c r="G114" s="355" t="e">
        <f t="shared" si="26"/>
        <v>#DIV/0!</v>
      </c>
      <c r="H114" s="355" t="e">
        <f t="shared" si="26"/>
        <v>#DIV/0!</v>
      </c>
      <c r="I114" s="355" t="e">
        <f t="shared" si="26"/>
        <v>#DIV/0!</v>
      </c>
      <c r="J114" s="355" t="e">
        <f t="shared" si="26"/>
        <v>#DIV/0!</v>
      </c>
      <c r="K114" s="355" t="e">
        <f t="shared" si="26"/>
        <v>#DIV/0!</v>
      </c>
      <c r="L114" s="355" t="e">
        <f t="shared" si="26"/>
        <v>#DIV/0!</v>
      </c>
      <c r="M114" s="355" t="s">
        <v>102</v>
      </c>
      <c r="N114" s="355" t="s">
        <v>102</v>
      </c>
      <c r="O114" s="355" t="s">
        <v>102</v>
      </c>
      <c r="P114" s="355" t="s">
        <v>102</v>
      </c>
      <c r="Q114" s="355" t="s">
        <v>102</v>
      </c>
      <c r="R114" s="301" t="e">
        <f t="shared" si="18"/>
        <v>#DIV/0!</v>
      </c>
      <c r="S114" s="301" t="e">
        <f t="shared" si="19"/>
        <v>#DIV/0!</v>
      </c>
      <c r="T114" s="301" t="s">
        <v>102</v>
      </c>
      <c r="U114" s="301" t="s">
        <v>102</v>
      </c>
      <c r="V114" s="301" t="s">
        <v>102</v>
      </c>
      <c r="W114" s="301" t="s">
        <v>102</v>
      </c>
      <c r="X114" s="304" t="s">
        <v>102</v>
      </c>
    </row>
    <row r="115" spans="1:24" ht="16.5">
      <c r="A115" s="271">
        <v>46134</v>
      </c>
      <c r="B115" s="290">
        <f t="shared" si="25"/>
        <v>0</v>
      </c>
      <c r="C115" s="379">
        <f t="shared" si="25"/>
        <v>0</v>
      </c>
      <c r="D115" s="475">
        <f t="shared" si="25"/>
        <v>0</v>
      </c>
      <c r="E115" s="372" t="e">
        <f t="shared" si="17"/>
        <v>#DIV/0!</v>
      </c>
      <c r="F115" s="354" t="e">
        <f t="shared" si="26"/>
        <v>#DIV/0!</v>
      </c>
      <c r="G115" s="355" t="e">
        <f t="shared" si="26"/>
        <v>#DIV/0!</v>
      </c>
      <c r="H115" s="355" t="e">
        <f t="shared" si="26"/>
        <v>#DIV/0!</v>
      </c>
      <c r="I115" s="355" t="e">
        <f t="shared" si="26"/>
        <v>#DIV/0!</v>
      </c>
      <c r="J115" s="355" t="e">
        <f t="shared" si="26"/>
        <v>#DIV/0!</v>
      </c>
      <c r="K115" s="355" t="e">
        <f t="shared" si="26"/>
        <v>#DIV/0!</v>
      </c>
      <c r="L115" s="355" t="s">
        <v>102</v>
      </c>
      <c r="M115" s="355" t="s">
        <v>102</v>
      </c>
      <c r="N115" s="355" t="s">
        <v>102</v>
      </c>
      <c r="O115" s="355" t="s">
        <v>102</v>
      </c>
      <c r="P115" s="355" t="s">
        <v>102</v>
      </c>
      <c r="Q115" s="355" t="s">
        <v>102</v>
      </c>
      <c r="R115" s="301" t="e">
        <f t="shared" si="18"/>
        <v>#DIV/0!</v>
      </c>
      <c r="S115" s="301" t="s">
        <v>102</v>
      </c>
      <c r="T115" s="301" t="s">
        <v>102</v>
      </c>
      <c r="U115" s="301" t="s">
        <v>102</v>
      </c>
      <c r="V115" s="301" t="s">
        <v>102</v>
      </c>
      <c r="W115" s="301" t="s">
        <v>102</v>
      </c>
      <c r="X115" s="304" t="s">
        <v>102</v>
      </c>
    </row>
    <row r="116" spans="1:24" ht="16.5">
      <c r="A116" s="271">
        <v>46135</v>
      </c>
      <c r="B116" s="290">
        <f t="shared" si="25"/>
        <v>0</v>
      </c>
      <c r="C116" s="379">
        <f t="shared" si="25"/>
        <v>0</v>
      </c>
      <c r="D116" s="475">
        <f t="shared" si="25"/>
        <v>0</v>
      </c>
      <c r="E116" s="372" t="e">
        <f t="shared" si="17"/>
        <v>#DIV/0!</v>
      </c>
      <c r="F116" s="354" t="e">
        <f>(AF116*$AC116+BF116*$BC116)/$C116</f>
        <v>#DIV/0!</v>
      </c>
      <c r="G116" s="355" t="e">
        <f>(AG116*$AC116+BG116*$BC116)/$C116</f>
        <v>#DIV/0!</v>
      </c>
      <c r="H116" s="355" t="e">
        <f>(AH116*$AC116+BH116*$BC116)/$C116</f>
        <v>#DIV/0!</v>
      </c>
      <c r="I116" s="355" t="e">
        <f>(AI116*$AC116+BI116*$BC116)/$C116</f>
        <v>#DIV/0!</v>
      </c>
      <c r="J116" s="355" t="e">
        <f>(AJ116*$AC116+BJ116*$BC116)/$C116</f>
        <v>#DIV/0!</v>
      </c>
      <c r="K116" s="355" t="s">
        <v>102</v>
      </c>
      <c r="L116" s="355" t="s">
        <v>102</v>
      </c>
      <c r="M116" s="355" t="s">
        <v>102</v>
      </c>
      <c r="N116" s="355" t="s">
        <v>102</v>
      </c>
      <c r="O116" s="355" t="s">
        <v>102</v>
      </c>
      <c r="P116" s="355" t="s">
        <v>102</v>
      </c>
      <c r="Q116" s="355" t="s">
        <v>102</v>
      </c>
      <c r="R116" s="301" t="e">
        <f t="shared" si="18"/>
        <v>#DIV/0!</v>
      </c>
      <c r="S116" s="301" t="s">
        <v>102</v>
      </c>
      <c r="T116" s="301" t="s">
        <v>102</v>
      </c>
      <c r="U116" s="301" t="s">
        <v>102</v>
      </c>
      <c r="V116" s="301" t="s">
        <v>102</v>
      </c>
      <c r="W116" s="301" t="s">
        <v>102</v>
      </c>
      <c r="X116" s="304" t="s">
        <v>102</v>
      </c>
    </row>
    <row r="117" spans="1:24" ht="16.5">
      <c r="A117" s="312">
        <v>46136</v>
      </c>
      <c r="B117" s="290">
        <f t="shared" si="25"/>
        <v>0</v>
      </c>
      <c r="C117" s="379">
        <f t="shared" si="25"/>
        <v>0</v>
      </c>
      <c r="D117" s="475">
        <f t="shared" si="25"/>
        <v>0</v>
      </c>
      <c r="E117" s="372" t="e">
        <f t="shared" si="17"/>
        <v>#DIV/0!</v>
      </c>
      <c r="F117" s="354" t="e">
        <f>(AF117*$AC117+BF117*$BC117)/$C117</f>
        <v>#DIV/0!</v>
      </c>
      <c r="G117" s="355" t="e">
        <f>(AG117*$AC117+BG117*$BC117)/$C117</f>
        <v>#DIV/0!</v>
      </c>
      <c r="H117" s="355" t="e">
        <f>(AH117*$AC117+BH117*$BC117)/$C117</f>
        <v>#DIV/0!</v>
      </c>
      <c r="I117" s="355" t="e">
        <f>(AI117*$AC117+BI117*$BC117)/$C117</f>
        <v>#DIV/0!</v>
      </c>
      <c r="J117" s="355" t="s">
        <v>102</v>
      </c>
      <c r="K117" s="355" t="s">
        <v>102</v>
      </c>
      <c r="L117" s="355" t="s">
        <v>102</v>
      </c>
      <c r="M117" s="355" t="s">
        <v>102</v>
      </c>
      <c r="N117" s="355" t="s">
        <v>102</v>
      </c>
      <c r="O117" s="355" t="s">
        <v>102</v>
      </c>
      <c r="P117" s="355" t="s">
        <v>102</v>
      </c>
      <c r="Q117" s="355" t="s">
        <v>102</v>
      </c>
      <c r="R117" s="301" t="e">
        <f t="shared" si="18"/>
        <v>#DIV/0!</v>
      </c>
      <c r="S117" s="301" t="s">
        <v>102</v>
      </c>
      <c r="T117" s="301" t="s">
        <v>102</v>
      </c>
      <c r="U117" s="301" t="s">
        <v>102</v>
      </c>
      <c r="V117" s="301" t="s">
        <v>102</v>
      </c>
      <c r="W117" s="301" t="s">
        <v>102</v>
      </c>
      <c r="X117" s="304" t="s">
        <v>102</v>
      </c>
    </row>
    <row r="118" spans="1:24" ht="16.5">
      <c r="A118" s="312">
        <v>46137</v>
      </c>
      <c r="B118" s="290">
        <f t="shared" si="25"/>
        <v>0</v>
      </c>
      <c r="C118" s="379">
        <f t="shared" si="25"/>
        <v>0</v>
      </c>
      <c r="D118" s="475">
        <f t="shared" si="25"/>
        <v>0</v>
      </c>
      <c r="E118" s="372" t="e">
        <f t="shared" si="17"/>
        <v>#DIV/0!</v>
      </c>
      <c r="F118" s="354" t="e">
        <f>(AF118*$AC118+BF118*$BC118)/$C118</f>
        <v>#DIV/0!</v>
      </c>
      <c r="G118" s="355" t="e">
        <f>(AG118*$AC118+BG118*$BC118)/$C118</f>
        <v>#DIV/0!</v>
      </c>
      <c r="H118" s="355" t="e">
        <f>(AH118*$AC118+BH118*$BC118)/$C118</f>
        <v>#DIV/0!</v>
      </c>
      <c r="I118" s="355" t="s">
        <v>102</v>
      </c>
      <c r="J118" s="355" t="s">
        <v>102</v>
      </c>
      <c r="K118" s="355" t="s">
        <v>102</v>
      </c>
      <c r="L118" s="355" t="s">
        <v>102</v>
      </c>
      <c r="M118" s="355" t="s">
        <v>102</v>
      </c>
      <c r="N118" s="355" t="s">
        <v>102</v>
      </c>
      <c r="O118" s="355" t="s">
        <v>102</v>
      </c>
      <c r="P118" s="355" t="s">
        <v>102</v>
      </c>
      <c r="Q118" s="355" t="s">
        <v>102</v>
      </c>
      <c r="R118" s="301" t="e">
        <f t="shared" si="18"/>
        <v>#DIV/0!</v>
      </c>
      <c r="S118" s="301" t="s">
        <v>102</v>
      </c>
      <c r="T118" s="301" t="s">
        <v>102</v>
      </c>
      <c r="U118" s="301" t="s">
        <v>102</v>
      </c>
      <c r="V118" s="301" t="s">
        <v>102</v>
      </c>
      <c r="W118" s="301" t="s">
        <v>102</v>
      </c>
      <c r="X118" s="304" t="s">
        <v>102</v>
      </c>
    </row>
    <row r="119" spans="1:24" ht="17.25" thickBot="1">
      <c r="A119" s="469">
        <v>46138</v>
      </c>
      <c r="B119" s="295">
        <f t="shared" si="25"/>
        <v>0</v>
      </c>
      <c r="C119" s="466">
        <f t="shared" si="25"/>
        <v>0</v>
      </c>
      <c r="D119" s="472">
        <f t="shared" si="25"/>
        <v>0</v>
      </c>
      <c r="E119" s="316" t="e">
        <f t="shared" si="17"/>
        <v>#DIV/0!</v>
      </c>
      <c r="F119" s="323" t="e">
        <f>(AF119*$AC119+BF119*$BC119)/$C119</f>
        <v>#DIV/0!</v>
      </c>
      <c r="G119" s="324" t="e">
        <f>(AG119*$AC119+BG119*$BC119)/$C119</f>
        <v>#DIV/0!</v>
      </c>
      <c r="H119" s="324" t="s">
        <v>102</v>
      </c>
      <c r="I119" s="324" t="s">
        <v>102</v>
      </c>
      <c r="J119" s="324" t="s">
        <v>102</v>
      </c>
      <c r="K119" s="324" t="s">
        <v>102</v>
      </c>
      <c r="L119" s="324" t="s">
        <v>102</v>
      </c>
      <c r="M119" s="324" t="s">
        <v>102</v>
      </c>
      <c r="N119" s="324" t="s">
        <v>102</v>
      </c>
      <c r="O119" s="324" t="s">
        <v>102</v>
      </c>
      <c r="P119" s="324" t="s">
        <v>102</v>
      </c>
      <c r="Q119" s="324" t="s">
        <v>102</v>
      </c>
      <c r="R119" s="307" t="s">
        <v>102</v>
      </c>
      <c r="S119" s="307" t="s">
        <v>102</v>
      </c>
      <c r="T119" s="307" t="s">
        <v>102</v>
      </c>
      <c r="U119" s="307" t="s">
        <v>102</v>
      </c>
      <c r="V119" s="307" t="s">
        <v>102</v>
      </c>
      <c r="W119" s="307" t="s">
        <v>102</v>
      </c>
      <c r="X119" s="309" t="s">
        <v>102</v>
      </c>
    </row>
    <row r="120" spans="1:24" ht="33.75" thickBot="1">
      <c r="A120" s="460" t="s">
        <v>35</v>
      </c>
      <c r="B120" s="461">
        <f>SUM(B2:B119)</f>
        <v>0</v>
      </c>
      <c r="C120" s="462">
        <f>SUM(C2:C119)</f>
        <v>0</v>
      </c>
      <c r="D120" s="468">
        <f>SUM(D2:D119)</f>
        <v>0</v>
      </c>
      <c r="E120" s="185" t="e">
        <f t="shared" si="17"/>
        <v>#DIV/0!</v>
      </c>
      <c r="F120" s="463" t="e">
        <f>(AF120*$AC120+BF120*$BC120)/$C120</f>
        <v>#DIV/0!</v>
      </c>
      <c r="G120" s="464" t="e">
        <f>(AG120*$AC120+BG120*$BC120)/$C120</f>
        <v>#DIV/0!</v>
      </c>
      <c r="H120" s="464" t="e">
        <f t="shared" ref="H120:Q120" si="27">(AH120*$AC120+BH120*$BC120)/$C120</f>
        <v>#DIV/0!</v>
      </c>
      <c r="I120" s="464" t="e">
        <f t="shared" si="27"/>
        <v>#DIV/0!</v>
      </c>
      <c r="J120" s="464" t="e">
        <f t="shared" si="27"/>
        <v>#DIV/0!</v>
      </c>
      <c r="K120" s="464" t="e">
        <f t="shared" si="27"/>
        <v>#DIV/0!</v>
      </c>
      <c r="L120" s="464" t="e">
        <f t="shared" si="27"/>
        <v>#DIV/0!</v>
      </c>
      <c r="M120" s="464" t="e">
        <f t="shared" si="27"/>
        <v>#DIV/0!</v>
      </c>
      <c r="N120" s="464" t="e">
        <f t="shared" si="27"/>
        <v>#DIV/0!</v>
      </c>
      <c r="O120" s="464" t="e">
        <f t="shared" si="27"/>
        <v>#DIV/0!</v>
      </c>
      <c r="P120" s="464" t="e">
        <f t="shared" si="27"/>
        <v>#DIV/0!</v>
      </c>
      <c r="Q120" s="464" t="e">
        <f t="shared" si="27"/>
        <v>#DIV/0!</v>
      </c>
      <c r="R120" s="187" t="e">
        <f>H120/F120</f>
        <v>#DIV/0!</v>
      </c>
      <c r="S120" s="187" t="e">
        <f>L120/F120</f>
        <v>#DIV/0!</v>
      </c>
      <c r="T120" s="187" t="e">
        <f>M120/F120</f>
        <v>#DIV/0!</v>
      </c>
      <c r="U120" s="187" t="e">
        <f>N120/F120</f>
        <v>#DIV/0!</v>
      </c>
      <c r="V120" s="187" t="e">
        <f>O120/F120</f>
        <v>#DIV/0!</v>
      </c>
      <c r="W120" s="187" t="e">
        <f>P120/F120</f>
        <v>#DIV/0!</v>
      </c>
      <c r="X120" s="206" t="e">
        <f>Q120/$AG120</f>
        <v>#DIV/0!</v>
      </c>
    </row>
    <row r="121" spans="1:24" ht="16.5">
      <c r="A121" s="405" t="s">
        <v>36</v>
      </c>
      <c r="B121" s="238">
        <f>SUM(B2:B3)</f>
        <v>0</v>
      </c>
      <c r="C121" s="243">
        <f>SUM(C2:C3)</f>
        <v>0</v>
      </c>
      <c r="D121" s="238">
        <f>SUM(D2:D3)</f>
        <v>0</v>
      </c>
      <c r="E121" s="115" t="e">
        <f t="shared" si="17"/>
        <v>#DIV/0!</v>
      </c>
      <c r="F121" s="500"/>
      <c r="G121" s="500"/>
      <c r="H121" s="500"/>
      <c r="I121" s="500"/>
      <c r="J121" s="500"/>
      <c r="K121" s="500"/>
      <c r="L121" s="500"/>
      <c r="M121" s="500"/>
      <c r="N121" s="500"/>
      <c r="O121" s="500"/>
      <c r="P121" s="500"/>
      <c r="Q121" s="500"/>
      <c r="R121" s="500"/>
      <c r="S121" s="500"/>
      <c r="T121" s="500"/>
      <c r="U121" s="500"/>
      <c r="V121" s="500"/>
      <c r="W121" s="500"/>
      <c r="X121" s="500"/>
    </row>
    <row r="122" spans="1:24" ht="16.5">
      <c r="A122" s="405" t="s">
        <v>37</v>
      </c>
      <c r="B122" s="238">
        <f>SUM(B4:B34)</f>
        <v>0</v>
      </c>
      <c r="C122" s="243">
        <f>SUM(C4:C34)</f>
        <v>0</v>
      </c>
      <c r="D122" s="238">
        <f>SUM(D4:D34)</f>
        <v>0</v>
      </c>
      <c r="E122" s="115" t="e">
        <f t="shared" si="17"/>
        <v>#DIV/0!</v>
      </c>
      <c r="F122" s="500"/>
      <c r="G122" s="500"/>
      <c r="H122" s="500"/>
      <c r="I122" s="500"/>
      <c r="J122" s="500"/>
      <c r="K122" s="500"/>
      <c r="L122" s="500"/>
      <c r="M122" s="500"/>
      <c r="N122" s="500"/>
      <c r="O122" s="500"/>
      <c r="P122" s="500"/>
      <c r="Q122" s="500"/>
      <c r="R122" s="500"/>
      <c r="S122" s="500"/>
      <c r="T122" s="500"/>
      <c r="U122" s="500"/>
      <c r="V122" s="500"/>
      <c r="W122" s="500"/>
      <c r="X122" s="500"/>
    </row>
    <row r="123" spans="1:24" ht="16.5">
      <c r="A123" s="405" t="s">
        <v>38</v>
      </c>
      <c r="B123" s="238">
        <f>SUM(B35:B62)</f>
        <v>0</v>
      </c>
      <c r="C123" s="243">
        <f>SUM(C35:C62)</f>
        <v>0</v>
      </c>
      <c r="D123" s="238">
        <f>SUM(D35:D62)</f>
        <v>0</v>
      </c>
      <c r="E123" s="115" t="e">
        <f t="shared" si="17"/>
        <v>#DIV/0!</v>
      </c>
      <c r="F123" s="500"/>
      <c r="G123" s="500"/>
      <c r="H123" s="500"/>
      <c r="I123" s="500"/>
      <c r="J123" s="500"/>
      <c r="K123" s="500"/>
      <c r="L123" s="500"/>
      <c r="M123" s="500"/>
      <c r="N123" s="500"/>
      <c r="O123" s="500"/>
      <c r="P123" s="500"/>
      <c r="Q123" s="500"/>
      <c r="R123" s="500"/>
      <c r="S123" s="500"/>
      <c r="T123" s="500"/>
      <c r="U123" s="500"/>
      <c r="V123" s="500"/>
      <c r="W123" s="500"/>
      <c r="X123" s="500"/>
    </row>
    <row r="124" spans="1:24" ht="16.5">
      <c r="A124" s="405" t="s">
        <v>39</v>
      </c>
      <c r="B124" s="238">
        <f>SUM(B63:B93)</f>
        <v>0</v>
      </c>
      <c r="C124" s="238">
        <f>SUM(C63:C93)</f>
        <v>0</v>
      </c>
      <c r="D124" s="238">
        <f>SUM(D63:D93)</f>
        <v>0</v>
      </c>
      <c r="E124" s="115" t="e">
        <f t="shared" si="17"/>
        <v>#DIV/0!</v>
      </c>
      <c r="F124" s="500"/>
      <c r="G124" s="500"/>
      <c r="H124" s="500"/>
      <c r="I124" s="500"/>
      <c r="J124" s="500"/>
      <c r="K124" s="500"/>
      <c r="L124" s="500"/>
      <c r="M124" s="500"/>
      <c r="N124" s="500"/>
      <c r="O124" s="500"/>
      <c r="P124" s="500"/>
      <c r="Q124" s="500"/>
      <c r="R124" s="500"/>
      <c r="S124" s="500"/>
      <c r="T124" s="500"/>
      <c r="U124" s="500"/>
      <c r="V124" s="500"/>
      <c r="W124" s="500"/>
      <c r="X124" s="500"/>
    </row>
  </sheetData>
  <phoneticPr fontId="1" type="noConversion"/>
  <conditionalFormatting sqref="E2:E119">
    <cfRule type="dataBar" priority="1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{B480D0E1-101A-4308-8632-394DB9C1FB20}</x14:id>
        </ext>
      </extLst>
    </cfRule>
  </conditionalFormatting>
  <conditionalFormatting sqref="F2:Q119">
    <cfRule type="dataBar" priority="5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{2CD04F90-43A4-47BD-9DC4-D6FEAED230A7}</x14:id>
        </ext>
      </extLst>
    </cfRule>
  </conditionalFormatting>
  <conditionalFormatting sqref="N17:N100">
    <cfRule type="dataBar" priority="2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{E35D67CC-F2AD-43BF-8A90-0CF7591A075D}</x14:id>
        </ext>
      </extLst>
    </cfRule>
    <cfRule type="dataBar" priority="3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{8015913A-C7AC-413E-AD4D-A03275874567}</x14:id>
        </ext>
      </extLst>
    </cfRule>
    <cfRule type="dataBar" priority="4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{576C341C-9F5F-44F6-986B-62187F863042}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80D0E1-101A-4308-8632-394DB9C1FB20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E2:E119</xm:sqref>
        </x14:conditionalFormatting>
        <x14:conditionalFormatting xmlns:xm="http://schemas.microsoft.com/office/excel/2006/main">
          <x14:cfRule type="dataBar" id="{2CD04F90-43A4-47BD-9DC4-D6FEAED230A7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F2:Q119</xm:sqref>
        </x14:conditionalFormatting>
        <x14:conditionalFormatting xmlns:xm="http://schemas.microsoft.com/office/excel/2006/main">
          <x14:cfRule type="dataBar" id="{E35D67CC-F2AD-43BF-8A90-0CF7591A075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8015913A-C7AC-413E-AD4D-A03275874567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576C341C-9F5F-44F6-986B-62187F863042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N17:N100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2C75-3295-42C7-934E-C53FB77F62AF}">
  <dimension ref="A1:L124"/>
  <sheetViews>
    <sheetView workbookViewId="0">
      <selection sqref="A1:L124"/>
    </sheetView>
  </sheetViews>
  <sheetFormatPr defaultRowHeight="15.75"/>
  <sheetData>
    <row r="1" spans="1:12" ht="33.75" thickBot="1">
      <c r="A1" s="13" t="s">
        <v>3</v>
      </c>
      <c r="B1" s="454" t="s">
        <v>91</v>
      </c>
      <c r="C1" s="454" t="s">
        <v>92</v>
      </c>
      <c r="D1" s="454" t="s">
        <v>93</v>
      </c>
      <c r="E1" s="454" t="s">
        <v>94</v>
      </c>
      <c r="F1" s="454" t="s">
        <v>95</v>
      </c>
      <c r="G1" s="454" t="s">
        <v>96</v>
      </c>
      <c r="H1" s="454" t="s">
        <v>97</v>
      </c>
      <c r="I1" s="454" t="s">
        <v>98</v>
      </c>
      <c r="J1" s="454" t="s">
        <v>99</v>
      </c>
      <c r="K1" s="454" t="s">
        <v>100</v>
      </c>
      <c r="L1" s="454" t="s">
        <v>101</v>
      </c>
    </row>
    <row r="2" spans="1:12" ht="16.5">
      <c r="A2" s="127">
        <v>46021</v>
      </c>
      <c r="B2" s="434">
        <f t="shared" ref="B2:C33" si="0">P2+AD2</f>
        <v>0</v>
      </c>
      <c r="C2" s="435">
        <f t="shared" si="0"/>
        <v>0</v>
      </c>
      <c r="D2" s="218" t="e">
        <f t="shared" ref="D2:D65" si="1">B2/C2</f>
        <v>#DIV/0!</v>
      </c>
      <c r="E2" s="435">
        <f t="shared" ref="E2:E65" si="2">S2+AG2</f>
        <v>0</v>
      </c>
      <c r="F2" s="218" t="e">
        <f t="shared" ref="F2:F65" si="3">B2/E2</f>
        <v>#DIV/0!</v>
      </c>
      <c r="G2" s="435">
        <f t="shared" ref="G2:G65" si="4">U2+AI2</f>
        <v>0</v>
      </c>
      <c r="H2" s="218" t="e">
        <f t="shared" ref="H2:H65" si="5">B2/G2</f>
        <v>#DIV/0!</v>
      </c>
      <c r="I2" s="435">
        <f t="shared" ref="I2:I65" si="6">W2+AK2</f>
        <v>0</v>
      </c>
      <c r="J2" s="436" t="e">
        <f t="shared" ref="J2:J65" si="7">I2/B2</f>
        <v>#DIV/0!</v>
      </c>
      <c r="K2" s="219" t="e">
        <f t="shared" ref="K2:K65" si="8">I2/G2</f>
        <v>#DIV/0!</v>
      </c>
      <c r="L2" s="437" t="s">
        <v>102</v>
      </c>
    </row>
    <row r="3" spans="1:12" ht="17.25" thickBot="1">
      <c r="A3" s="128">
        <v>46022</v>
      </c>
      <c r="B3" s="439">
        <f t="shared" si="0"/>
        <v>0</v>
      </c>
      <c r="C3" s="375">
        <f t="shared" si="0"/>
        <v>0</v>
      </c>
      <c r="D3" s="346" t="e">
        <f t="shared" si="1"/>
        <v>#DIV/0!</v>
      </c>
      <c r="E3" s="375">
        <f t="shared" si="2"/>
        <v>0</v>
      </c>
      <c r="F3" s="346" t="e">
        <f t="shared" si="3"/>
        <v>#DIV/0!</v>
      </c>
      <c r="G3" s="375">
        <f t="shared" si="4"/>
        <v>0</v>
      </c>
      <c r="H3" s="346" t="e">
        <f t="shared" si="5"/>
        <v>#DIV/0!</v>
      </c>
      <c r="I3" s="375">
        <f t="shared" si="6"/>
        <v>0</v>
      </c>
      <c r="J3" s="347" t="e">
        <f t="shared" si="7"/>
        <v>#DIV/0!</v>
      </c>
      <c r="K3" s="235" t="e">
        <f t="shared" si="8"/>
        <v>#DIV/0!</v>
      </c>
      <c r="L3" s="348" t="s">
        <v>102</v>
      </c>
    </row>
    <row r="4" spans="1:12" ht="16.5">
      <c r="A4" s="274">
        <v>46023</v>
      </c>
      <c r="B4" s="434">
        <f t="shared" si="0"/>
        <v>0</v>
      </c>
      <c r="C4" s="435">
        <f t="shared" si="0"/>
        <v>0</v>
      </c>
      <c r="D4" s="218" t="e">
        <f t="shared" si="1"/>
        <v>#DIV/0!</v>
      </c>
      <c r="E4" s="435">
        <f t="shared" si="2"/>
        <v>0</v>
      </c>
      <c r="F4" s="218" t="e">
        <f t="shared" si="3"/>
        <v>#DIV/0!</v>
      </c>
      <c r="G4" s="435">
        <f t="shared" si="4"/>
        <v>0</v>
      </c>
      <c r="H4" s="218" t="e">
        <f t="shared" si="5"/>
        <v>#DIV/0!</v>
      </c>
      <c r="I4" s="435">
        <f t="shared" si="6"/>
        <v>0</v>
      </c>
      <c r="J4" s="436" t="e">
        <f t="shared" si="7"/>
        <v>#DIV/0!</v>
      </c>
      <c r="K4" s="219" t="e">
        <f t="shared" si="8"/>
        <v>#DIV/0!</v>
      </c>
      <c r="L4" s="437" t="s">
        <v>102</v>
      </c>
    </row>
    <row r="5" spans="1:12" ht="16.5">
      <c r="A5" s="127">
        <v>46024</v>
      </c>
      <c r="B5" s="438">
        <f t="shared" si="0"/>
        <v>0</v>
      </c>
      <c r="C5" s="373">
        <f t="shared" si="0"/>
        <v>0</v>
      </c>
      <c r="D5" s="327" t="e">
        <f t="shared" si="1"/>
        <v>#DIV/0!</v>
      </c>
      <c r="E5" s="373">
        <f t="shared" si="2"/>
        <v>0</v>
      </c>
      <c r="F5" s="327" t="e">
        <f t="shared" si="3"/>
        <v>#DIV/0!</v>
      </c>
      <c r="G5" s="373">
        <f t="shared" si="4"/>
        <v>0</v>
      </c>
      <c r="H5" s="327" t="e">
        <f t="shared" si="5"/>
        <v>#DIV/0!</v>
      </c>
      <c r="I5" s="373">
        <f t="shared" si="6"/>
        <v>0</v>
      </c>
      <c r="J5" s="328" t="e">
        <f t="shared" si="7"/>
        <v>#DIV/0!</v>
      </c>
      <c r="K5" s="453" t="e">
        <f t="shared" si="8"/>
        <v>#DIV/0!</v>
      </c>
      <c r="L5" s="344" t="s">
        <v>102</v>
      </c>
    </row>
    <row r="6" spans="1:12" ht="16.5">
      <c r="A6" s="127">
        <v>46025</v>
      </c>
      <c r="B6" s="438">
        <f t="shared" si="0"/>
        <v>0</v>
      </c>
      <c r="C6" s="373">
        <f t="shared" si="0"/>
        <v>0</v>
      </c>
      <c r="D6" s="327" t="e">
        <f t="shared" si="1"/>
        <v>#DIV/0!</v>
      </c>
      <c r="E6" s="373">
        <f t="shared" si="2"/>
        <v>0</v>
      </c>
      <c r="F6" s="327" t="e">
        <f t="shared" si="3"/>
        <v>#DIV/0!</v>
      </c>
      <c r="G6" s="373">
        <f t="shared" si="4"/>
        <v>0</v>
      </c>
      <c r="H6" s="327" t="e">
        <f t="shared" si="5"/>
        <v>#DIV/0!</v>
      </c>
      <c r="I6" s="373">
        <f t="shared" si="6"/>
        <v>0</v>
      </c>
      <c r="J6" s="328" t="e">
        <f t="shared" si="7"/>
        <v>#DIV/0!</v>
      </c>
      <c r="K6" s="453" t="e">
        <f t="shared" si="8"/>
        <v>#DIV/0!</v>
      </c>
      <c r="L6" s="344" t="s">
        <v>102</v>
      </c>
    </row>
    <row r="7" spans="1:12" ht="16.5">
      <c r="A7" s="127">
        <v>46026</v>
      </c>
      <c r="B7" s="438">
        <f t="shared" si="0"/>
        <v>0</v>
      </c>
      <c r="C7" s="373">
        <f t="shared" si="0"/>
        <v>0</v>
      </c>
      <c r="D7" s="327" t="e">
        <f t="shared" si="1"/>
        <v>#DIV/0!</v>
      </c>
      <c r="E7" s="373">
        <f t="shared" si="2"/>
        <v>0</v>
      </c>
      <c r="F7" s="327" t="e">
        <f t="shared" si="3"/>
        <v>#DIV/0!</v>
      </c>
      <c r="G7" s="373">
        <f t="shared" si="4"/>
        <v>0</v>
      </c>
      <c r="H7" s="327" t="e">
        <f t="shared" si="5"/>
        <v>#DIV/0!</v>
      </c>
      <c r="I7" s="373">
        <f t="shared" si="6"/>
        <v>0</v>
      </c>
      <c r="J7" s="328" t="e">
        <f t="shared" si="7"/>
        <v>#DIV/0!</v>
      </c>
      <c r="K7" s="453" t="e">
        <f t="shared" si="8"/>
        <v>#DIV/0!</v>
      </c>
      <c r="L7" s="344" t="s">
        <v>102</v>
      </c>
    </row>
    <row r="8" spans="1:12" ht="16.5">
      <c r="A8" s="127">
        <v>46027</v>
      </c>
      <c r="B8" s="438">
        <f t="shared" si="0"/>
        <v>0</v>
      </c>
      <c r="C8" s="373">
        <f t="shared" si="0"/>
        <v>0</v>
      </c>
      <c r="D8" s="327" t="e">
        <f t="shared" si="1"/>
        <v>#DIV/0!</v>
      </c>
      <c r="E8" s="373">
        <f t="shared" si="2"/>
        <v>0</v>
      </c>
      <c r="F8" s="327" t="e">
        <f t="shared" si="3"/>
        <v>#DIV/0!</v>
      </c>
      <c r="G8" s="373">
        <f t="shared" si="4"/>
        <v>0</v>
      </c>
      <c r="H8" s="327" t="e">
        <f t="shared" si="5"/>
        <v>#DIV/0!</v>
      </c>
      <c r="I8" s="373">
        <f t="shared" si="6"/>
        <v>0</v>
      </c>
      <c r="J8" s="328" t="e">
        <f t="shared" si="7"/>
        <v>#DIV/0!</v>
      </c>
      <c r="K8" s="453" t="e">
        <f t="shared" si="8"/>
        <v>#DIV/0!</v>
      </c>
      <c r="L8" s="344" t="s">
        <v>102</v>
      </c>
    </row>
    <row r="9" spans="1:12" ht="16.5">
      <c r="A9" s="275">
        <v>46028</v>
      </c>
      <c r="B9" s="438">
        <f t="shared" si="0"/>
        <v>0</v>
      </c>
      <c r="C9" s="373">
        <f t="shared" si="0"/>
        <v>0</v>
      </c>
      <c r="D9" s="327" t="e">
        <f t="shared" si="1"/>
        <v>#DIV/0!</v>
      </c>
      <c r="E9" s="373">
        <f t="shared" si="2"/>
        <v>0</v>
      </c>
      <c r="F9" s="327" t="e">
        <f t="shared" si="3"/>
        <v>#DIV/0!</v>
      </c>
      <c r="G9" s="373">
        <f t="shared" si="4"/>
        <v>0</v>
      </c>
      <c r="H9" s="327" t="e">
        <f t="shared" si="5"/>
        <v>#DIV/0!</v>
      </c>
      <c r="I9" s="373">
        <f t="shared" si="6"/>
        <v>0</v>
      </c>
      <c r="J9" s="328" t="e">
        <f t="shared" si="7"/>
        <v>#DIV/0!</v>
      </c>
      <c r="K9" s="453" t="e">
        <f t="shared" si="8"/>
        <v>#DIV/0!</v>
      </c>
      <c r="L9" s="344" t="s">
        <v>102</v>
      </c>
    </row>
    <row r="10" spans="1:12" ht="16.5">
      <c r="A10" s="275">
        <v>46029</v>
      </c>
      <c r="B10" s="438">
        <f t="shared" si="0"/>
        <v>0</v>
      </c>
      <c r="C10" s="373">
        <f t="shared" si="0"/>
        <v>0</v>
      </c>
      <c r="D10" s="327" t="e">
        <f t="shared" si="1"/>
        <v>#DIV/0!</v>
      </c>
      <c r="E10" s="373">
        <f t="shared" si="2"/>
        <v>0</v>
      </c>
      <c r="F10" s="327" t="e">
        <f t="shared" si="3"/>
        <v>#DIV/0!</v>
      </c>
      <c r="G10" s="373">
        <f t="shared" si="4"/>
        <v>0</v>
      </c>
      <c r="H10" s="327" t="e">
        <f t="shared" si="5"/>
        <v>#DIV/0!</v>
      </c>
      <c r="I10" s="373">
        <f t="shared" si="6"/>
        <v>0</v>
      </c>
      <c r="J10" s="328" t="e">
        <f t="shared" si="7"/>
        <v>#DIV/0!</v>
      </c>
      <c r="K10" s="453" t="e">
        <f t="shared" si="8"/>
        <v>#DIV/0!</v>
      </c>
      <c r="L10" s="344" t="s">
        <v>102</v>
      </c>
    </row>
    <row r="11" spans="1:12" ht="16.5">
      <c r="A11" s="275">
        <v>46030</v>
      </c>
      <c r="B11" s="438">
        <f t="shared" si="0"/>
        <v>0</v>
      </c>
      <c r="C11" s="373">
        <f t="shared" si="0"/>
        <v>0</v>
      </c>
      <c r="D11" s="327" t="e">
        <f t="shared" si="1"/>
        <v>#DIV/0!</v>
      </c>
      <c r="E11" s="373">
        <f t="shared" si="2"/>
        <v>0</v>
      </c>
      <c r="F11" s="327" t="e">
        <f t="shared" si="3"/>
        <v>#DIV/0!</v>
      </c>
      <c r="G11" s="373">
        <f t="shared" si="4"/>
        <v>0</v>
      </c>
      <c r="H11" s="327" t="e">
        <f t="shared" si="5"/>
        <v>#DIV/0!</v>
      </c>
      <c r="I11" s="373">
        <f t="shared" si="6"/>
        <v>0</v>
      </c>
      <c r="J11" s="328" t="e">
        <f t="shared" si="7"/>
        <v>#DIV/0!</v>
      </c>
      <c r="K11" s="453" t="e">
        <f t="shared" si="8"/>
        <v>#DIV/0!</v>
      </c>
      <c r="L11" s="344" t="s">
        <v>102</v>
      </c>
    </row>
    <row r="12" spans="1:12" ht="16.5">
      <c r="A12" s="275">
        <v>46031</v>
      </c>
      <c r="B12" s="438">
        <f t="shared" si="0"/>
        <v>0</v>
      </c>
      <c r="C12" s="373">
        <f t="shared" si="0"/>
        <v>0</v>
      </c>
      <c r="D12" s="327" t="e">
        <f t="shared" si="1"/>
        <v>#DIV/0!</v>
      </c>
      <c r="E12" s="373">
        <f t="shared" si="2"/>
        <v>0</v>
      </c>
      <c r="F12" s="327" t="e">
        <f t="shared" si="3"/>
        <v>#DIV/0!</v>
      </c>
      <c r="G12" s="373">
        <f t="shared" si="4"/>
        <v>0</v>
      </c>
      <c r="H12" s="327" t="e">
        <f t="shared" si="5"/>
        <v>#DIV/0!</v>
      </c>
      <c r="I12" s="373">
        <f t="shared" si="6"/>
        <v>0</v>
      </c>
      <c r="J12" s="328" t="e">
        <f t="shared" si="7"/>
        <v>#DIV/0!</v>
      </c>
      <c r="K12" s="453" t="e">
        <f t="shared" si="8"/>
        <v>#DIV/0!</v>
      </c>
      <c r="L12" s="344" t="s">
        <v>102</v>
      </c>
    </row>
    <row r="13" spans="1:12" ht="16.5">
      <c r="A13" s="275">
        <v>46032</v>
      </c>
      <c r="B13" s="438">
        <f t="shared" si="0"/>
        <v>0</v>
      </c>
      <c r="C13" s="373">
        <f t="shared" si="0"/>
        <v>0</v>
      </c>
      <c r="D13" s="327" t="e">
        <f t="shared" si="1"/>
        <v>#DIV/0!</v>
      </c>
      <c r="E13" s="373">
        <f t="shared" si="2"/>
        <v>0</v>
      </c>
      <c r="F13" s="327" t="e">
        <f t="shared" si="3"/>
        <v>#DIV/0!</v>
      </c>
      <c r="G13" s="373">
        <f t="shared" si="4"/>
        <v>0</v>
      </c>
      <c r="H13" s="327" t="e">
        <f t="shared" si="5"/>
        <v>#DIV/0!</v>
      </c>
      <c r="I13" s="373">
        <f t="shared" si="6"/>
        <v>0</v>
      </c>
      <c r="J13" s="328" t="e">
        <f t="shared" si="7"/>
        <v>#DIV/0!</v>
      </c>
      <c r="K13" s="453" t="e">
        <f t="shared" si="8"/>
        <v>#DIV/0!</v>
      </c>
      <c r="L13" s="344" t="s">
        <v>102</v>
      </c>
    </row>
    <row r="14" spans="1:12" ht="16.5">
      <c r="A14" s="275">
        <v>46033</v>
      </c>
      <c r="B14" s="438">
        <f t="shared" si="0"/>
        <v>0</v>
      </c>
      <c r="C14" s="373">
        <f t="shared" si="0"/>
        <v>0</v>
      </c>
      <c r="D14" s="327" t="e">
        <f t="shared" si="1"/>
        <v>#DIV/0!</v>
      </c>
      <c r="E14" s="373">
        <f t="shared" si="2"/>
        <v>0</v>
      </c>
      <c r="F14" s="327" t="e">
        <f t="shared" si="3"/>
        <v>#DIV/0!</v>
      </c>
      <c r="G14" s="373">
        <f t="shared" si="4"/>
        <v>0</v>
      </c>
      <c r="H14" s="327" t="e">
        <f t="shared" si="5"/>
        <v>#DIV/0!</v>
      </c>
      <c r="I14" s="373">
        <f t="shared" si="6"/>
        <v>0</v>
      </c>
      <c r="J14" s="328" t="e">
        <f t="shared" si="7"/>
        <v>#DIV/0!</v>
      </c>
      <c r="K14" s="453" t="e">
        <f t="shared" si="8"/>
        <v>#DIV/0!</v>
      </c>
      <c r="L14" s="344" t="s">
        <v>102</v>
      </c>
    </row>
    <row r="15" spans="1:12" ht="16.5">
      <c r="A15" s="275">
        <v>46034</v>
      </c>
      <c r="B15" s="438">
        <f t="shared" si="0"/>
        <v>0</v>
      </c>
      <c r="C15" s="373">
        <f t="shared" si="0"/>
        <v>0</v>
      </c>
      <c r="D15" s="327" t="e">
        <f t="shared" si="1"/>
        <v>#DIV/0!</v>
      </c>
      <c r="E15" s="373">
        <f t="shared" si="2"/>
        <v>0</v>
      </c>
      <c r="F15" s="327" t="e">
        <f t="shared" si="3"/>
        <v>#DIV/0!</v>
      </c>
      <c r="G15" s="373">
        <f t="shared" si="4"/>
        <v>0</v>
      </c>
      <c r="H15" s="327" t="e">
        <f t="shared" si="5"/>
        <v>#DIV/0!</v>
      </c>
      <c r="I15" s="373">
        <f t="shared" si="6"/>
        <v>0</v>
      </c>
      <c r="J15" s="328" t="e">
        <f t="shared" si="7"/>
        <v>#DIV/0!</v>
      </c>
      <c r="K15" s="453" t="e">
        <f t="shared" si="8"/>
        <v>#DIV/0!</v>
      </c>
      <c r="L15" s="344" t="s">
        <v>102</v>
      </c>
    </row>
    <row r="16" spans="1:12" ht="17.25" thickBot="1">
      <c r="A16" s="128">
        <v>46035</v>
      </c>
      <c r="B16" s="228">
        <f t="shared" si="0"/>
        <v>0</v>
      </c>
      <c r="C16" s="273">
        <f t="shared" si="0"/>
        <v>0</v>
      </c>
      <c r="D16" s="222" t="e">
        <f t="shared" si="1"/>
        <v>#DIV/0!</v>
      </c>
      <c r="E16" s="273">
        <f t="shared" si="2"/>
        <v>0</v>
      </c>
      <c r="F16" s="222" t="e">
        <f t="shared" si="3"/>
        <v>#DIV/0!</v>
      </c>
      <c r="G16" s="273">
        <f t="shared" si="4"/>
        <v>0</v>
      </c>
      <c r="H16" s="222" t="e">
        <f t="shared" si="5"/>
        <v>#DIV/0!</v>
      </c>
      <c r="I16" s="273">
        <f t="shared" si="6"/>
        <v>0</v>
      </c>
      <c r="J16" s="224" t="e">
        <f t="shared" si="7"/>
        <v>#DIV/0!</v>
      </c>
      <c r="K16" s="225" t="e">
        <f t="shared" si="8"/>
        <v>#DIV/0!</v>
      </c>
      <c r="L16" s="233" t="s">
        <v>102</v>
      </c>
    </row>
    <row r="17" spans="1:12" ht="16.5">
      <c r="A17" s="87">
        <v>46036</v>
      </c>
      <c r="B17" s="327">
        <f t="shared" si="0"/>
        <v>0</v>
      </c>
      <c r="C17" s="373">
        <f t="shared" si="0"/>
        <v>0</v>
      </c>
      <c r="D17" s="327" t="e">
        <f t="shared" si="1"/>
        <v>#DIV/0!</v>
      </c>
      <c r="E17" s="373">
        <f t="shared" si="2"/>
        <v>0</v>
      </c>
      <c r="F17" s="327" t="e">
        <f t="shared" si="3"/>
        <v>#DIV/0!</v>
      </c>
      <c r="G17" s="373">
        <f t="shared" si="4"/>
        <v>0</v>
      </c>
      <c r="H17" s="327" t="e">
        <f t="shared" si="5"/>
        <v>#DIV/0!</v>
      </c>
      <c r="I17" s="373">
        <f t="shared" si="6"/>
        <v>0</v>
      </c>
      <c r="J17" s="328" t="e">
        <f t="shared" si="7"/>
        <v>#DIV/0!</v>
      </c>
      <c r="K17" s="453" t="e">
        <f t="shared" si="8"/>
        <v>#DIV/0!</v>
      </c>
      <c r="L17" s="344" t="s">
        <v>102</v>
      </c>
    </row>
    <row r="18" spans="1:12" ht="16.5">
      <c r="A18" s="87">
        <v>46037</v>
      </c>
      <c r="B18" s="327">
        <f t="shared" si="0"/>
        <v>0</v>
      </c>
      <c r="C18" s="373">
        <f t="shared" si="0"/>
        <v>0</v>
      </c>
      <c r="D18" s="327" t="e">
        <f t="shared" si="1"/>
        <v>#DIV/0!</v>
      </c>
      <c r="E18" s="373">
        <f t="shared" si="2"/>
        <v>0</v>
      </c>
      <c r="F18" s="327" t="e">
        <f t="shared" si="3"/>
        <v>#DIV/0!</v>
      </c>
      <c r="G18" s="373">
        <f t="shared" si="4"/>
        <v>0</v>
      </c>
      <c r="H18" s="327" t="e">
        <f t="shared" si="5"/>
        <v>#DIV/0!</v>
      </c>
      <c r="I18" s="373">
        <f t="shared" si="6"/>
        <v>0</v>
      </c>
      <c r="J18" s="328" t="e">
        <f t="shared" si="7"/>
        <v>#DIV/0!</v>
      </c>
      <c r="K18" s="453" t="e">
        <f t="shared" si="8"/>
        <v>#DIV/0!</v>
      </c>
      <c r="L18" s="344" t="s">
        <v>102</v>
      </c>
    </row>
    <row r="19" spans="1:12" ht="16.5">
      <c r="A19" s="88">
        <v>46038</v>
      </c>
      <c r="B19" s="327">
        <f t="shared" si="0"/>
        <v>0</v>
      </c>
      <c r="C19" s="373">
        <f t="shared" si="0"/>
        <v>0</v>
      </c>
      <c r="D19" s="327" t="e">
        <f t="shared" si="1"/>
        <v>#DIV/0!</v>
      </c>
      <c r="E19" s="373">
        <f t="shared" si="2"/>
        <v>0</v>
      </c>
      <c r="F19" s="327" t="e">
        <f t="shared" si="3"/>
        <v>#DIV/0!</v>
      </c>
      <c r="G19" s="373">
        <f t="shared" si="4"/>
        <v>0</v>
      </c>
      <c r="H19" s="327" t="e">
        <f t="shared" si="5"/>
        <v>#DIV/0!</v>
      </c>
      <c r="I19" s="373">
        <f t="shared" si="6"/>
        <v>0</v>
      </c>
      <c r="J19" s="328" t="e">
        <f t="shared" si="7"/>
        <v>#DIV/0!</v>
      </c>
      <c r="K19" s="453" t="e">
        <f t="shared" si="8"/>
        <v>#DIV/0!</v>
      </c>
      <c r="L19" s="344" t="s">
        <v>102</v>
      </c>
    </row>
    <row r="20" spans="1:12" ht="16.5">
      <c r="A20" s="88">
        <v>46039</v>
      </c>
      <c r="B20" s="327">
        <f t="shared" si="0"/>
        <v>0</v>
      </c>
      <c r="C20" s="373">
        <f t="shared" si="0"/>
        <v>0</v>
      </c>
      <c r="D20" s="327" t="e">
        <f t="shared" si="1"/>
        <v>#DIV/0!</v>
      </c>
      <c r="E20" s="373">
        <f t="shared" si="2"/>
        <v>0</v>
      </c>
      <c r="F20" s="327" t="e">
        <f t="shared" si="3"/>
        <v>#DIV/0!</v>
      </c>
      <c r="G20" s="373">
        <f t="shared" si="4"/>
        <v>0</v>
      </c>
      <c r="H20" s="327" t="e">
        <f t="shared" si="5"/>
        <v>#DIV/0!</v>
      </c>
      <c r="I20" s="373">
        <f t="shared" si="6"/>
        <v>0</v>
      </c>
      <c r="J20" s="328" t="e">
        <f t="shared" si="7"/>
        <v>#DIV/0!</v>
      </c>
      <c r="K20" s="453" t="e">
        <f t="shared" si="8"/>
        <v>#DIV/0!</v>
      </c>
      <c r="L20" s="344" t="s">
        <v>102</v>
      </c>
    </row>
    <row r="21" spans="1:12" ht="16.5">
      <c r="A21" s="87">
        <v>46040</v>
      </c>
      <c r="B21" s="327">
        <f t="shared" si="0"/>
        <v>0</v>
      </c>
      <c r="C21" s="373">
        <f t="shared" si="0"/>
        <v>0</v>
      </c>
      <c r="D21" s="327" t="e">
        <f t="shared" si="1"/>
        <v>#DIV/0!</v>
      </c>
      <c r="E21" s="373">
        <f t="shared" si="2"/>
        <v>0</v>
      </c>
      <c r="F21" s="327" t="e">
        <f t="shared" si="3"/>
        <v>#DIV/0!</v>
      </c>
      <c r="G21" s="373">
        <f t="shared" si="4"/>
        <v>0</v>
      </c>
      <c r="H21" s="327" t="e">
        <f t="shared" si="5"/>
        <v>#DIV/0!</v>
      </c>
      <c r="I21" s="373">
        <f t="shared" si="6"/>
        <v>0</v>
      </c>
      <c r="J21" s="328" t="e">
        <f t="shared" si="7"/>
        <v>#DIV/0!</v>
      </c>
      <c r="K21" s="453" t="e">
        <f t="shared" si="8"/>
        <v>#DIV/0!</v>
      </c>
      <c r="L21" s="344" t="s">
        <v>102</v>
      </c>
    </row>
    <row r="22" spans="1:12" ht="16.5">
      <c r="A22" s="88">
        <v>46041</v>
      </c>
      <c r="B22" s="327">
        <f t="shared" si="0"/>
        <v>0</v>
      </c>
      <c r="C22" s="373">
        <f t="shared" si="0"/>
        <v>0</v>
      </c>
      <c r="D22" s="327" t="e">
        <f t="shared" si="1"/>
        <v>#DIV/0!</v>
      </c>
      <c r="E22" s="373">
        <f t="shared" si="2"/>
        <v>0</v>
      </c>
      <c r="F22" s="327" t="e">
        <f t="shared" si="3"/>
        <v>#DIV/0!</v>
      </c>
      <c r="G22" s="373">
        <f t="shared" si="4"/>
        <v>0</v>
      </c>
      <c r="H22" s="327" t="e">
        <f t="shared" si="5"/>
        <v>#DIV/0!</v>
      </c>
      <c r="I22" s="373">
        <f t="shared" si="6"/>
        <v>0</v>
      </c>
      <c r="J22" s="328" t="e">
        <f t="shared" si="7"/>
        <v>#DIV/0!</v>
      </c>
      <c r="K22" s="453" t="e">
        <f t="shared" si="8"/>
        <v>#DIV/0!</v>
      </c>
      <c r="L22" s="344" t="s">
        <v>102</v>
      </c>
    </row>
    <row r="23" spans="1:12" ht="16.5">
      <c r="A23" s="88">
        <v>46042</v>
      </c>
      <c r="B23" s="327">
        <f t="shared" si="0"/>
        <v>0</v>
      </c>
      <c r="C23" s="373">
        <f t="shared" si="0"/>
        <v>0</v>
      </c>
      <c r="D23" s="327" t="e">
        <f t="shared" si="1"/>
        <v>#DIV/0!</v>
      </c>
      <c r="E23" s="373">
        <f t="shared" si="2"/>
        <v>0</v>
      </c>
      <c r="F23" s="327" t="e">
        <f t="shared" si="3"/>
        <v>#DIV/0!</v>
      </c>
      <c r="G23" s="373">
        <f t="shared" si="4"/>
        <v>0</v>
      </c>
      <c r="H23" s="327" t="e">
        <f t="shared" si="5"/>
        <v>#DIV/0!</v>
      </c>
      <c r="I23" s="373">
        <f t="shared" si="6"/>
        <v>0</v>
      </c>
      <c r="J23" s="328" t="e">
        <f t="shared" si="7"/>
        <v>#DIV/0!</v>
      </c>
      <c r="K23" s="453" t="e">
        <f t="shared" si="8"/>
        <v>#DIV/0!</v>
      </c>
      <c r="L23" s="344" t="s">
        <v>102</v>
      </c>
    </row>
    <row r="24" spans="1:12" ht="16.5">
      <c r="A24" s="88">
        <v>46043</v>
      </c>
      <c r="B24" s="327">
        <f t="shared" si="0"/>
        <v>0</v>
      </c>
      <c r="C24" s="373">
        <f t="shared" si="0"/>
        <v>0</v>
      </c>
      <c r="D24" s="327" t="e">
        <f t="shared" si="1"/>
        <v>#DIV/0!</v>
      </c>
      <c r="E24" s="373">
        <f t="shared" si="2"/>
        <v>0</v>
      </c>
      <c r="F24" s="327" t="e">
        <f t="shared" si="3"/>
        <v>#DIV/0!</v>
      </c>
      <c r="G24" s="373">
        <f t="shared" si="4"/>
        <v>0</v>
      </c>
      <c r="H24" s="327" t="e">
        <f t="shared" si="5"/>
        <v>#DIV/0!</v>
      </c>
      <c r="I24" s="373">
        <f t="shared" si="6"/>
        <v>0</v>
      </c>
      <c r="J24" s="328" t="e">
        <f t="shared" si="7"/>
        <v>#DIV/0!</v>
      </c>
      <c r="K24" s="453" t="e">
        <f t="shared" si="8"/>
        <v>#DIV/0!</v>
      </c>
      <c r="L24" s="344" t="s">
        <v>102</v>
      </c>
    </row>
    <row r="25" spans="1:12" ht="16.5">
      <c r="A25" s="58">
        <v>46044</v>
      </c>
      <c r="B25" s="327">
        <f t="shared" si="0"/>
        <v>0</v>
      </c>
      <c r="C25" s="373">
        <f t="shared" si="0"/>
        <v>0</v>
      </c>
      <c r="D25" s="327" t="e">
        <f t="shared" si="1"/>
        <v>#DIV/0!</v>
      </c>
      <c r="E25" s="373">
        <f t="shared" si="2"/>
        <v>0</v>
      </c>
      <c r="F25" s="327" t="e">
        <f t="shared" si="3"/>
        <v>#DIV/0!</v>
      </c>
      <c r="G25" s="373">
        <f t="shared" si="4"/>
        <v>0</v>
      </c>
      <c r="H25" s="327" t="e">
        <f t="shared" si="5"/>
        <v>#DIV/0!</v>
      </c>
      <c r="I25" s="373">
        <f t="shared" si="6"/>
        <v>0</v>
      </c>
      <c r="J25" s="328" t="e">
        <f t="shared" si="7"/>
        <v>#DIV/0!</v>
      </c>
      <c r="K25" s="453" t="e">
        <f t="shared" si="8"/>
        <v>#DIV/0!</v>
      </c>
      <c r="L25" s="344" t="s">
        <v>102</v>
      </c>
    </row>
    <row r="26" spans="1:12" ht="16.5">
      <c r="A26" s="58">
        <v>46045</v>
      </c>
      <c r="B26" s="327">
        <f t="shared" si="0"/>
        <v>0</v>
      </c>
      <c r="C26" s="373">
        <f t="shared" si="0"/>
        <v>0</v>
      </c>
      <c r="D26" s="327" t="e">
        <f t="shared" si="1"/>
        <v>#DIV/0!</v>
      </c>
      <c r="E26" s="373">
        <f t="shared" si="2"/>
        <v>0</v>
      </c>
      <c r="F26" s="327" t="e">
        <f t="shared" si="3"/>
        <v>#DIV/0!</v>
      </c>
      <c r="G26" s="373">
        <f t="shared" si="4"/>
        <v>0</v>
      </c>
      <c r="H26" s="327" t="e">
        <f t="shared" si="5"/>
        <v>#DIV/0!</v>
      </c>
      <c r="I26" s="373">
        <f t="shared" si="6"/>
        <v>0</v>
      </c>
      <c r="J26" s="328" t="e">
        <f t="shared" si="7"/>
        <v>#DIV/0!</v>
      </c>
      <c r="K26" s="453" t="e">
        <f t="shared" si="8"/>
        <v>#DIV/0!</v>
      </c>
      <c r="L26" s="344" t="s">
        <v>102</v>
      </c>
    </row>
    <row r="27" spans="1:12" ht="16.5">
      <c r="A27" s="58">
        <v>46046</v>
      </c>
      <c r="B27" s="327">
        <f t="shared" si="0"/>
        <v>0</v>
      </c>
      <c r="C27" s="373">
        <f t="shared" si="0"/>
        <v>0</v>
      </c>
      <c r="D27" s="327" t="e">
        <f t="shared" si="1"/>
        <v>#DIV/0!</v>
      </c>
      <c r="E27" s="373">
        <f t="shared" si="2"/>
        <v>0</v>
      </c>
      <c r="F27" s="327" t="e">
        <f t="shared" si="3"/>
        <v>#DIV/0!</v>
      </c>
      <c r="G27" s="373">
        <f t="shared" si="4"/>
        <v>0</v>
      </c>
      <c r="H27" s="327" t="e">
        <f t="shared" si="5"/>
        <v>#DIV/0!</v>
      </c>
      <c r="I27" s="373">
        <f t="shared" si="6"/>
        <v>0</v>
      </c>
      <c r="J27" s="328" t="e">
        <f t="shared" si="7"/>
        <v>#DIV/0!</v>
      </c>
      <c r="K27" s="453" t="e">
        <f t="shared" si="8"/>
        <v>#DIV/0!</v>
      </c>
      <c r="L27" s="344" t="s">
        <v>102</v>
      </c>
    </row>
    <row r="28" spans="1:12" ht="16.5">
      <c r="A28" s="87">
        <v>46047</v>
      </c>
      <c r="B28" s="327">
        <f t="shared" si="0"/>
        <v>0</v>
      </c>
      <c r="C28" s="373">
        <f t="shared" si="0"/>
        <v>0</v>
      </c>
      <c r="D28" s="327" t="e">
        <f t="shared" si="1"/>
        <v>#DIV/0!</v>
      </c>
      <c r="E28" s="373">
        <f t="shared" si="2"/>
        <v>0</v>
      </c>
      <c r="F28" s="327" t="e">
        <f t="shared" si="3"/>
        <v>#DIV/0!</v>
      </c>
      <c r="G28" s="373">
        <f t="shared" si="4"/>
        <v>0</v>
      </c>
      <c r="H28" s="327" t="e">
        <f t="shared" si="5"/>
        <v>#DIV/0!</v>
      </c>
      <c r="I28" s="373">
        <f t="shared" si="6"/>
        <v>0</v>
      </c>
      <c r="J28" s="328" t="e">
        <f t="shared" si="7"/>
        <v>#DIV/0!</v>
      </c>
      <c r="K28" s="453" t="e">
        <f t="shared" si="8"/>
        <v>#DIV/0!</v>
      </c>
      <c r="L28" s="344" t="s">
        <v>102</v>
      </c>
    </row>
    <row r="29" spans="1:12" ht="16.5">
      <c r="A29" s="87">
        <v>46048</v>
      </c>
      <c r="B29" s="327">
        <f t="shared" si="0"/>
        <v>0</v>
      </c>
      <c r="C29" s="373">
        <f t="shared" si="0"/>
        <v>0</v>
      </c>
      <c r="D29" s="327" t="e">
        <f t="shared" si="1"/>
        <v>#DIV/0!</v>
      </c>
      <c r="E29" s="373">
        <f t="shared" si="2"/>
        <v>0</v>
      </c>
      <c r="F29" s="327" t="e">
        <f t="shared" si="3"/>
        <v>#DIV/0!</v>
      </c>
      <c r="G29" s="373">
        <f t="shared" si="4"/>
        <v>0</v>
      </c>
      <c r="H29" s="327" t="e">
        <f t="shared" si="5"/>
        <v>#DIV/0!</v>
      </c>
      <c r="I29" s="373">
        <f t="shared" si="6"/>
        <v>0</v>
      </c>
      <c r="J29" s="328" t="e">
        <f t="shared" si="7"/>
        <v>#DIV/0!</v>
      </c>
      <c r="K29" s="453" t="e">
        <f t="shared" si="8"/>
        <v>#DIV/0!</v>
      </c>
      <c r="L29" s="344" t="s">
        <v>102</v>
      </c>
    </row>
    <row r="30" spans="1:12" ht="16.5">
      <c r="A30" s="341">
        <v>46049</v>
      </c>
      <c r="B30" s="327">
        <f t="shared" si="0"/>
        <v>0</v>
      </c>
      <c r="C30" s="373">
        <f t="shared" si="0"/>
        <v>0</v>
      </c>
      <c r="D30" s="327" t="e">
        <f t="shared" si="1"/>
        <v>#DIV/0!</v>
      </c>
      <c r="E30" s="373">
        <f t="shared" si="2"/>
        <v>0</v>
      </c>
      <c r="F30" s="327" t="e">
        <f t="shared" si="3"/>
        <v>#DIV/0!</v>
      </c>
      <c r="G30" s="373">
        <f t="shared" si="4"/>
        <v>0</v>
      </c>
      <c r="H30" s="327" t="e">
        <f t="shared" si="5"/>
        <v>#DIV/0!</v>
      </c>
      <c r="I30" s="373">
        <f t="shared" si="6"/>
        <v>0</v>
      </c>
      <c r="J30" s="328" t="e">
        <f t="shared" si="7"/>
        <v>#DIV/0!</v>
      </c>
      <c r="K30" s="453" t="e">
        <f t="shared" si="8"/>
        <v>#DIV/0!</v>
      </c>
      <c r="L30" s="344" t="s">
        <v>102</v>
      </c>
    </row>
    <row r="31" spans="1:12" ht="16.5">
      <c r="A31" s="341">
        <v>46050</v>
      </c>
      <c r="B31" s="327">
        <f t="shared" si="0"/>
        <v>0</v>
      </c>
      <c r="C31" s="373">
        <f t="shared" si="0"/>
        <v>0</v>
      </c>
      <c r="D31" s="327" t="e">
        <f t="shared" si="1"/>
        <v>#DIV/0!</v>
      </c>
      <c r="E31" s="373">
        <f t="shared" si="2"/>
        <v>0</v>
      </c>
      <c r="F31" s="327" t="e">
        <f t="shared" si="3"/>
        <v>#DIV/0!</v>
      </c>
      <c r="G31" s="373">
        <f t="shared" si="4"/>
        <v>0</v>
      </c>
      <c r="H31" s="327" t="e">
        <f t="shared" si="5"/>
        <v>#DIV/0!</v>
      </c>
      <c r="I31" s="373">
        <f t="shared" si="6"/>
        <v>0</v>
      </c>
      <c r="J31" s="328" t="e">
        <f t="shared" si="7"/>
        <v>#DIV/0!</v>
      </c>
      <c r="K31" s="453" t="e">
        <f t="shared" si="8"/>
        <v>#DIV/0!</v>
      </c>
      <c r="L31" s="344" t="s">
        <v>102</v>
      </c>
    </row>
    <row r="32" spans="1:12" ht="16.5">
      <c r="A32" s="341">
        <v>46051</v>
      </c>
      <c r="B32" s="327">
        <f t="shared" si="0"/>
        <v>0</v>
      </c>
      <c r="C32" s="373">
        <f t="shared" si="0"/>
        <v>0</v>
      </c>
      <c r="D32" s="327" t="e">
        <f t="shared" si="1"/>
        <v>#DIV/0!</v>
      </c>
      <c r="E32" s="373">
        <f t="shared" si="2"/>
        <v>0</v>
      </c>
      <c r="F32" s="327" t="e">
        <f t="shared" si="3"/>
        <v>#DIV/0!</v>
      </c>
      <c r="G32" s="373">
        <f t="shared" si="4"/>
        <v>0</v>
      </c>
      <c r="H32" s="327" t="e">
        <f t="shared" si="5"/>
        <v>#DIV/0!</v>
      </c>
      <c r="I32" s="373">
        <f t="shared" si="6"/>
        <v>0</v>
      </c>
      <c r="J32" s="328" t="e">
        <f t="shared" si="7"/>
        <v>#DIV/0!</v>
      </c>
      <c r="K32" s="453" t="e">
        <f t="shared" si="8"/>
        <v>#DIV/0!</v>
      </c>
      <c r="L32" s="344" t="s">
        <v>102</v>
      </c>
    </row>
    <row r="33" spans="1:12" ht="16.5">
      <c r="A33" s="88">
        <v>46052</v>
      </c>
      <c r="B33" s="327">
        <f t="shared" si="0"/>
        <v>0</v>
      </c>
      <c r="C33" s="373">
        <f t="shared" si="0"/>
        <v>0</v>
      </c>
      <c r="D33" s="327" t="e">
        <f t="shared" si="1"/>
        <v>#DIV/0!</v>
      </c>
      <c r="E33" s="373">
        <f t="shared" si="2"/>
        <v>0</v>
      </c>
      <c r="F33" s="327" t="e">
        <f t="shared" si="3"/>
        <v>#DIV/0!</v>
      </c>
      <c r="G33" s="373">
        <f t="shared" si="4"/>
        <v>0</v>
      </c>
      <c r="H33" s="327" t="e">
        <f t="shared" si="5"/>
        <v>#DIV/0!</v>
      </c>
      <c r="I33" s="373">
        <f t="shared" si="6"/>
        <v>0</v>
      </c>
      <c r="J33" s="328" t="e">
        <f t="shared" si="7"/>
        <v>#DIV/0!</v>
      </c>
      <c r="K33" s="453" t="e">
        <f t="shared" si="8"/>
        <v>#DIV/0!</v>
      </c>
      <c r="L33" s="344" t="s">
        <v>102</v>
      </c>
    </row>
    <row r="34" spans="1:12" ht="16.5">
      <c r="A34" s="88">
        <v>46053</v>
      </c>
      <c r="B34" s="327">
        <f t="shared" ref="B34:C65" si="9">P34+AD34</f>
        <v>0</v>
      </c>
      <c r="C34" s="373">
        <f t="shared" si="9"/>
        <v>0</v>
      </c>
      <c r="D34" s="327" t="e">
        <f t="shared" si="1"/>
        <v>#DIV/0!</v>
      </c>
      <c r="E34" s="373">
        <f t="shared" si="2"/>
        <v>0</v>
      </c>
      <c r="F34" s="327" t="e">
        <f t="shared" si="3"/>
        <v>#DIV/0!</v>
      </c>
      <c r="G34" s="373">
        <f t="shared" si="4"/>
        <v>0</v>
      </c>
      <c r="H34" s="327" t="e">
        <f t="shared" si="5"/>
        <v>#DIV/0!</v>
      </c>
      <c r="I34" s="373">
        <f t="shared" si="6"/>
        <v>0</v>
      </c>
      <c r="J34" s="328" t="e">
        <f t="shared" si="7"/>
        <v>#DIV/0!</v>
      </c>
      <c r="K34" s="453" t="e">
        <f t="shared" si="8"/>
        <v>#DIV/0!</v>
      </c>
      <c r="L34" s="344" t="s">
        <v>102</v>
      </c>
    </row>
    <row r="35" spans="1:12" ht="16.5">
      <c r="A35" s="410">
        <v>46054</v>
      </c>
      <c r="B35" s="327">
        <f t="shared" si="9"/>
        <v>0</v>
      </c>
      <c r="C35" s="373">
        <f t="shared" si="9"/>
        <v>0</v>
      </c>
      <c r="D35" s="327" t="e">
        <f t="shared" si="1"/>
        <v>#DIV/0!</v>
      </c>
      <c r="E35" s="373">
        <f t="shared" si="2"/>
        <v>0</v>
      </c>
      <c r="F35" s="327" t="e">
        <f t="shared" si="3"/>
        <v>#DIV/0!</v>
      </c>
      <c r="G35" s="373">
        <f t="shared" si="4"/>
        <v>0</v>
      </c>
      <c r="H35" s="327" t="e">
        <f t="shared" si="5"/>
        <v>#DIV/0!</v>
      </c>
      <c r="I35" s="373">
        <f t="shared" si="6"/>
        <v>0</v>
      </c>
      <c r="J35" s="328" t="e">
        <f t="shared" si="7"/>
        <v>#DIV/0!</v>
      </c>
      <c r="K35" s="453" t="e">
        <f t="shared" si="8"/>
        <v>#DIV/0!</v>
      </c>
      <c r="L35" s="344" t="s">
        <v>102</v>
      </c>
    </row>
    <row r="36" spans="1:12" ht="16.5">
      <c r="A36" s="410">
        <v>46055</v>
      </c>
      <c r="B36" s="327">
        <f t="shared" si="9"/>
        <v>0</v>
      </c>
      <c r="C36" s="373">
        <f t="shared" si="9"/>
        <v>0</v>
      </c>
      <c r="D36" s="327" t="e">
        <f t="shared" si="1"/>
        <v>#DIV/0!</v>
      </c>
      <c r="E36" s="373">
        <f t="shared" si="2"/>
        <v>0</v>
      </c>
      <c r="F36" s="327" t="e">
        <f t="shared" si="3"/>
        <v>#DIV/0!</v>
      </c>
      <c r="G36" s="373">
        <f t="shared" si="4"/>
        <v>0</v>
      </c>
      <c r="H36" s="327" t="e">
        <f t="shared" si="5"/>
        <v>#DIV/0!</v>
      </c>
      <c r="I36" s="373">
        <f t="shared" si="6"/>
        <v>0</v>
      </c>
      <c r="J36" s="328" t="e">
        <f t="shared" si="7"/>
        <v>#DIV/0!</v>
      </c>
      <c r="K36" s="453" t="e">
        <f t="shared" si="8"/>
        <v>#DIV/0!</v>
      </c>
      <c r="L36" s="344" t="s">
        <v>102</v>
      </c>
    </row>
    <row r="37" spans="1:12" ht="16.5">
      <c r="A37" s="88">
        <v>46056</v>
      </c>
      <c r="B37" s="327">
        <f t="shared" si="9"/>
        <v>0</v>
      </c>
      <c r="C37" s="373">
        <f t="shared" si="9"/>
        <v>0</v>
      </c>
      <c r="D37" s="327" t="e">
        <f t="shared" si="1"/>
        <v>#DIV/0!</v>
      </c>
      <c r="E37" s="373">
        <f t="shared" si="2"/>
        <v>0</v>
      </c>
      <c r="F37" s="327" t="e">
        <f t="shared" si="3"/>
        <v>#DIV/0!</v>
      </c>
      <c r="G37" s="373">
        <f t="shared" si="4"/>
        <v>0</v>
      </c>
      <c r="H37" s="327" t="e">
        <f t="shared" si="5"/>
        <v>#DIV/0!</v>
      </c>
      <c r="I37" s="373">
        <f t="shared" si="6"/>
        <v>0</v>
      </c>
      <c r="J37" s="328" t="e">
        <f t="shared" si="7"/>
        <v>#DIV/0!</v>
      </c>
      <c r="K37" s="453" t="e">
        <f t="shared" si="8"/>
        <v>#DIV/0!</v>
      </c>
      <c r="L37" s="344" t="s">
        <v>102</v>
      </c>
    </row>
    <row r="38" spans="1:12" ht="16.5">
      <c r="A38" s="88">
        <v>46057</v>
      </c>
      <c r="B38" s="327">
        <f t="shared" si="9"/>
        <v>0</v>
      </c>
      <c r="C38" s="373">
        <f t="shared" si="9"/>
        <v>0</v>
      </c>
      <c r="D38" s="327" t="e">
        <f t="shared" si="1"/>
        <v>#DIV/0!</v>
      </c>
      <c r="E38" s="373">
        <f t="shared" si="2"/>
        <v>0</v>
      </c>
      <c r="F38" s="327" t="e">
        <f t="shared" si="3"/>
        <v>#DIV/0!</v>
      </c>
      <c r="G38" s="373">
        <f t="shared" si="4"/>
        <v>0</v>
      </c>
      <c r="H38" s="327" t="e">
        <f t="shared" si="5"/>
        <v>#DIV/0!</v>
      </c>
      <c r="I38" s="373">
        <f t="shared" si="6"/>
        <v>0</v>
      </c>
      <c r="J38" s="328" t="e">
        <f t="shared" si="7"/>
        <v>#DIV/0!</v>
      </c>
      <c r="K38" s="453" t="e">
        <f t="shared" si="8"/>
        <v>#DIV/0!</v>
      </c>
      <c r="L38" s="344" t="s">
        <v>102</v>
      </c>
    </row>
    <row r="39" spans="1:12" ht="16.5">
      <c r="A39" s="88">
        <v>46058</v>
      </c>
      <c r="B39" s="327">
        <f t="shared" si="9"/>
        <v>0</v>
      </c>
      <c r="C39" s="373">
        <f t="shared" si="9"/>
        <v>0</v>
      </c>
      <c r="D39" s="327" t="e">
        <f t="shared" si="1"/>
        <v>#DIV/0!</v>
      </c>
      <c r="E39" s="373">
        <f t="shared" si="2"/>
        <v>0</v>
      </c>
      <c r="F39" s="327" t="e">
        <f t="shared" si="3"/>
        <v>#DIV/0!</v>
      </c>
      <c r="G39" s="373">
        <f t="shared" si="4"/>
        <v>0</v>
      </c>
      <c r="H39" s="327" t="e">
        <f t="shared" si="5"/>
        <v>#DIV/0!</v>
      </c>
      <c r="I39" s="373">
        <f t="shared" si="6"/>
        <v>0</v>
      </c>
      <c r="J39" s="328" t="e">
        <f t="shared" si="7"/>
        <v>#DIV/0!</v>
      </c>
      <c r="K39" s="453" t="e">
        <f t="shared" si="8"/>
        <v>#DIV/0!</v>
      </c>
      <c r="L39" s="344" t="s">
        <v>102</v>
      </c>
    </row>
    <row r="40" spans="1:12" ht="16.5">
      <c r="A40" s="132">
        <v>46059</v>
      </c>
      <c r="B40" s="327">
        <f t="shared" si="9"/>
        <v>0</v>
      </c>
      <c r="C40" s="373">
        <f t="shared" si="9"/>
        <v>0</v>
      </c>
      <c r="D40" s="327" t="e">
        <f t="shared" si="1"/>
        <v>#DIV/0!</v>
      </c>
      <c r="E40" s="373">
        <f t="shared" si="2"/>
        <v>0</v>
      </c>
      <c r="F40" s="327" t="e">
        <f t="shared" si="3"/>
        <v>#DIV/0!</v>
      </c>
      <c r="G40" s="373">
        <f t="shared" si="4"/>
        <v>0</v>
      </c>
      <c r="H40" s="327" t="e">
        <f t="shared" si="5"/>
        <v>#DIV/0!</v>
      </c>
      <c r="I40" s="373">
        <f t="shared" si="6"/>
        <v>0</v>
      </c>
      <c r="J40" s="328" t="e">
        <f t="shared" si="7"/>
        <v>#DIV/0!</v>
      </c>
      <c r="K40" s="453" t="e">
        <f t="shared" si="8"/>
        <v>#DIV/0!</v>
      </c>
      <c r="L40" s="344" t="s">
        <v>102</v>
      </c>
    </row>
    <row r="41" spans="1:12" ht="16.5">
      <c r="A41" s="132">
        <v>46060</v>
      </c>
      <c r="B41" s="327">
        <f t="shared" si="9"/>
        <v>0</v>
      </c>
      <c r="C41" s="373">
        <f t="shared" si="9"/>
        <v>0</v>
      </c>
      <c r="D41" s="327" t="e">
        <f t="shared" si="1"/>
        <v>#DIV/0!</v>
      </c>
      <c r="E41" s="373">
        <f t="shared" si="2"/>
        <v>0</v>
      </c>
      <c r="F41" s="327" t="e">
        <f t="shared" si="3"/>
        <v>#DIV/0!</v>
      </c>
      <c r="G41" s="373">
        <f t="shared" si="4"/>
        <v>0</v>
      </c>
      <c r="H41" s="327" t="e">
        <f t="shared" si="5"/>
        <v>#DIV/0!</v>
      </c>
      <c r="I41" s="373">
        <f t="shared" si="6"/>
        <v>0</v>
      </c>
      <c r="J41" s="328" t="e">
        <f t="shared" si="7"/>
        <v>#DIV/0!</v>
      </c>
      <c r="K41" s="453" t="e">
        <f t="shared" si="8"/>
        <v>#DIV/0!</v>
      </c>
      <c r="L41" s="344" t="s">
        <v>102</v>
      </c>
    </row>
    <row r="42" spans="1:12" ht="16.5">
      <c r="A42" s="132">
        <v>46061</v>
      </c>
      <c r="B42" s="327">
        <f t="shared" si="9"/>
        <v>0</v>
      </c>
      <c r="C42" s="373">
        <f t="shared" si="9"/>
        <v>0</v>
      </c>
      <c r="D42" s="327" t="e">
        <f t="shared" si="1"/>
        <v>#DIV/0!</v>
      </c>
      <c r="E42" s="373">
        <f t="shared" si="2"/>
        <v>0</v>
      </c>
      <c r="F42" s="327" t="e">
        <f t="shared" si="3"/>
        <v>#DIV/0!</v>
      </c>
      <c r="G42" s="373">
        <f t="shared" si="4"/>
        <v>0</v>
      </c>
      <c r="H42" s="327" t="e">
        <f t="shared" si="5"/>
        <v>#DIV/0!</v>
      </c>
      <c r="I42" s="373">
        <f t="shared" si="6"/>
        <v>0</v>
      </c>
      <c r="J42" s="328" t="e">
        <f t="shared" si="7"/>
        <v>#DIV/0!</v>
      </c>
      <c r="K42" s="453" t="e">
        <f t="shared" si="8"/>
        <v>#DIV/0!</v>
      </c>
      <c r="L42" s="344" t="s">
        <v>102</v>
      </c>
    </row>
    <row r="43" spans="1:12" ht="16.5">
      <c r="A43" s="88">
        <v>46062</v>
      </c>
      <c r="B43" s="327">
        <f t="shared" si="9"/>
        <v>0</v>
      </c>
      <c r="C43" s="373">
        <f t="shared" si="9"/>
        <v>0</v>
      </c>
      <c r="D43" s="327" t="e">
        <f t="shared" si="1"/>
        <v>#DIV/0!</v>
      </c>
      <c r="E43" s="373">
        <f t="shared" si="2"/>
        <v>0</v>
      </c>
      <c r="F43" s="327" t="e">
        <f t="shared" si="3"/>
        <v>#DIV/0!</v>
      </c>
      <c r="G43" s="373">
        <f t="shared" si="4"/>
        <v>0</v>
      </c>
      <c r="H43" s="327" t="e">
        <f t="shared" si="5"/>
        <v>#DIV/0!</v>
      </c>
      <c r="I43" s="373">
        <f t="shared" si="6"/>
        <v>0</v>
      </c>
      <c r="J43" s="328" t="e">
        <f t="shared" si="7"/>
        <v>#DIV/0!</v>
      </c>
      <c r="K43" s="453" t="e">
        <f t="shared" si="8"/>
        <v>#DIV/0!</v>
      </c>
      <c r="L43" s="344" t="s">
        <v>102</v>
      </c>
    </row>
    <row r="44" spans="1:12" ht="16.5">
      <c r="A44" s="88">
        <v>46063</v>
      </c>
      <c r="B44" s="327">
        <f t="shared" si="9"/>
        <v>0</v>
      </c>
      <c r="C44" s="373">
        <f t="shared" si="9"/>
        <v>0</v>
      </c>
      <c r="D44" s="327" t="e">
        <f t="shared" si="1"/>
        <v>#DIV/0!</v>
      </c>
      <c r="E44" s="373">
        <f t="shared" si="2"/>
        <v>0</v>
      </c>
      <c r="F44" s="327" t="e">
        <f t="shared" si="3"/>
        <v>#DIV/0!</v>
      </c>
      <c r="G44" s="373">
        <f t="shared" si="4"/>
        <v>0</v>
      </c>
      <c r="H44" s="327" t="e">
        <f t="shared" si="5"/>
        <v>#DIV/0!</v>
      </c>
      <c r="I44" s="373">
        <f t="shared" si="6"/>
        <v>0</v>
      </c>
      <c r="J44" s="328" t="e">
        <f t="shared" si="7"/>
        <v>#DIV/0!</v>
      </c>
      <c r="K44" s="453" t="e">
        <f t="shared" si="8"/>
        <v>#DIV/0!</v>
      </c>
      <c r="L44" s="344" t="s">
        <v>102</v>
      </c>
    </row>
    <row r="45" spans="1:12" ht="16.5">
      <c r="A45" s="88">
        <v>46064</v>
      </c>
      <c r="B45" s="327">
        <f t="shared" si="9"/>
        <v>0</v>
      </c>
      <c r="C45" s="373">
        <f t="shared" si="9"/>
        <v>0</v>
      </c>
      <c r="D45" s="327" t="e">
        <f t="shared" si="1"/>
        <v>#DIV/0!</v>
      </c>
      <c r="E45" s="373">
        <f t="shared" si="2"/>
        <v>0</v>
      </c>
      <c r="F45" s="327" t="e">
        <f t="shared" si="3"/>
        <v>#DIV/0!</v>
      </c>
      <c r="G45" s="373">
        <f t="shared" si="4"/>
        <v>0</v>
      </c>
      <c r="H45" s="327" t="e">
        <f t="shared" si="5"/>
        <v>#DIV/0!</v>
      </c>
      <c r="I45" s="373">
        <f t="shared" si="6"/>
        <v>0</v>
      </c>
      <c r="J45" s="328" t="e">
        <f t="shared" si="7"/>
        <v>#DIV/0!</v>
      </c>
      <c r="K45" s="453" t="e">
        <f t="shared" si="8"/>
        <v>#DIV/0!</v>
      </c>
      <c r="L45" s="344" t="s">
        <v>102</v>
      </c>
    </row>
    <row r="46" spans="1:12" ht="16.5">
      <c r="A46" s="216">
        <v>46065</v>
      </c>
      <c r="B46" s="327">
        <f t="shared" si="9"/>
        <v>0</v>
      </c>
      <c r="C46" s="373">
        <f t="shared" si="9"/>
        <v>0</v>
      </c>
      <c r="D46" s="327" t="e">
        <f t="shared" si="1"/>
        <v>#DIV/0!</v>
      </c>
      <c r="E46" s="373">
        <f t="shared" si="2"/>
        <v>0</v>
      </c>
      <c r="F46" s="327" t="e">
        <f t="shared" si="3"/>
        <v>#DIV/0!</v>
      </c>
      <c r="G46" s="373">
        <f t="shared" si="4"/>
        <v>0</v>
      </c>
      <c r="H46" s="327" t="e">
        <f t="shared" si="5"/>
        <v>#DIV/0!</v>
      </c>
      <c r="I46" s="373">
        <f t="shared" si="6"/>
        <v>0</v>
      </c>
      <c r="J46" s="328" t="e">
        <f t="shared" si="7"/>
        <v>#DIV/0!</v>
      </c>
      <c r="K46" s="453" t="e">
        <f t="shared" si="8"/>
        <v>#DIV/0!</v>
      </c>
      <c r="L46" s="344" t="s">
        <v>102</v>
      </c>
    </row>
    <row r="47" spans="1:12" ht="16.5">
      <c r="A47" s="216">
        <v>46066</v>
      </c>
      <c r="B47" s="327">
        <f t="shared" si="9"/>
        <v>0</v>
      </c>
      <c r="C47" s="373">
        <f t="shared" si="9"/>
        <v>0</v>
      </c>
      <c r="D47" s="327" t="e">
        <f t="shared" si="1"/>
        <v>#DIV/0!</v>
      </c>
      <c r="E47" s="373">
        <f t="shared" si="2"/>
        <v>0</v>
      </c>
      <c r="F47" s="327" t="e">
        <f t="shared" si="3"/>
        <v>#DIV/0!</v>
      </c>
      <c r="G47" s="373">
        <f t="shared" si="4"/>
        <v>0</v>
      </c>
      <c r="H47" s="327" t="e">
        <f t="shared" si="5"/>
        <v>#DIV/0!</v>
      </c>
      <c r="I47" s="373">
        <f t="shared" si="6"/>
        <v>0</v>
      </c>
      <c r="J47" s="328" t="e">
        <f t="shared" si="7"/>
        <v>#DIV/0!</v>
      </c>
      <c r="K47" s="453" t="e">
        <f t="shared" si="8"/>
        <v>#DIV/0!</v>
      </c>
      <c r="L47" s="344" t="s">
        <v>102</v>
      </c>
    </row>
    <row r="48" spans="1:12" ht="16.5">
      <c r="A48" s="132">
        <v>46067</v>
      </c>
      <c r="B48" s="327">
        <f t="shared" si="9"/>
        <v>0</v>
      </c>
      <c r="C48" s="373">
        <f t="shared" si="9"/>
        <v>0</v>
      </c>
      <c r="D48" s="327" t="e">
        <f t="shared" si="1"/>
        <v>#DIV/0!</v>
      </c>
      <c r="E48" s="373">
        <f t="shared" si="2"/>
        <v>0</v>
      </c>
      <c r="F48" s="327" t="e">
        <f t="shared" si="3"/>
        <v>#DIV/0!</v>
      </c>
      <c r="G48" s="373">
        <f t="shared" si="4"/>
        <v>0</v>
      </c>
      <c r="H48" s="327" t="e">
        <f t="shared" si="5"/>
        <v>#DIV/0!</v>
      </c>
      <c r="I48" s="373">
        <f t="shared" si="6"/>
        <v>0</v>
      </c>
      <c r="J48" s="328" t="e">
        <f t="shared" si="7"/>
        <v>#DIV/0!</v>
      </c>
      <c r="K48" s="453" t="e">
        <f t="shared" si="8"/>
        <v>#DIV/0!</v>
      </c>
      <c r="L48" s="344" t="s">
        <v>102</v>
      </c>
    </row>
    <row r="49" spans="1:12" ht="16.5">
      <c r="A49" s="132">
        <v>46068</v>
      </c>
      <c r="B49" s="327">
        <f t="shared" si="9"/>
        <v>0</v>
      </c>
      <c r="C49" s="373">
        <f t="shared" si="9"/>
        <v>0</v>
      </c>
      <c r="D49" s="327" t="e">
        <f t="shared" si="1"/>
        <v>#DIV/0!</v>
      </c>
      <c r="E49" s="373">
        <f t="shared" si="2"/>
        <v>0</v>
      </c>
      <c r="F49" s="327" t="e">
        <f t="shared" si="3"/>
        <v>#DIV/0!</v>
      </c>
      <c r="G49" s="373">
        <f t="shared" si="4"/>
        <v>0</v>
      </c>
      <c r="H49" s="327" t="e">
        <f t="shared" si="5"/>
        <v>#DIV/0!</v>
      </c>
      <c r="I49" s="373">
        <f t="shared" si="6"/>
        <v>0</v>
      </c>
      <c r="J49" s="328" t="e">
        <f t="shared" si="7"/>
        <v>#DIV/0!</v>
      </c>
      <c r="K49" s="453" t="e">
        <f t="shared" si="8"/>
        <v>#DIV/0!</v>
      </c>
      <c r="L49" s="344" t="s">
        <v>102</v>
      </c>
    </row>
    <row r="50" spans="1:12" ht="16.5">
      <c r="A50" s="132">
        <v>46069</v>
      </c>
      <c r="B50" s="327">
        <f t="shared" si="9"/>
        <v>0</v>
      </c>
      <c r="C50" s="373">
        <f t="shared" si="9"/>
        <v>0</v>
      </c>
      <c r="D50" s="327" t="e">
        <f t="shared" si="1"/>
        <v>#DIV/0!</v>
      </c>
      <c r="E50" s="373">
        <f t="shared" si="2"/>
        <v>0</v>
      </c>
      <c r="F50" s="327" t="e">
        <f t="shared" si="3"/>
        <v>#DIV/0!</v>
      </c>
      <c r="G50" s="373">
        <f t="shared" si="4"/>
        <v>0</v>
      </c>
      <c r="H50" s="327" t="e">
        <f t="shared" si="5"/>
        <v>#DIV/0!</v>
      </c>
      <c r="I50" s="373">
        <f t="shared" si="6"/>
        <v>0</v>
      </c>
      <c r="J50" s="328" t="e">
        <f t="shared" si="7"/>
        <v>#DIV/0!</v>
      </c>
      <c r="K50" s="453" t="e">
        <f t="shared" si="8"/>
        <v>#DIV/0!</v>
      </c>
      <c r="L50" s="344" t="s">
        <v>102</v>
      </c>
    </row>
    <row r="51" spans="1:12" ht="16.5">
      <c r="A51" s="216">
        <v>46070</v>
      </c>
      <c r="B51" s="327">
        <f t="shared" si="9"/>
        <v>0</v>
      </c>
      <c r="C51" s="373">
        <f t="shared" si="9"/>
        <v>0</v>
      </c>
      <c r="D51" s="327" t="e">
        <f t="shared" si="1"/>
        <v>#DIV/0!</v>
      </c>
      <c r="E51" s="373">
        <f t="shared" si="2"/>
        <v>0</v>
      </c>
      <c r="F51" s="327" t="e">
        <f t="shared" si="3"/>
        <v>#DIV/0!</v>
      </c>
      <c r="G51" s="373">
        <f t="shared" si="4"/>
        <v>0</v>
      </c>
      <c r="H51" s="327" t="e">
        <f t="shared" si="5"/>
        <v>#DIV/0!</v>
      </c>
      <c r="I51" s="373">
        <f t="shared" si="6"/>
        <v>0</v>
      </c>
      <c r="J51" s="328" t="e">
        <f t="shared" si="7"/>
        <v>#DIV/0!</v>
      </c>
      <c r="K51" s="453" t="e">
        <f t="shared" si="8"/>
        <v>#DIV/0!</v>
      </c>
      <c r="L51" s="344" t="s">
        <v>102</v>
      </c>
    </row>
    <row r="52" spans="1:12" ht="16.5">
      <c r="A52" s="132">
        <v>46071</v>
      </c>
      <c r="B52" s="327">
        <f t="shared" si="9"/>
        <v>0</v>
      </c>
      <c r="C52" s="373">
        <f t="shared" si="9"/>
        <v>0</v>
      </c>
      <c r="D52" s="327" t="e">
        <f t="shared" si="1"/>
        <v>#DIV/0!</v>
      </c>
      <c r="E52" s="373">
        <f t="shared" si="2"/>
        <v>0</v>
      </c>
      <c r="F52" s="327" t="e">
        <f t="shared" si="3"/>
        <v>#DIV/0!</v>
      </c>
      <c r="G52" s="373">
        <f t="shared" si="4"/>
        <v>0</v>
      </c>
      <c r="H52" s="327" t="e">
        <f t="shared" si="5"/>
        <v>#DIV/0!</v>
      </c>
      <c r="I52" s="373">
        <f t="shared" si="6"/>
        <v>0</v>
      </c>
      <c r="J52" s="328" t="e">
        <f t="shared" si="7"/>
        <v>#DIV/0!</v>
      </c>
      <c r="K52" s="453" t="e">
        <f t="shared" si="8"/>
        <v>#DIV/0!</v>
      </c>
      <c r="L52" s="344" t="s">
        <v>102</v>
      </c>
    </row>
    <row r="53" spans="1:12" ht="16.5">
      <c r="A53" s="132">
        <v>46072</v>
      </c>
      <c r="B53" s="327">
        <f t="shared" si="9"/>
        <v>0</v>
      </c>
      <c r="C53" s="373">
        <f t="shared" si="9"/>
        <v>0</v>
      </c>
      <c r="D53" s="327" t="e">
        <f t="shared" si="1"/>
        <v>#DIV/0!</v>
      </c>
      <c r="E53" s="373">
        <f t="shared" si="2"/>
        <v>0</v>
      </c>
      <c r="F53" s="327" t="e">
        <f t="shared" si="3"/>
        <v>#DIV/0!</v>
      </c>
      <c r="G53" s="373">
        <f t="shared" si="4"/>
        <v>0</v>
      </c>
      <c r="H53" s="327" t="e">
        <f t="shared" si="5"/>
        <v>#DIV/0!</v>
      </c>
      <c r="I53" s="373">
        <f t="shared" si="6"/>
        <v>0</v>
      </c>
      <c r="J53" s="328" t="e">
        <f t="shared" si="7"/>
        <v>#DIV/0!</v>
      </c>
      <c r="K53" s="453" t="e">
        <f t="shared" si="8"/>
        <v>#DIV/0!</v>
      </c>
      <c r="L53" s="344" t="s">
        <v>102</v>
      </c>
    </row>
    <row r="54" spans="1:12" ht="16.5">
      <c r="A54" s="132">
        <v>46073</v>
      </c>
      <c r="B54" s="327">
        <f t="shared" si="9"/>
        <v>0</v>
      </c>
      <c r="C54" s="373">
        <f t="shared" si="9"/>
        <v>0</v>
      </c>
      <c r="D54" s="327" t="e">
        <f t="shared" si="1"/>
        <v>#DIV/0!</v>
      </c>
      <c r="E54" s="373">
        <f t="shared" si="2"/>
        <v>0</v>
      </c>
      <c r="F54" s="327" t="e">
        <f t="shared" si="3"/>
        <v>#DIV/0!</v>
      </c>
      <c r="G54" s="373">
        <f t="shared" si="4"/>
        <v>0</v>
      </c>
      <c r="H54" s="327" t="e">
        <f t="shared" si="5"/>
        <v>#DIV/0!</v>
      </c>
      <c r="I54" s="373">
        <f t="shared" si="6"/>
        <v>0</v>
      </c>
      <c r="J54" s="328" t="e">
        <f t="shared" si="7"/>
        <v>#DIV/0!</v>
      </c>
      <c r="K54" s="453" t="e">
        <f t="shared" si="8"/>
        <v>#DIV/0!</v>
      </c>
      <c r="L54" s="344" t="s">
        <v>102</v>
      </c>
    </row>
    <row r="55" spans="1:12" ht="16.5">
      <c r="A55" s="132">
        <v>46074</v>
      </c>
      <c r="B55" s="327">
        <f t="shared" si="9"/>
        <v>0</v>
      </c>
      <c r="C55" s="373">
        <f t="shared" si="9"/>
        <v>0</v>
      </c>
      <c r="D55" s="327" t="e">
        <f t="shared" si="1"/>
        <v>#DIV/0!</v>
      </c>
      <c r="E55" s="373">
        <f t="shared" si="2"/>
        <v>0</v>
      </c>
      <c r="F55" s="327" t="e">
        <f t="shared" si="3"/>
        <v>#DIV/0!</v>
      </c>
      <c r="G55" s="373">
        <f t="shared" si="4"/>
        <v>0</v>
      </c>
      <c r="H55" s="327" t="e">
        <f t="shared" si="5"/>
        <v>#DIV/0!</v>
      </c>
      <c r="I55" s="373">
        <f t="shared" si="6"/>
        <v>0</v>
      </c>
      <c r="J55" s="328" t="e">
        <f t="shared" si="7"/>
        <v>#DIV/0!</v>
      </c>
      <c r="K55" s="453" t="e">
        <f t="shared" si="8"/>
        <v>#DIV/0!</v>
      </c>
      <c r="L55" s="344" t="s">
        <v>102</v>
      </c>
    </row>
    <row r="56" spans="1:12" ht="16.5">
      <c r="A56" s="132">
        <v>46075</v>
      </c>
      <c r="B56" s="327">
        <f t="shared" si="9"/>
        <v>0</v>
      </c>
      <c r="C56" s="373">
        <f t="shared" si="9"/>
        <v>0</v>
      </c>
      <c r="D56" s="327" t="e">
        <f t="shared" si="1"/>
        <v>#DIV/0!</v>
      </c>
      <c r="E56" s="373">
        <f t="shared" si="2"/>
        <v>0</v>
      </c>
      <c r="F56" s="327" t="e">
        <f t="shared" si="3"/>
        <v>#DIV/0!</v>
      </c>
      <c r="G56" s="373">
        <f t="shared" si="4"/>
        <v>0</v>
      </c>
      <c r="H56" s="327" t="e">
        <f t="shared" si="5"/>
        <v>#DIV/0!</v>
      </c>
      <c r="I56" s="373">
        <f t="shared" si="6"/>
        <v>0</v>
      </c>
      <c r="J56" s="328" t="e">
        <f t="shared" si="7"/>
        <v>#DIV/0!</v>
      </c>
      <c r="K56" s="453" t="e">
        <f t="shared" si="8"/>
        <v>#DIV/0!</v>
      </c>
      <c r="L56" s="344" t="s">
        <v>102</v>
      </c>
    </row>
    <row r="57" spans="1:12" ht="16.5">
      <c r="A57" s="132">
        <v>46076</v>
      </c>
      <c r="B57" s="327">
        <f t="shared" si="9"/>
        <v>0</v>
      </c>
      <c r="C57" s="373">
        <f t="shared" si="9"/>
        <v>0</v>
      </c>
      <c r="D57" s="327" t="e">
        <f t="shared" si="1"/>
        <v>#DIV/0!</v>
      </c>
      <c r="E57" s="373">
        <f t="shared" si="2"/>
        <v>0</v>
      </c>
      <c r="F57" s="327" t="e">
        <f t="shared" si="3"/>
        <v>#DIV/0!</v>
      </c>
      <c r="G57" s="373">
        <f t="shared" si="4"/>
        <v>0</v>
      </c>
      <c r="H57" s="327" t="e">
        <f t="shared" si="5"/>
        <v>#DIV/0!</v>
      </c>
      <c r="I57" s="373">
        <f t="shared" si="6"/>
        <v>0</v>
      </c>
      <c r="J57" s="328" t="e">
        <f t="shared" si="7"/>
        <v>#DIV/0!</v>
      </c>
      <c r="K57" s="453" t="e">
        <f t="shared" si="8"/>
        <v>#DIV/0!</v>
      </c>
      <c r="L57" s="344" t="s">
        <v>102</v>
      </c>
    </row>
    <row r="58" spans="1:12" ht="16.5">
      <c r="A58" s="132">
        <v>46077</v>
      </c>
      <c r="B58" s="327">
        <f t="shared" si="9"/>
        <v>0</v>
      </c>
      <c r="C58" s="373">
        <f t="shared" si="9"/>
        <v>0</v>
      </c>
      <c r="D58" s="327" t="e">
        <f t="shared" si="1"/>
        <v>#DIV/0!</v>
      </c>
      <c r="E58" s="373">
        <f t="shared" si="2"/>
        <v>0</v>
      </c>
      <c r="F58" s="327" t="e">
        <f t="shared" si="3"/>
        <v>#DIV/0!</v>
      </c>
      <c r="G58" s="373">
        <f t="shared" si="4"/>
        <v>0</v>
      </c>
      <c r="H58" s="327" t="e">
        <f t="shared" si="5"/>
        <v>#DIV/0!</v>
      </c>
      <c r="I58" s="373">
        <f t="shared" si="6"/>
        <v>0</v>
      </c>
      <c r="J58" s="328" t="e">
        <f t="shared" si="7"/>
        <v>#DIV/0!</v>
      </c>
      <c r="K58" s="453" t="e">
        <f t="shared" si="8"/>
        <v>#DIV/0!</v>
      </c>
      <c r="L58" s="344" t="s">
        <v>102</v>
      </c>
    </row>
    <row r="59" spans="1:12" ht="17.25" thickBot="1">
      <c r="A59" s="132">
        <v>46078</v>
      </c>
      <c r="B59" s="346">
        <f t="shared" si="9"/>
        <v>0</v>
      </c>
      <c r="C59" s="375">
        <f t="shared" si="9"/>
        <v>0</v>
      </c>
      <c r="D59" s="346" t="e">
        <f t="shared" si="1"/>
        <v>#DIV/0!</v>
      </c>
      <c r="E59" s="375">
        <f t="shared" si="2"/>
        <v>0</v>
      </c>
      <c r="F59" s="346" t="e">
        <f t="shared" si="3"/>
        <v>#DIV/0!</v>
      </c>
      <c r="G59" s="375">
        <f t="shared" si="4"/>
        <v>0</v>
      </c>
      <c r="H59" s="346" t="e">
        <f t="shared" si="5"/>
        <v>#DIV/0!</v>
      </c>
      <c r="I59" s="375">
        <f t="shared" si="6"/>
        <v>0</v>
      </c>
      <c r="J59" s="347" t="e">
        <f t="shared" si="7"/>
        <v>#DIV/0!</v>
      </c>
      <c r="K59" s="235" t="e">
        <f t="shared" si="8"/>
        <v>#DIV/0!</v>
      </c>
      <c r="L59" s="348" t="s">
        <v>102</v>
      </c>
    </row>
    <row r="60" spans="1:12" ht="16.5">
      <c r="A60" s="320">
        <v>46079</v>
      </c>
      <c r="B60" s="218">
        <f t="shared" si="9"/>
        <v>0</v>
      </c>
      <c r="C60" s="435">
        <f t="shared" si="9"/>
        <v>0</v>
      </c>
      <c r="D60" s="218" t="e">
        <f t="shared" si="1"/>
        <v>#DIV/0!</v>
      </c>
      <c r="E60" s="435">
        <f t="shared" si="2"/>
        <v>0</v>
      </c>
      <c r="F60" s="218" t="e">
        <f t="shared" si="3"/>
        <v>#DIV/0!</v>
      </c>
      <c r="G60" s="435">
        <f t="shared" si="4"/>
        <v>0</v>
      </c>
      <c r="H60" s="218" t="e">
        <f t="shared" si="5"/>
        <v>#DIV/0!</v>
      </c>
      <c r="I60" s="435">
        <f t="shared" si="6"/>
        <v>0</v>
      </c>
      <c r="J60" s="436" t="e">
        <f t="shared" si="7"/>
        <v>#DIV/0!</v>
      </c>
      <c r="K60" s="219" t="e">
        <f t="shared" si="8"/>
        <v>#DIV/0!</v>
      </c>
      <c r="L60" s="437" t="s">
        <v>102</v>
      </c>
    </row>
    <row r="61" spans="1:12" ht="16.5">
      <c r="A61" s="321">
        <v>46080</v>
      </c>
      <c r="B61" s="327">
        <f t="shared" si="9"/>
        <v>0</v>
      </c>
      <c r="C61" s="373">
        <f t="shared" si="9"/>
        <v>0</v>
      </c>
      <c r="D61" s="327" t="e">
        <f t="shared" si="1"/>
        <v>#DIV/0!</v>
      </c>
      <c r="E61" s="373">
        <f t="shared" si="2"/>
        <v>0</v>
      </c>
      <c r="F61" s="327" t="e">
        <f t="shared" si="3"/>
        <v>#DIV/0!</v>
      </c>
      <c r="G61" s="373">
        <f t="shared" si="4"/>
        <v>0</v>
      </c>
      <c r="H61" s="327" t="e">
        <f t="shared" si="5"/>
        <v>#DIV/0!</v>
      </c>
      <c r="I61" s="373">
        <f t="shared" si="6"/>
        <v>0</v>
      </c>
      <c r="J61" s="328" t="e">
        <f t="shared" si="7"/>
        <v>#DIV/0!</v>
      </c>
      <c r="K61" s="453" t="e">
        <f t="shared" si="8"/>
        <v>#DIV/0!</v>
      </c>
      <c r="L61" s="344" t="s">
        <v>102</v>
      </c>
    </row>
    <row r="62" spans="1:12" ht="16.5">
      <c r="A62" s="322">
        <v>46081</v>
      </c>
      <c r="B62" s="327">
        <f t="shared" si="9"/>
        <v>0</v>
      </c>
      <c r="C62" s="373">
        <f t="shared" si="9"/>
        <v>0</v>
      </c>
      <c r="D62" s="327" t="e">
        <f t="shared" si="1"/>
        <v>#DIV/0!</v>
      </c>
      <c r="E62" s="373">
        <f t="shared" si="2"/>
        <v>0</v>
      </c>
      <c r="F62" s="327" t="e">
        <f t="shared" si="3"/>
        <v>#DIV/0!</v>
      </c>
      <c r="G62" s="373">
        <f t="shared" si="4"/>
        <v>0</v>
      </c>
      <c r="H62" s="327" t="e">
        <f t="shared" si="5"/>
        <v>#DIV/0!</v>
      </c>
      <c r="I62" s="373">
        <f t="shared" si="6"/>
        <v>0</v>
      </c>
      <c r="J62" s="328" t="e">
        <f t="shared" si="7"/>
        <v>#DIV/0!</v>
      </c>
      <c r="K62" s="453" t="e">
        <f t="shared" si="8"/>
        <v>#DIV/0!</v>
      </c>
      <c r="L62" s="344" t="s">
        <v>102</v>
      </c>
    </row>
    <row r="63" spans="1:12" ht="16.5">
      <c r="A63" s="322">
        <v>46082</v>
      </c>
      <c r="B63" s="327">
        <f t="shared" si="9"/>
        <v>0</v>
      </c>
      <c r="C63" s="373">
        <f t="shared" si="9"/>
        <v>0</v>
      </c>
      <c r="D63" s="327" t="e">
        <f t="shared" si="1"/>
        <v>#DIV/0!</v>
      </c>
      <c r="E63" s="373">
        <f t="shared" si="2"/>
        <v>0</v>
      </c>
      <c r="F63" s="327" t="e">
        <f t="shared" si="3"/>
        <v>#DIV/0!</v>
      </c>
      <c r="G63" s="373">
        <f t="shared" si="4"/>
        <v>0</v>
      </c>
      <c r="H63" s="327" t="e">
        <f t="shared" si="5"/>
        <v>#DIV/0!</v>
      </c>
      <c r="I63" s="373">
        <f t="shared" si="6"/>
        <v>0</v>
      </c>
      <c r="J63" s="328" t="e">
        <f t="shared" si="7"/>
        <v>#DIV/0!</v>
      </c>
      <c r="K63" s="453" t="e">
        <f t="shared" si="8"/>
        <v>#DIV/0!</v>
      </c>
      <c r="L63" s="344" t="s">
        <v>102</v>
      </c>
    </row>
    <row r="64" spans="1:12" ht="16.5">
      <c r="A64" s="322">
        <v>46083</v>
      </c>
      <c r="B64" s="327">
        <f t="shared" si="9"/>
        <v>0</v>
      </c>
      <c r="C64" s="373">
        <f t="shared" si="9"/>
        <v>0</v>
      </c>
      <c r="D64" s="327" t="e">
        <f t="shared" si="1"/>
        <v>#DIV/0!</v>
      </c>
      <c r="E64" s="373">
        <f t="shared" si="2"/>
        <v>0</v>
      </c>
      <c r="F64" s="327" t="e">
        <f t="shared" si="3"/>
        <v>#DIV/0!</v>
      </c>
      <c r="G64" s="373">
        <f t="shared" si="4"/>
        <v>0</v>
      </c>
      <c r="H64" s="327" t="e">
        <f t="shared" si="5"/>
        <v>#DIV/0!</v>
      </c>
      <c r="I64" s="373">
        <f t="shared" si="6"/>
        <v>0</v>
      </c>
      <c r="J64" s="328" t="e">
        <f t="shared" si="7"/>
        <v>#DIV/0!</v>
      </c>
      <c r="K64" s="453" t="e">
        <f t="shared" si="8"/>
        <v>#DIV/0!</v>
      </c>
      <c r="L64" s="344" t="s">
        <v>102</v>
      </c>
    </row>
    <row r="65" spans="1:12" ht="16.5">
      <c r="A65" s="325">
        <v>46084</v>
      </c>
      <c r="B65" s="327">
        <f t="shared" si="9"/>
        <v>0</v>
      </c>
      <c r="C65" s="373">
        <f t="shared" si="9"/>
        <v>0</v>
      </c>
      <c r="D65" s="327" t="e">
        <f t="shared" si="1"/>
        <v>#DIV/0!</v>
      </c>
      <c r="E65" s="373">
        <f t="shared" si="2"/>
        <v>0</v>
      </c>
      <c r="F65" s="327" t="e">
        <f t="shared" si="3"/>
        <v>#DIV/0!</v>
      </c>
      <c r="G65" s="373">
        <f t="shared" si="4"/>
        <v>0</v>
      </c>
      <c r="H65" s="327" t="e">
        <f t="shared" si="5"/>
        <v>#DIV/0!</v>
      </c>
      <c r="I65" s="373">
        <f t="shared" si="6"/>
        <v>0</v>
      </c>
      <c r="J65" s="328" t="e">
        <f t="shared" si="7"/>
        <v>#DIV/0!</v>
      </c>
      <c r="K65" s="453" t="e">
        <f t="shared" si="8"/>
        <v>#DIV/0!</v>
      </c>
      <c r="L65" s="344" t="s">
        <v>102</v>
      </c>
    </row>
    <row r="66" spans="1:12" ht="16.5">
      <c r="A66" s="325">
        <v>46085</v>
      </c>
      <c r="B66" s="327">
        <f t="shared" ref="B66:C97" si="10">P66+AD66</f>
        <v>0</v>
      </c>
      <c r="C66" s="373">
        <f t="shared" si="10"/>
        <v>0</v>
      </c>
      <c r="D66" s="327" t="e">
        <f t="shared" ref="D66:D119" si="11">B66/C66</f>
        <v>#DIV/0!</v>
      </c>
      <c r="E66" s="373">
        <f t="shared" ref="E66:E119" si="12">S66+AG66</f>
        <v>0</v>
      </c>
      <c r="F66" s="327" t="e">
        <f t="shared" ref="F66:F119" si="13">B66/E66</f>
        <v>#DIV/0!</v>
      </c>
      <c r="G66" s="373">
        <f t="shared" ref="G66:G119" si="14">U66+AI66</f>
        <v>0</v>
      </c>
      <c r="H66" s="327" t="e">
        <f t="shared" ref="H66:H119" si="15">B66/G66</f>
        <v>#DIV/0!</v>
      </c>
      <c r="I66" s="373">
        <f t="shared" ref="I66:I119" si="16">W66+AK66</f>
        <v>0</v>
      </c>
      <c r="J66" s="328" t="e">
        <f t="shared" ref="J66:J124" si="17">I66/B66</f>
        <v>#DIV/0!</v>
      </c>
      <c r="K66" s="453" t="e">
        <f t="shared" ref="K66:K119" si="18">I66/G66</f>
        <v>#DIV/0!</v>
      </c>
      <c r="L66" s="344" t="s">
        <v>102</v>
      </c>
    </row>
    <row r="67" spans="1:12" ht="16.5">
      <c r="A67" s="325">
        <v>46086</v>
      </c>
      <c r="B67" s="327">
        <f t="shared" si="10"/>
        <v>0</v>
      </c>
      <c r="C67" s="373">
        <f t="shared" si="10"/>
        <v>0</v>
      </c>
      <c r="D67" s="327" t="e">
        <f t="shared" si="11"/>
        <v>#DIV/0!</v>
      </c>
      <c r="E67" s="373">
        <f t="shared" si="12"/>
        <v>0</v>
      </c>
      <c r="F67" s="327" t="e">
        <f t="shared" si="13"/>
        <v>#DIV/0!</v>
      </c>
      <c r="G67" s="373">
        <f t="shared" si="14"/>
        <v>0</v>
      </c>
      <c r="H67" s="327" t="e">
        <f t="shared" si="15"/>
        <v>#DIV/0!</v>
      </c>
      <c r="I67" s="373">
        <f t="shared" si="16"/>
        <v>0</v>
      </c>
      <c r="J67" s="328" t="e">
        <f t="shared" si="17"/>
        <v>#DIV/0!</v>
      </c>
      <c r="K67" s="453" t="e">
        <f t="shared" si="18"/>
        <v>#DIV/0!</v>
      </c>
      <c r="L67" s="344" t="s">
        <v>102</v>
      </c>
    </row>
    <row r="68" spans="1:12" ht="16.5">
      <c r="A68" s="321">
        <v>46087</v>
      </c>
      <c r="B68" s="327">
        <f t="shared" si="10"/>
        <v>0</v>
      </c>
      <c r="C68" s="373">
        <f t="shared" si="10"/>
        <v>0</v>
      </c>
      <c r="D68" s="327" t="e">
        <f t="shared" si="11"/>
        <v>#DIV/0!</v>
      </c>
      <c r="E68" s="373">
        <f t="shared" si="12"/>
        <v>0</v>
      </c>
      <c r="F68" s="327" t="e">
        <f t="shared" si="13"/>
        <v>#DIV/0!</v>
      </c>
      <c r="G68" s="373">
        <f t="shared" si="14"/>
        <v>0</v>
      </c>
      <c r="H68" s="327" t="e">
        <f t="shared" si="15"/>
        <v>#DIV/0!</v>
      </c>
      <c r="I68" s="373">
        <f t="shared" si="16"/>
        <v>0</v>
      </c>
      <c r="J68" s="328" t="e">
        <f t="shared" si="17"/>
        <v>#DIV/0!</v>
      </c>
      <c r="K68" s="453" t="e">
        <f t="shared" si="18"/>
        <v>#DIV/0!</v>
      </c>
      <c r="L68" s="344" t="s">
        <v>102</v>
      </c>
    </row>
    <row r="69" spans="1:12" ht="16.5">
      <c r="A69" s="321">
        <v>46088</v>
      </c>
      <c r="B69" s="327">
        <f t="shared" si="10"/>
        <v>0</v>
      </c>
      <c r="C69" s="373">
        <f t="shared" si="10"/>
        <v>0</v>
      </c>
      <c r="D69" s="327" t="e">
        <f t="shared" si="11"/>
        <v>#DIV/0!</v>
      </c>
      <c r="E69" s="373">
        <f t="shared" si="12"/>
        <v>0</v>
      </c>
      <c r="F69" s="327" t="e">
        <f t="shared" si="13"/>
        <v>#DIV/0!</v>
      </c>
      <c r="G69" s="373">
        <f t="shared" si="14"/>
        <v>0</v>
      </c>
      <c r="H69" s="327" t="e">
        <f t="shared" si="15"/>
        <v>#DIV/0!</v>
      </c>
      <c r="I69" s="373">
        <f t="shared" si="16"/>
        <v>0</v>
      </c>
      <c r="J69" s="328" t="e">
        <f t="shared" si="17"/>
        <v>#DIV/0!</v>
      </c>
      <c r="K69" s="453" t="e">
        <f t="shared" si="18"/>
        <v>#DIV/0!</v>
      </c>
      <c r="L69" s="344" t="s">
        <v>102</v>
      </c>
    </row>
    <row r="70" spans="1:12" ht="16.5">
      <c r="A70" s="322">
        <v>46089</v>
      </c>
      <c r="B70" s="327">
        <f t="shared" si="10"/>
        <v>0</v>
      </c>
      <c r="C70" s="373">
        <f t="shared" si="10"/>
        <v>0</v>
      </c>
      <c r="D70" s="327" t="e">
        <f t="shared" si="11"/>
        <v>#DIV/0!</v>
      </c>
      <c r="E70" s="373">
        <f t="shared" si="12"/>
        <v>0</v>
      </c>
      <c r="F70" s="327" t="e">
        <f t="shared" si="13"/>
        <v>#DIV/0!</v>
      </c>
      <c r="G70" s="373">
        <f t="shared" si="14"/>
        <v>0</v>
      </c>
      <c r="H70" s="327" t="e">
        <f t="shared" si="15"/>
        <v>#DIV/0!</v>
      </c>
      <c r="I70" s="373">
        <f t="shared" si="16"/>
        <v>0</v>
      </c>
      <c r="J70" s="328" t="e">
        <f t="shared" si="17"/>
        <v>#DIV/0!</v>
      </c>
      <c r="K70" s="453" t="e">
        <f t="shared" si="18"/>
        <v>#DIV/0!</v>
      </c>
      <c r="L70" s="344" t="s">
        <v>102</v>
      </c>
    </row>
    <row r="71" spans="1:12" ht="16.5">
      <c r="A71" s="322">
        <v>46090</v>
      </c>
      <c r="B71" s="327">
        <f t="shared" si="10"/>
        <v>0</v>
      </c>
      <c r="C71" s="373">
        <f t="shared" si="10"/>
        <v>0</v>
      </c>
      <c r="D71" s="327" t="e">
        <f t="shared" si="11"/>
        <v>#DIV/0!</v>
      </c>
      <c r="E71" s="373">
        <f t="shared" si="12"/>
        <v>0</v>
      </c>
      <c r="F71" s="327" t="e">
        <f t="shared" si="13"/>
        <v>#DIV/0!</v>
      </c>
      <c r="G71" s="373">
        <f t="shared" si="14"/>
        <v>0</v>
      </c>
      <c r="H71" s="327" t="e">
        <f t="shared" si="15"/>
        <v>#DIV/0!</v>
      </c>
      <c r="I71" s="373">
        <f t="shared" si="16"/>
        <v>0</v>
      </c>
      <c r="J71" s="328" t="e">
        <f t="shared" si="17"/>
        <v>#DIV/0!</v>
      </c>
      <c r="K71" s="453" t="e">
        <f t="shared" si="18"/>
        <v>#DIV/0!</v>
      </c>
      <c r="L71" s="344" t="s">
        <v>102</v>
      </c>
    </row>
    <row r="72" spans="1:12" ht="16.5">
      <c r="A72" s="321">
        <v>46091</v>
      </c>
      <c r="B72" s="327">
        <f t="shared" si="10"/>
        <v>0</v>
      </c>
      <c r="C72" s="373">
        <f t="shared" si="10"/>
        <v>0</v>
      </c>
      <c r="D72" s="327" t="e">
        <f t="shared" si="11"/>
        <v>#DIV/0!</v>
      </c>
      <c r="E72" s="373">
        <f t="shared" si="12"/>
        <v>0</v>
      </c>
      <c r="F72" s="327" t="e">
        <f t="shared" si="13"/>
        <v>#DIV/0!</v>
      </c>
      <c r="G72" s="373">
        <f t="shared" si="14"/>
        <v>0</v>
      </c>
      <c r="H72" s="327" t="e">
        <f t="shared" si="15"/>
        <v>#DIV/0!</v>
      </c>
      <c r="I72" s="373">
        <f t="shared" si="16"/>
        <v>0</v>
      </c>
      <c r="J72" s="328" t="e">
        <f t="shared" si="17"/>
        <v>#DIV/0!</v>
      </c>
      <c r="K72" s="453" t="e">
        <f t="shared" si="18"/>
        <v>#DIV/0!</v>
      </c>
      <c r="L72" s="344" t="s">
        <v>102</v>
      </c>
    </row>
    <row r="73" spans="1:12" ht="16.5">
      <c r="A73" s="321">
        <v>46092</v>
      </c>
      <c r="B73" s="327">
        <f t="shared" si="10"/>
        <v>0</v>
      </c>
      <c r="C73" s="373">
        <f t="shared" si="10"/>
        <v>0</v>
      </c>
      <c r="D73" s="327" t="e">
        <f t="shared" si="11"/>
        <v>#DIV/0!</v>
      </c>
      <c r="E73" s="373">
        <f t="shared" si="12"/>
        <v>0</v>
      </c>
      <c r="F73" s="327" t="e">
        <f t="shared" si="13"/>
        <v>#DIV/0!</v>
      </c>
      <c r="G73" s="373">
        <f t="shared" si="14"/>
        <v>0</v>
      </c>
      <c r="H73" s="327" t="e">
        <f t="shared" si="15"/>
        <v>#DIV/0!</v>
      </c>
      <c r="I73" s="373">
        <f t="shared" si="16"/>
        <v>0</v>
      </c>
      <c r="J73" s="328" t="e">
        <f t="shared" si="17"/>
        <v>#DIV/0!</v>
      </c>
      <c r="K73" s="453" t="e">
        <f t="shared" si="18"/>
        <v>#DIV/0!</v>
      </c>
      <c r="L73" s="344" t="s">
        <v>102</v>
      </c>
    </row>
    <row r="74" spans="1:12" ht="16.5">
      <c r="A74" s="321">
        <v>46093</v>
      </c>
      <c r="B74" s="327">
        <f t="shared" si="10"/>
        <v>0</v>
      </c>
      <c r="C74" s="373">
        <f t="shared" si="10"/>
        <v>0</v>
      </c>
      <c r="D74" s="327" t="e">
        <f t="shared" si="11"/>
        <v>#DIV/0!</v>
      </c>
      <c r="E74" s="373">
        <f t="shared" si="12"/>
        <v>0</v>
      </c>
      <c r="F74" s="327" t="e">
        <f t="shared" si="13"/>
        <v>#DIV/0!</v>
      </c>
      <c r="G74" s="373">
        <f t="shared" si="14"/>
        <v>0</v>
      </c>
      <c r="H74" s="327" t="e">
        <f t="shared" si="15"/>
        <v>#DIV/0!</v>
      </c>
      <c r="I74" s="373">
        <f t="shared" si="16"/>
        <v>0</v>
      </c>
      <c r="J74" s="328" t="e">
        <f t="shared" si="17"/>
        <v>#DIV/0!</v>
      </c>
      <c r="K74" s="453" t="e">
        <f t="shared" si="18"/>
        <v>#DIV/0!</v>
      </c>
      <c r="L74" s="344" t="s">
        <v>102</v>
      </c>
    </row>
    <row r="75" spans="1:12" ht="16.5">
      <c r="A75" s="321">
        <v>46094</v>
      </c>
      <c r="B75" s="327">
        <f t="shared" si="10"/>
        <v>0</v>
      </c>
      <c r="C75" s="373">
        <f t="shared" si="10"/>
        <v>0</v>
      </c>
      <c r="D75" s="327" t="e">
        <f t="shared" si="11"/>
        <v>#DIV/0!</v>
      </c>
      <c r="E75" s="373">
        <f t="shared" si="12"/>
        <v>0</v>
      </c>
      <c r="F75" s="327" t="e">
        <f t="shared" si="13"/>
        <v>#DIV/0!</v>
      </c>
      <c r="G75" s="373">
        <f t="shared" si="14"/>
        <v>0</v>
      </c>
      <c r="H75" s="327" t="e">
        <f t="shared" si="15"/>
        <v>#DIV/0!</v>
      </c>
      <c r="I75" s="373">
        <f t="shared" si="16"/>
        <v>0</v>
      </c>
      <c r="J75" s="328" t="e">
        <f t="shared" si="17"/>
        <v>#DIV/0!</v>
      </c>
      <c r="K75" s="453" t="e">
        <f t="shared" si="18"/>
        <v>#DIV/0!</v>
      </c>
      <c r="L75" s="344" t="s">
        <v>102</v>
      </c>
    </row>
    <row r="76" spans="1:12" ht="16.5">
      <c r="A76" s="321">
        <v>46095</v>
      </c>
      <c r="B76" s="327">
        <f t="shared" si="10"/>
        <v>0</v>
      </c>
      <c r="C76" s="373">
        <f t="shared" si="10"/>
        <v>0</v>
      </c>
      <c r="D76" s="327" t="e">
        <f t="shared" si="11"/>
        <v>#DIV/0!</v>
      </c>
      <c r="E76" s="373">
        <f t="shared" si="12"/>
        <v>0</v>
      </c>
      <c r="F76" s="327" t="e">
        <f t="shared" si="13"/>
        <v>#DIV/0!</v>
      </c>
      <c r="G76" s="373">
        <f t="shared" si="14"/>
        <v>0</v>
      </c>
      <c r="H76" s="327" t="e">
        <f t="shared" si="15"/>
        <v>#DIV/0!</v>
      </c>
      <c r="I76" s="373">
        <f t="shared" si="16"/>
        <v>0</v>
      </c>
      <c r="J76" s="328" t="e">
        <f t="shared" si="17"/>
        <v>#DIV/0!</v>
      </c>
      <c r="K76" s="453" t="e">
        <f t="shared" si="18"/>
        <v>#DIV/0!</v>
      </c>
      <c r="L76" s="344" t="s">
        <v>102</v>
      </c>
    </row>
    <row r="77" spans="1:12" ht="16.5">
      <c r="A77" s="321">
        <v>46096</v>
      </c>
      <c r="B77" s="327">
        <f t="shared" si="10"/>
        <v>0</v>
      </c>
      <c r="C77" s="373">
        <f t="shared" si="10"/>
        <v>0</v>
      </c>
      <c r="D77" s="327" t="e">
        <f t="shared" si="11"/>
        <v>#DIV/0!</v>
      </c>
      <c r="E77" s="373">
        <f t="shared" si="12"/>
        <v>0</v>
      </c>
      <c r="F77" s="327" t="e">
        <f t="shared" si="13"/>
        <v>#DIV/0!</v>
      </c>
      <c r="G77" s="373">
        <f t="shared" si="14"/>
        <v>0</v>
      </c>
      <c r="H77" s="327" t="e">
        <f t="shared" si="15"/>
        <v>#DIV/0!</v>
      </c>
      <c r="I77" s="373">
        <f t="shared" si="16"/>
        <v>0</v>
      </c>
      <c r="J77" s="328" t="e">
        <f t="shared" si="17"/>
        <v>#DIV/0!</v>
      </c>
      <c r="K77" s="453" t="e">
        <f t="shared" si="18"/>
        <v>#DIV/0!</v>
      </c>
      <c r="L77" s="344" t="s">
        <v>102</v>
      </c>
    </row>
    <row r="78" spans="1:12" ht="16.5">
      <c r="A78" s="321">
        <v>46097</v>
      </c>
      <c r="B78" s="327">
        <f t="shared" si="10"/>
        <v>0</v>
      </c>
      <c r="C78" s="373">
        <f t="shared" si="10"/>
        <v>0</v>
      </c>
      <c r="D78" s="327" t="e">
        <f t="shared" si="11"/>
        <v>#DIV/0!</v>
      </c>
      <c r="E78" s="373">
        <f t="shared" si="12"/>
        <v>0</v>
      </c>
      <c r="F78" s="327" t="e">
        <f t="shared" si="13"/>
        <v>#DIV/0!</v>
      </c>
      <c r="G78" s="373">
        <f t="shared" si="14"/>
        <v>0</v>
      </c>
      <c r="H78" s="327" t="e">
        <f t="shared" si="15"/>
        <v>#DIV/0!</v>
      </c>
      <c r="I78" s="373">
        <f t="shared" si="16"/>
        <v>0</v>
      </c>
      <c r="J78" s="328" t="e">
        <f t="shared" si="17"/>
        <v>#DIV/0!</v>
      </c>
      <c r="K78" s="453" t="e">
        <f t="shared" si="18"/>
        <v>#DIV/0!</v>
      </c>
      <c r="L78" s="344" t="s">
        <v>102</v>
      </c>
    </row>
    <row r="79" spans="1:12" ht="16.5">
      <c r="A79" s="321">
        <v>46098</v>
      </c>
      <c r="B79" s="327">
        <f t="shared" si="10"/>
        <v>0</v>
      </c>
      <c r="C79" s="373">
        <f t="shared" si="10"/>
        <v>0</v>
      </c>
      <c r="D79" s="327" t="e">
        <f t="shared" si="11"/>
        <v>#DIV/0!</v>
      </c>
      <c r="E79" s="373">
        <f t="shared" si="12"/>
        <v>0</v>
      </c>
      <c r="F79" s="327" t="e">
        <f t="shared" si="13"/>
        <v>#DIV/0!</v>
      </c>
      <c r="G79" s="373">
        <f t="shared" si="14"/>
        <v>0</v>
      </c>
      <c r="H79" s="327" t="e">
        <f t="shared" si="15"/>
        <v>#DIV/0!</v>
      </c>
      <c r="I79" s="373">
        <f t="shared" si="16"/>
        <v>0</v>
      </c>
      <c r="J79" s="328" t="e">
        <f t="shared" si="17"/>
        <v>#DIV/0!</v>
      </c>
      <c r="K79" s="453" t="e">
        <f t="shared" si="18"/>
        <v>#DIV/0!</v>
      </c>
      <c r="L79" s="344" t="s">
        <v>102</v>
      </c>
    </row>
    <row r="80" spans="1:12" ht="17.25" thickBot="1">
      <c r="A80" s="321">
        <v>46099</v>
      </c>
      <c r="B80" s="346">
        <f t="shared" si="10"/>
        <v>0</v>
      </c>
      <c r="C80" s="375">
        <f t="shared" si="10"/>
        <v>0</v>
      </c>
      <c r="D80" s="346" t="e">
        <f t="shared" si="11"/>
        <v>#DIV/0!</v>
      </c>
      <c r="E80" s="375">
        <f t="shared" si="12"/>
        <v>0</v>
      </c>
      <c r="F80" s="346" t="e">
        <f t="shared" si="13"/>
        <v>#DIV/0!</v>
      </c>
      <c r="G80" s="375">
        <f t="shared" si="14"/>
        <v>0</v>
      </c>
      <c r="H80" s="346" t="e">
        <f t="shared" si="15"/>
        <v>#DIV/0!</v>
      </c>
      <c r="I80" s="375">
        <f t="shared" si="16"/>
        <v>0</v>
      </c>
      <c r="J80" s="347" t="e">
        <f t="shared" si="17"/>
        <v>#DIV/0!</v>
      </c>
      <c r="K80" s="235" t="e">
        <f t="shared" si="18"/>
        <v>#DIV/0!</v>
      </c>
      <c r="L80" s="348" t="s">
        <v>102</v>
      </c>
    </row>
    <row r="81" spans="1:12" ht="16.5">
      <c r="A81" s="412">
        <v>46100</v>
      </c>
      <c r="B81" s="218">
        <f t="shared" si="10"/>
        <v>0</v>
      </c>
      <c r="C81" s="435">
        <f t="shared" si="10"/>
        <v>0</v>
      </c>
      <c r="D81" s="218" t="e">
        <f t="shared" si="11"/>
        <v>#DIV/0!</v>
      </c>
      <c r="E81" s="435">
        <f t="shared" si="12"/>
        <v>0</v>
      </c>
      <c r="F81" s="218" t="e">
        <f t="shared" si="13"/>
        <v>#DIV/0!</v>
      </c>
      <c r="G81" s="435">
        <f t="shared" si="14"/>
        <v>0</v>
      </c>
      <c r="H81" s="218" t="e">
        <f t="shared" si="15"/>
        <v>#DIV/0!</v>
      </c>
      <c r="I81" s="435">
        <f t="shared" si="16"/>
        <v>0</v>
      </c>
      <c r="J81" s="436" t="e">
        <f t="shared" si="17"/>
        <v>#DIV/0!</v>
      </c>
      <c r="K81" s="219" t="e">
        <f t="shared" si="18"/>
        <v>#DIV/0!</v>
      </c>
      <c r="L81" s="437" t="s">
        <v>102</v>
      </c>
    </row>
    <row r="82" spans="1:12" ht="16.5">
      <c r="A82" s="325">
        <v>46101</v>
      </c>
      <c r="B82" s="327">
        <f t="shared" si="10"/>
        <v>0</v>
      </c>
      <c r="C82" s="373">
        <f t="shared" si="10"/>
        <v>0</v>
      </c>
      <c r="D82" s="327" t="e">
        <f t="shared" si="11"/>
        <v>#DIV/0!</v>
      </c>
      <c r="E82" s="373">
        <f t="shared" si="12"/>
        <v>0</v>
      </c>
      <c r="F82" s="327" t="e">
        <f t="shared" si="13"/>
        <v>#DIV/0!</v>
      </c>
      <c r="G82" s="373">
        <f t="shared" si="14"/>
        <v>0</v>
      </c>
      <c r="H82" s="327" t="e">
        <f t="shared" si="15"/>
        <v>#DIV/0!</v>
      </c>
      <c r="I82" s="373">
        <f t="shared" si="16"/>
        <v>0</v>
      </c>
      <c r="J82" s="328" t="e">
        <f t="shared" si="17"/>
        <v>#DIV/0!</v>
      </c>
      <c r="K82" s="453" t="e">
        <f t="shared" si="18"/>
        <v>#DIV/0!</v>
      </c>
      <c r="L82" s="344" t="s">
        <v>102</v>
      </c>
    </row>
    <row r="83" spans="1:12" ht="16.5">
      <c r="A83" s="325">
        <v>46102</v>
      </c>
      <c r="B83" s="327">
        <f t="shared" si="10"/>
        <v>0</v>
      </c>
      <c r="C83" s="373">
        <f t="shared" si="10"/>
        <v>0</v>
      </c>
      <c r="D83" s="327" t="e">
        <f t="shared" si="11"/>
        <v>#DIV/0!</v>
      </c>
      <c r="E83" s="373">
        <f t="shared" si="12"/>
        <v>0</v>
      </c>
      <c r="F83" s="327" t="e">
        <f t="shared" si="13"/>
        <v>#DIV/0!</v>
      </c>
      <c r="G83" s="373">
        <f t="shared" si="14"/>
        <v>0</v>
      </c>
      <c r="H83" s="327" t="e">
        <f t="shared" si="15"/>
        <v>#DIV/0!</v>
      </c>
      <c r="I83" s="373">
        <f t="shared" si="16"/>
        <v>0</v>
      </c>
      <c r="J83" s="328" t="e">
        <f t="shared" si="17"/>
        <v>#DIV/0!</v>
      </c>
      <c r="K83" s="453" t="e">
        <f t="shared" si="18"/>
        <v>#DIV/0!</v>
      </c>
      <c r="L83" s="344" t="s">
        <v>102</v>
      </c>
    </row>
    <row r="84" spans="1:12" ht="16.5">
      <c r="A84" s="325">
        <v>46103</v>
      </c>
      <c r="B84" s="327">
        <f t="shared" si="10"/>
        <v>0</v>
      </c>
      <c r="C84" s="373">
        <f t="shared" si="10"/>
        <v>0</v>
      </c>
      <c r="D84" s="327" t="e">
        <f t="shared" si="11"/>
        <v>#DIV/0!</v>
      </c>
      <c r="E84" s="373">
        <f t="shared" si="12"/>
        <v>0</v>
      </c>
      <c r="F84" s="327" t="e">
        <f t="shared" si="13"/>
        <v>#DIV/0!</v>
      </c>
      <c r="G84" s="373">
        <f t="shared" si="14"/>
        <v>0</v>
      </c>
      <c r="H84" s="327" t="e">
        <f t="shared" si="15"/>
        <v>#DIV/0!</v>
      </c>
      <c r="I84" s="373">
        <f t="shared" si="16"/>
        <v>0</v>
      </c>
      <c r="J84" s="328" t="e">
        <f t="shared" si="17"/>
        <v>#DIV/0!</v>
      </c>
      <c r="K84" s="453" t="e">
        <f t="shared" si="18"/>
        <v>#DIV/0!</v>
      </c>
      <c r="L84" s="344" t="s">
        <v>102</v>
      </c>
    </row>
    <row r="85" spans="1:12" ht="16.5">
      <c r="A85" s="322">
        <v>46104</v>
      </c>
      <c r="B85" s="327">
        <f t="shared" si="10"/>
        <v>0</v>
      </c>
      <c r="C85" s="373">
        <f t="shared" si="10"/>
        <v>0</v>
      </c>
      <c r="D85" s="327" t="e">
        <f t="shared" si="11"/>
        <v>#DIV/0!</v>
      </c>
      <c r="E85" s="373">
        <f t="shared" si="12"/>
        <v>0</v>
      </c>
      <c r="F85" s="327" t="e">
        <f t="shared" si="13"/>
        <v>#DIV/0!</v>
      </c>
      <c r="G85" s="373">
        <f t="shared" si="14"/>
        <v>0</v>
      </c>
      <c r="H85" s="327" t="e">
        <f t="shared" si="15"/>
        <v>#DIV/0!</v>
      </c>
      <c r="I85" s="373">
        <f t="shared" si="16"/>
        <v>0</v>
      </c>
      <c r="J85" s="328" t="e">
        <f t="shared" si="17"/>
        <v>#DIV/0!</v>
      </c>
      <c r="K85" s="453" t="e">
        <f t="shared" si="18"/>
        <v>#DIV/0!</v>
      </c>
      <c r="L85" s="344" t="s">
        <v>102</v>
      </c>
    </row>
    <row r="86" spans="1:12" ht="16.5">
      <c r="A86" s="321">
        <v>46105</v>
      </c>
      <c r="B86" s="327">
        <f t="shared" si="10"/>
        <v>0</v>
      </c>
      <c r="C86" s="373">
        <f t="shared" si="10"/>
        <v>0</v>
      </c>
      <c r="D86" s="327" t="e">
        <f t="shared" si="11"/>
        <v>#DIV/0!</v>
      </c>
      <c r="E86" s="373">
        <f t="shared" si="12"/>
        <v>0</v>
      </c>
      <c r="F86" s="327" t="e">
        <f t="shared" si="13"/>
        <v>#DIV/0!</v>
      </c>
      <c r="G86" s="373">
        <f t="shared" si="14"/>
        <v>0</v>
      </c>
      <c r="H86" s="327" t="e">
        <f t="shared" si="15"/>
        <v>#DIV/0!</v>
      </c>
      <c r="I86" s="373">
        <f t="shared" si="16"/>
        <v>0</v>
      </c>
      <c r="J86" s="328" t="e">
        <f t="shared" si="17"/>
        <v>#DIV/0!</v>
      </c>
      <c r="K86" s="453" t="e">
        <f t="shared" si="18"/>
        <v>#DIV/0!</v>
      </c>
      <c r="L86" s="344" t="s">
        <v>102</v>
      </c>
    </row>
    <row r="87" spans="1:12" ht="16.5">
      <c r="A87" s="321">
        <v>46106</v>
      </c>
      <c r="B87" s="327">
        <f t="shared" si="10"/>
        <v>0</v>
      </c>
      <c r="C87" s="373">
        <f t="shared" si="10"/>
        <v>0</v>
      </c>
      <c r="D87" s="327" t="e">
        <f t="shared" si="11"/>
        <v>#DIV/0!</v>
      </c>
      <c r="E87" s="373">
        <f t="shared" si="12"/>
        <v>0</v>
      </c>
      <c r="F87" s="327" t="e">
        <f t="shared" si="13"/>
        <v>#DIV/0!</v>
      </c>
      <c r="G87" s="373">
        <f t="shared" si="14"/>
        <v>0</v>
      </c>
      <c r="H87" s="327" t="e">
        <f t="shared" si="15"/>
        <v>#DIV/0!</v>
      </c>
      <c r="I87" s="373">
        <f t="shared" si="16"/>
        <v>0</v>
      </c>
      <c r="J87" s="328" t="e">
        <f t="shared" si="17"/>
        <v>#DIV/0!</v>
      </c>
      <c r="K87" s="453" t="e">
        <f t="shared" si="18"/>
        <v>#DIV/0!</v>
      </c>
      <c r="L87" s="344" t="s">
        <v>102</v>
      </c>
    </row>
    <row r="88" spans="1:12" ht="16.5">
      <c r="A88" s="325">
        <v>46107</v>
      </c>
      <c r="B88" s="327">
        <f t="shared" si="10"/>
        <v>0</v>
      </c>
      <c r="C88" s="373">
        <f t="shared" si="10"/>
        <v>0</v>
      </c>
      <c r="D88" s="327" t="e">
        <f t="shared" si="11"/>
        <v>#DIV/0!</v>
      </c>
      <c r="E88" s="373">
        <f t="shared" si="12"/>
        <v>0</v>
      </c>
      <c r="F88" s="327" t="e">
        <f t="shared" si="13"/>
        <v>#DIV/0!</v>
      </c>
      <c r="G88" s="373">
        <f t="shared" si="14"/>
        <v>0</v>
      </c>
      <c r="H88" s="327" t="e">
        <f t="shared" si="15"/>
        <v>#DIV/0!</v>
      </c>
      <c r="I88" s="373">
        <f t="shared" si="16"/>
        <v>0</v>
      </c>
      <c r="J88" s="328" t="e">
        <f t="shared" si="17"/>
        <v>#DIV/0!</v>
      </c>
      <c r="K88" s="453" t="e">
        <f t="shared" si="18"/>
        <v>#DIV/0!</v>
      </c>
      <c r="L88" s="344" t="s">
        <v>102</v>
      </c>
    </row>
    <row r="89" spans="1:12" ht="16.5">
      <c r="A89" s="325">
        <v>46108</v>
      </c>
      <c r="B89" s="327">
        <f t="shared" si="10"/>
        <v>0</v>
      </c>
      <c r="C89" s="373">
        <f t="shared" si="10"/>
        <v>0</v>
      </c>
      <c r="D89" s="327" t="e">
        <f t="shared" si="11"/>
        <v>#DIV/0!</v>
      </c>
      <c r="E89" s="373">
        <f t="shared" si="12"/>
        <v>0</v>
      </c>
      <c r="F89" s="327" t="e">
        <f t="shared" si="13"/>
        <v>#DIV/0!</v>
      </c>
      <c r="G89" s="373">
        <f t="shared" si="14"/>
        <v>0</v>
      </c>
      <c r="H89" s="327" t="e">
        <f t="shared" si="15"/>
        <v>#DIV/0!</v>
      </c>
      <c r="I89" s="373">
        <f t="shared" si="16"/>
        <v>0</v>
      </c>
      <c r="J89" s="328" t="e">
        <f t="shared" si="17"/>
        <v>#DIV/0!</v>
      </c>
      <c r="K89" s="453" t="e">
        <f t="shared" si="18"/>
        <v>#DIV/0!</v>
      </c>
      <c r="L89" s="344" t="s">
        <v>102</v>
      </c>
    </row>
    <row r="90" spans="1:12" ht="16.5">
      <c r="A90" s="325">
        <v>46109</v>
      </c>
      <c r="B90" s="327">
        <f t="shared" si="10"/>
        <v>0</v>
      </c>
      <c r="C90" s="373">
        <f t="shared" si="10"/>
        <v>0</v>
      </c>
      <c r="D90" s="327" t="e">
        <f t="shared" si="11"/>
        <v>#DIV/0!</v>
      </c>
      <c r="E90" s="373">
        <f t="shared" si="12"/>
        <v>0</v>
      </c>
      <c r="F90" s="327" t="e">
        <f t="shared" si="13"/>
        <v>#DIV/0!</v>
      </c>
      <c r="G90" s="373">
        <f t="shared" si="14"/>
        <v>0</v>
      </c>
      <c r="H90" s="327" t="e">
        <f t="shared" si="15"/>
        <v>#DIV/0!</v>
      </c>
      <c r="I90" s="373">
        <f t="shared" si="16"/>
        <v>0</v>
      </c>
      <c r="J90" s="328" t="e">
        <f t="shared" si="17"/>
        <v>#DIV/0!</v>
      </c>
      <c r="K90" s="453" t="e">
        <f t="shared" si="18"/>
        <v>#DIV/0!</v>
      </c>
      <c r="L90" s="344" t="s">
        <v>102</v>
      </c>
    </row>
    <row r="91" spans="1:12" ht="16.5">
      <c r="A91" s="322">
        <v>46110</v>
      </c>
      <c r="B91" s="327">
        <f t="shared" si="10"/>
        <v>0</v>
      </c>
      <c r="C91" s="373">
        <f t="shared" si="10"/>
        <v>0</v>
      </c>
      <c r="D91" s="327" t="e">
        <f t="shared" si="11"/>
        <v>#DIV/0!</v>
      </c>
      <c r="E91" s="373">
        <f t="shared" si="12"/>
        <v>0</v>
      </c>
      <c r="F91" s="327" t="e">
        <f t="shared" si="13"/>
        <v>#DIV/0!</v>
      </c>
      <c r="G91" s="373">
        <f t="shared" si="14"/>
        <v>0</v>
      </c>
      <c r="H91" s="327" t="e">
        <f t="shared" si="15"/>
        <v>#DIV/0!</v>
      </c>
      <c r="I91" s="373">
        <f t="shared" si="16"/>
        <v>0</v>
      </c>
      <c r="J91" s="328" t="e">
        <f t="shared" si="17"/>
        <v>#DIV/0!</v>
      </c>
      <c r="K91" s="453" t="e">
        <f t="shared" si="18"/>
        <v>#DIV/0!</v>
      </c>
      <c r="L91" s="344" t="s">
        <v>102</v>
      </c>
    </row>
    <row r="92" spans="1:12" ht="16.5">
      <c r="A92" s="322">
        <v>46111</v>
      </c>
      <c r="B92" s="327">
        <f t="shared" si="10"/>
        <v>0</v>
      </c>
      <c r="C92" s="373">
        <f t="shared" si="10"/>
        <v>0</v>
      </c>
      <c r="D92" s="327" t="e">
        <f t="shared" si="11"/>
        <v>#DIV/0!</v>
      </c>
      <c r="E92" s="373">
        <f t="shared" si="12"/>
        <v>0</v>
      </c>
      <c r="F92" s="327" t="e">
        <f t="shared" si="13"/>
        <v>#DIV/0!</v>
      </c>
      <c r="G92" s="373">
        <f t="shared" si="14"/>
        <v>0</v>
      </c>
      <c r="H92" s="327" t="e">
        <f t="shared" si="15"/>
        <v>#DIV/0!</v>
      </c>
      <c r="I92" s="373">
        <f t="shared" si="16"/>
        <v>0</v>
      </c>
      <c r="J92" s="328" t="e">
        <f t="shared" si="17"/>
        <v>#DIV/0!</v>
      </c>
      <c r="K92" s="453" t="e">
        <f t="shared" si="18"/>
        <v>#DIV/0!</v>
      </c>
      <c r="L92" s="344" t="s">
        <v>102</v>
      </c>
    </row>
    <row r="93" spans="1:12" ht="16.5">
      <c r="A93" s="322">
        <v>46112</v>
      </c>
      <c r="B93" s="327">
        <f t="shared" si="10"/>
        <v>0</v>
      </c>
      <c r="C93" s="373">
        <f t="shared" si="10"/>
        <v>0</v>
      </c>
      <c r="D93" s="327" t="e">
        <f t="shared" si="11"/>
        <v>#DIV/0!</v>
      </c>
      <c r="E93" s="373">
        <f t="shared" si="12"/>
        <v>0</v>
      </c>
      <c r="F93" s="327" t="e">
        <f t="shared" si="13"/>
        <v>#DIV/0!</v>
      </c>
      <c r="G93" s="373">
        <f t="shared" si="14"/>
        <v>0</v>
      </c>
      <c r="H93" s="327" t="e">
        <f t="shared" si="15"/>
        <v>#DIV/0!</v>
      </c>
      <c r="I93" s="373">
        <f t="shared" si="16"/>
        <v>0</v>
      </c>
      <c r="J93" s="328" t="e">
        <f t="shared" si="17"/>
        <v>#DIV/0!</v>
      </c>
      <c r="K93" s="453" t="e">
        <f t="shared" si="18"/>
        <v>#DIV/0!</v>
      </c>
      <c r="L93" s="344" t="s">
        <v>102</v>
      </c>
    </row>
    <row r="94" spans="1:12" ht="16.5">
      <c r="A94" s="321">
        <v>46113</v>
      </c>
      <c r="B94" s="327">
        <f t="shared" si="10"/>
        <v>0</v>
      </c>
      <c r="C94" s="373">
        <f t="shared" si="10"/>
        <v>0</v>
      </c>
      <c r="D94" s="327" t="e">
        <f t="shared" si="11"/>
        <v>#DIV/0!</v>
      </c>
      <c r="E94" s="373">
        <f t="shared" si="12"/>
        <v>0</v>
      </c>
      <c r="F94" s="327" t="e">
        <f t="shared" si="13"/>
        <v>#DIV/0!</v>
      </c>
      <c r="G94" s="373">
        <f t="shared" si="14"/>
        <v>0</v>
      </c>
      <c r="H94" s="327" t="e">
        <f t="shared" si="15"/>
        <v>#DIV/0!</v>
      </c>
      <c r="I94" s="373">
        <f t="shared" si="16"/>
        <v>0</v>
      </c>
      <c r="J94" s="328" t="e">
        <f t="shared" si="17"/>
        <v>#DIV/0!</v>
      </c>
      <c r="K94" s="453" t="e">
        <f t="shared" si="18"/>
        <v>#DIV/0!</v>
      </c>
      <c r="L94" s="344" t="s">
        <v>102</v>
      </c>
    </row>
    <row r="95" spans="1:12" ht="16.5">
      <c r="A95" s="321">
        <v>46114</v>
      </c>
      <c r="B95" s="327">
        <f t="shared" si="10"/>
        <v>0</v>
      </c>
      <c r="C95" s="373">
        <f t="shared" si="10"/>
        <v>0</v>
      </c>
      <c r="D95" s="327" t="e">
        <f t="shared" si="11"/>
        <v>#DIV/0!</v>
      </c>
      <c r="E95" s="373">
        <f t="shared" si="12"/>
        <v>0</v>
      </c>
      <c r="F95" s="327" t="e">
        <f t="shared" si="13"/>
        <v>#DIV/0!</v>
      </c>
      <c r="G95" s="373">
        <f t="shared" si="14"/>
        <v>0</v>
      </c>
      <c r="H95" s="327" t="e">
        <f t="shared" si="15"/>
        <v>#DIV/0!</v>
      </c>
      <c r="I95" s="373">
        <f t="shared" si="16"/>
        <v>0</v>
      </c>
      <c r="J95" s="328" t="e">
        <f t="shared" si="17"/>
        <v>#DIV/0!</v>
      </c>
      <c r="K95" s="453" t="e">
        <f t="shared" si="18"/>
        <v>#DIV/0!</v>
      </c>
      <c r="L95" s="344" t="s">
        <v>102</v>
      </c>
    </row>
    <row r="96" spans="1:12" ht="16.5">
      <c r="A96" s="322">
        <v>46115</v>
      </c>
      <c r="B96" s="327">
        <f t="shared" si="10"/>
        <v>0</v>
      </c>
      <c r="C96" s="373">
        <f t="shared" si="10"/>
        <v>0</v>
      </c>
      <c r="D96" s="327" t="e">
        <f t="shared" si="11"/>
        <v>#DIV/0!</v>
      </c>
      <c r="E96" s="373">
        <f t="shared" si="12"/>
        <v>0</v>
      </c>
      <c r="F96" s="327" t="e">
        <f t="shared" si="13"/>
        <v>#DIV/0!</v>
      </c>
      <c r="G96" s="373">
        <f t="shared" si="14"/>
        <v>0</v>
      </c>
      <c r="H96" s="327" t="e">
        <f t="shared" si="15"/>
        <v>#DIV/0!</v>
      </c>
      <c r="I96" s="373">
        <f t="shared" si="16"/>
        <v>0</v>
      </c>
      <c r="J96" s="328" t="e">
        <f t="shared" si="17"/>
        <v>#DIV/0!</v>
      </c>
      <c r="K96" s="453" t="e">
        <f t="shared" si="18"/>
        <v>#DIV/0!</v>
      </c>
      <c r="L96" s="344" t="s">
        <v>102</v>
      </c>
    </row>
    <row r="97" spans="1:12" ht="16.5">
      <c r="A97" s="325">
        <v>46116</v>
      </c>
      <c r="B97" s="327">
        <f t="shared" si="10"/>
        <v>0</v>
      </c>
      <c r="C97" s="373">
        <f t="shared" si="10"/>
        <v>0</v>
      </c>
      <c r="D97" s="327" t="e">
        <f t="shared" si="11"/>
        <v>#DIV/0!</v>
      </c>
      <c r="E97" s="373">
        <f t="shared" si="12"/>
        <v>0</v>
      </c>
      <c r="F97" s="327" t="e">
        <f t="shared" si="13"/>
        <v>#DIV/0!</v>
      </c>
      <c r="G97" s="373">
        <f t="shared" si="14"/>
        <v>0</v>
      </c>
      <c r="H97" s="327" t="e">
        <f t="shared" si="15"/>
        <v>#DIV/0!</v>
      </c>
      <c r="I97" s="373">
        <f t="shared" si="16"/>
        <v>0</v>
      </c>
      <c r="J97" s="328" t="e">
        <f t="shared" si="17"/>
        <v>#DIV/0!</v>
      </c>
      <c r="K97" s="453" t="e">
        <f t="shared" si="18"/>
        <v>#DIV/0!</v>
      </c>
      <c r="L97" s="344" t="s">
        <v>102</v>
      </c>
    </row>
    <row r="98" spans="1:12" ht="16.5">
      <c r="A98" s="325">
        <v>46117</v>
      </c>
      <c r="B98" s="327">
        <f t="shared" ref="B98:C119" si="19">P98+AD98</f>
        <v>0</v>
      </c>
      <c r="C98" s="373">
        <f t="shared" si="19"/>
        <v>0</v>
      </c>
      <c r="D98" s="327" t="e">
        <f t="shared" si="11"/>
        <v>#DIV/0!</v>
      </c>
      <c r="E98" s="373">
        <f t="shared" si="12"/>
        <v>0</v>
      </c>
      <c r="F98" s="327" t="e">
        <f t="shared" si="13"/>
        <v>#DIV/0!</v>
      </c>
      <c r="G98" s="373">
        <f t="shared" si="14"/>
        <v>0</v>
      </c>
      <c r="H98" s="327" t="e">
        <f t="shared" si="15"/>
        <v>#DIV/0!</v>
      </c>
      <c r="I98" s="373">
        <f t="shared" si="16"/>
        <v>0</v>
      </c>
      <c r="J98" s="328" t="e">
        <f t="shared" si="17"/>
        <v>#DIV/0!</v>
      </c>
      <c r="K98" s="453" t="e">
        <f t="shared" si="18"/>
        <v>#DIV/0!</v>
      </c>
      <c r="L98" s="344" t="s">
        <v>102</v>
      </c>
    </row>
    <row r="99" spans="1:12" ht="16.5">
      <c r="A99" s="325">
        <v>46118</v>
      </c>
      <c r="B99" s="327">
        <f t="shared" si="19"/>
        <v>0</v>
      </c>
      <c r="C99" s="373">
        <f t="shared" si="19"/>
        <v>0</v>
      </c>
      <c r="D99" s="327" t="e">
        <f t="shared" si="11"/>
        <v>#DIV/0!</v>
      </c>
      <c r="E99" s="373">
        <f t="shared" si="12"/>
        <v>0</v>
      </c>
      <c r="F99" s="327" t="e">
        <f t="shared" si="13"/>
        <v>#DIV/0!</v>
      </c>
      <c r="G99" s="373">
        <f t="shared" si="14"/>
        <v>0</v>
      </c>
      <c r="H99" s="327" t="e">
        <f t="shared" si="15"/>
        <v>#DIV/0!</v>
      </c>
      <c r="I99" s="373">
        <f t="shared" si="16"/>
        <v>0</v>
      </c>
      <c r="J99" s="328" t="e">
        <f t="shared" si="17"/>
        <v>#DIV/0!</v>
      </c>
      <c r="K99" s="453" t="e">
        <f t="shared" si="18"/>
        <v>#DIV/0!</v>
      </c>
      <c r="L99" s="344" t="s">
        <v>102</v>
      </c>
    </row>
    <row r="100" spans="1:12" ht="16.5">
      <c r="A100" s="322">
        <v>46119</v>
      </c>
      <c r="B100" s="327">
        <f t="shared" si="19"/>
        <v>0</v>
      </c>
      <c r="C100" s="373">
        <f t="shared" si="19"/>
        <v>0</v>
      </c>
      <c r="D100" s="327" t="e">
        <f t="shared" si="11"/>
        <v>#DIV/0!</v>
      </c>
      <c r="E100" s="373">
        <f t="shared" si="12"/>
        <v>0</v>
      </c>
      <c r="F100" s="327" t="e">
        <f t="shared" si="13"/>
        <v>#DIV/0!</v>
      </c>
      <c r="G100" s="373">
        <f t="shared" si="14"/>
        <v>0</v>
      </c>
      <c r="H100" s="327" t="e">
        <f t="shared" si="15"/>
        <v>#DIV/0!</v>
      </c>
      <c r="I100" s="373">
        <f t="shared" si="16"/>
        <v>0</v>
      </c>
      <c r="J100" s="328" t="e">
        <f t="shared" si="17"/>
        <v>#DIV/0!</v>
      </c>
      <c r="K100" s="453" t="e">
        <f t="shared" si="18"/>
        <v>#DIV/0!</v>
      </c>
      <c r="L100" s="344" t="s">
        <v>102</v>
      </c>
    </row>
    <row r="101" spans="1:12" ht="16.5">
      <c r="A101" s="322">
        <v>46120</v>
      </c>
      <c r="B101" s="327">
        <f t="shared" si="19"/>
        <v>0</v>
      </c>
      <c r="C101" s="373">
        <f t="shared" si="19"/>
        <v>0</v>
      </c>
      <c r="D101" s="327" t="e">
        <f t="shared" si="11"/>
        <v>#DIV/0!</v>
      </c>
      <c r="E101" s="373">
        <f t="shared" si="12"/>
        <v>0</v>
      </c>
      <c r="F101" s="327" t="e">
        <f t="shared" si="13"/>
        <v>#DIV/0!</v>
      </c>
      <c r="G101" s="373">
        <f t="shared" si="14"/>
        <v>0</v>
      </c>
      <c r="H101" s="327" t="e">
        <f t="shared" si="15"/>
        <v>#DIV/0!</v>
      </c>
      <c r="I101" s="373">
        <f t="shared" si="16"/>
        <v>0</v>
      </c>
      <c r="J101" s="328" t="e">
        <f t="shared" si="17"/>
        <v>#DIV/0!</v>
      </c>
      <c r="K101" s="453" t="e">
        <f t="shared" si="18"/>
        <v>#DIV/0!</v>
      </c>
      <c r="L101" s="344" t="s">
        <v>102</v>
      </c>
    </row>
    <row r="102" spans="1:12" ht="17.25" thickBot="1">
      <c r="A102" s="322">
        <v>46121</v>
      </c>
      <c r="B102" s="346">
        <f t="shared" si="19"/>
        <v>0</v>
      </c>
      <c r="C102" s="375">
        <f t="shared" si="19"/>
        <v>0</v>
      </c>
      <c r="D102" s="346" t="e">
        <f t="shared" si="11"/>
        <v>#DIV/0!</v>
      </c>
      <c r="E102" s="375">
        <f t="shared" si="12"/>
        <v>0</v>
      </c>
      <c r="F102" s="346" t="e">
        <f t="shared" si="13"/>
        <v>#DIV/0!</v>
      </c>
      <c r="G102" s="375">
        <f t="shared" si="14"/>
        <v>0</v>
      </c>
      <c r="H102" s="346" t="e">
        <f t="shared" si="15"/>
        <v>#DIV/0!</v>
      </c>
      <c r="I102" s="375">
        <f t="shared" si="16"/>
        <v>0</v>
      </c>
      <c r="J102" s="347" t="e">
        <f t="shared" si="17"/>
        <v>#DIV/0!</v>
      </c>
      <c r="K102" s="235" t="e">
        <f t="shared" si="18"/>
        <v>#DIV/0!</v>
      </c>
      <c r="L102" s="348" t="s">
        <v>102</v>
      </c>
    </row>
    <row r="103" spans="1:12" ht="16.5">
      <c r="A103" s="471">
        <v>46122</v>
      </c>
      <c r="B103" s="218">
        <f t="shared" si="19"/>
        <v>0</v>
      </c>
      <c r="C103" s="435">
        <f t="shared" si="19"/>
        <v>0</v>
      </c>
      <c r="D103" s="218" t="e">
        <f t="shared" si="11"/>
        <v>#DIV/0!</v>
      </c>
      <c r="E103" s="435">
        <f t="shared" si="12"/>
        <v>0</v>
      </c>
      <c r="F103" s="218" t="e">
        <f t="shared" si="13"/>
        <v>#DIV/0!</v>
      </c>
      <c r="G103" s="435">
        <f t="shared" si="14"/>
        <v>0</v>
      </c>
      <c r="H103" s="218" t="e">
        <f t="shared" si="15"/>
        <v>#DIV/0!</v>
      </c>
      <c r="I103" s="435">
        <f t="shared" si="16"/>
        <v>0</v>
      </c>
      <c r="J103" s="436" t="e">
        <f t="shared" si="17"/>
        <v>#DIV/0!</v>
      </c>
      <c r="K103" s="219" t="e">
        <f t="shared" si="18"/>
        <v>#DIV/0!</v>
      </c>
      <c r="L103" s="437" t="s">
        <v>102</v>
      </c>
    </row>
    <row r="104" spans="1:12" ht="16.5">
      <c r="A104" s="325">
        <v>46123</v>
      </c>
      <c r="B104" s="346">
        <f t="shared" si="19"/>
        <v>0</v>
      </c>
      <c r="C104" s="375">
        <f t="shared" si="19"/>
        <v>0</v>
      </c>
      <c r="D104" s="346" t="e">
        <f t="shared" si="11"/>
        <v>#DIV/0!</v>
      </c>
      <c r="E104" s="375">
        <f t="shared" si="12"/>
        <v>0</v>
      </c>
      <c r="F104" s="346" t="e">
        <f t="shared" si="13"/>
        <v>#DIV/0!</v>
      </c>
      <c r="G104" s="375">
        <f t="shared" si="14"/>
        <v>0</v>
      </c>
      <c r="H104" s="346" t="e">
        <f t="shared" si="15"/>
        <v>#DIV/0!</v>
      </c>
      <c r="I104" s="375">
        <f t="shared" si="16"/>
        <v>0</v>
      </c>
      <c r="J104" s="347" t="e">
        <f t="shared" si="17"/>
        <v>#DIV/0!</v>
      </c>
      <c r="K104" s="235" t="e">
        <f t="shared" si="18"/>
        <v>#DIV/0!</v>
      </c>
      <c r="L104" s="348" t="s">
        <v>102</v>
      </c>
    </row>
    <row r="105" spans="1:12" ht="16.5">
      <c r="A105" s="325">
        <v>46124</v>
      </c>
      <c r="B105" s="346">
        <f t="shared" si="19"/>
        <v>0</v>
      </c>
      <c r="C105" s="375">
        <f t="shared" si="19"/>
        <v>0</v>
      </c>
      <c r="D105" s="346" t="e">
        <f t="shared" si="11"/>
        <v>#DIV/0!</v>
      </c>
      <c r="E105" s="375">
        <f t="shared" si="12"/>
        <v>0</v>
      </c>
      <c r="F105" s="346" t="e">
        <f t="shared" si="13"/>
        <v>#DIV/0!</v>
      </c>
      <c r="G105" s="375">
        <f t="shared" si="14"/>
        <v>0</v>
      </c>
      <c r="H105" s="346" t="e">
        <f t="shared" si="15"/>
        <v>#DIV/0!</v>
      </c>
      <c r="I105" s="375">
        <f t="shared" si="16"/>
        <v>0</v>
      </c>
      <c r="J105" s="347" t="e">
        <f t="shared" si="17"/>
        <v>#DIV/0!</v>
      </c>
      <c r="K105" s="235" t="e">
        <f t="shared" si="18"/>
        <v>#DIV/0!</v>
      </c>
      <c r="L105" s="348" t="s">
        <v>102</v>
      </c>
    </row>
    <row r="106" spans="1:12" ht="16.5">
      <c r="A106" s="321">
        <v>46125</v>
      </c>
      <c r="B106" s="346">
        <f t="shared" si="19"/>
        <v>0</v>
      </c>
      <c r="C106" s="375">
        <f t="shared" si="19"/>
        <v>0</v>
      </c>
      <c r="D106" s="346" t="e">
        <f t="shared" si="11"/>
        <v>#DIV/0!</v>
      </c>
      <c r="E106" s="375">
        <f t="shared" si="12"/>
        <v>0</v>
      </c>
      <c r="F106" s="346" t="e">
        <f t="shared" si="13"/>
        <v>#DIV/0!</v>
      </c>
      <c r="G106" s="375">
        <f t="shared" si="14"/>
        <v>0</v>
      </c>
      <c r="H106" s="346" t="e">
        <f t="shared" si="15"/>
        <v>#DIV/0!</v>
      </c>
      <c r="I106" s="375">
        <f t="shared" si="16"/>
        <v>0</v>
      </c>
      <c r="J106" s="347" t="e">
        <f t="shared" si="17"/>
        <v>#DIV/0!</v>
      </c>
      <c r="K106" s="235" t="e">
        <f t="shared" si="18"/>
        <v>#DIV/0!</v>
      </c>
      <c r="L106" s="348" t="s">
        <v>102</v>
      </c>
    </row>
    <row r="107" spans="1:12" ht="16.5">
      <c r="A107" s="321">
        <v>46126</v>
      </c>
      <c r="B107" s="346">
        <f t="shared" si="19"/>
        <v>0</v>
      </c>
      <c r="C107" s="375">
        <f t="shared" si="19"/>
        <v>0</v>
      </c>
      <c r="D107" s="346" t="e">
        <f t="shared" si="11"/>
        <v>#DIV/0!</v>
      </c>
      <c r="E107" s="375">
        <f t="shared" si="12"/>
        <v>0</v>
      </c>
      <c r="F107" s="346" t="e">
        <f t="shared" si="13"/>
        <v>#DIV/0!</v>
      </c>
      <c r="G107" s="375">
        <f t="shared" si="14"/>
        <v>0</v>
      </c>
      <c r="H107" s="346" t="e">
        <f t="shared" si="15"/>
        <v>#DIV/0!</v>
      </c>
      <c r="I107" s="375">
        <f t="shared" si="16"/>
        <v>0</v>
      </c>
      <c r="J107" s="347" t="e">
        <f t="shared" si="17"/>
        <v>#DIV/0!</v>
      </c>
      <c r="K107" s="235" t="e">
        <f t="shared" si="18"/>
        <v>#DIV/0!</v>
      </c>
      <c r="L107" s="348" t="s">
        <v>102</v>
      </c>
    </row>
    <row r="108" spans="1:12" ht="16.5">
      <c r="A108" s="321">
        <v>46127</v>
      </c>
      <c r="B108" s="346">
        <f t="shared" si="19"/>
        <v>0</v>
      </c>
      <c r="C108" s="375">
        <f t="shared" si="19"/>
        <v>0</v>
      </c>
      <c r="D108" s="346" t="e">
        <f t="shared" si="11"/>
        <v>#DIV/0!</v>
      </c>
      <c r="E108" s="375">
        <f t="shared" si="12"/>
        <v>0</v>
      </c>
      <c r="F108" s="346" t="e">
        <f t="shared" si="13"/>
        <v>#DIV/0!</v>
      </c>
      <c r="G108" s="375">
        <f t="shared" si="14"/>
        <v>0</v>
      </c>
      <c r="H108" s="346" t="e">
        <f t="shared" si="15"/>
        <v>#DIV/0!</v>
      </c>
      <c r="I108" s="375">
        <f t="shared" si="16"/>
        <v>0</v>
      </c>
      <c r="J108" s="347" t="e">
        <f t="shared" si="17"/>
        <v>#DIV/0!</v>
      </c>
      <c r="K108" s="235" t="e">
        <f t="shared" si="18"/>
        <v>#DIV/0!</v>
      </c>
      <c r="L108" s="348" t="s">
        <v>102</v>
      </c>
    </row>
    <row r="109" spans="1:12" ht="16.5">
      <c r="A109" s="322">
        <v>46128</v>
      </c>
      <c r="B109" s="346">
        <f t="shared" si="19"/>
        <v>0</v>
      </c>
      <c r="C109" s="375">
        <f t="shared" si="19"/>
        <v>0</v>
      </c>
      <c r="D109" s="346" t="e">
        <f t="shared" si="11"/>
        <v>#DIV/0!</v>
      </c>
      <c r="E109" s="375">
        <f t="shared" si="12"/>
        <v>0</v>
      </c>
      <c r="F109" s="346" t="e">
        <f t="shared" si="13"/>
        <v>#DIV/0!</v>
      </c>
      <c r="G109" s="375">
        <f t="shared" si="14"/>
        <v>0</v>
      </c>
      <c r="H109" s="346" t="e">
        <f t="shared" si="15"/>
        <v>#DIV/0!</v>
      </c>
      <c r="I109" s="375">
        <f t="shared" si="16"/>
        <v>0</v>
      </c>
      <c r="J109" s="347" t="e">
        <f t="shared" si="17"/>
        <v>#DIV/0!</v>
      </c>
      <c r="K109" s="235" t="e">
        <f t="shared" si="18"/>
        <v>#DIV/0!</v>
      </c>
      <c r="L109" s="348" t="s">
        <v>102</v>
      </c>
    </row>
    <row r="110" spans="1:12" ht="16.5">
      <c r="A110" s="321">
        <v>46129</v>
      </c>
      <c r="B110" s="346">
        <f t="shared" si="19"/>
        <v>0</v>
      </c>
      <c r="C110" s="375">
        <f t="shared" si="19"/>
        <v>0</v>
      </c>
      <c r="D110" s="346" t="e">
        <f t="shared" si="11"/>
        <v>#DIV/0!</v>
      </c>
      <c r="E110" s="375">
        <f t="shared" si="12"/>
        <v>0</v>
      </c>
      <c r="F110" s="346" t="e">
        <f t="shared" si="13"/>
        <v>#DIV/0!</v>
      </c>
      <c r="G110" s="375">
        <f t="shared" si="14"/>
        <v>0</v>
      </c>
      <c r="H110" s="346" t="e">
        <f t="shared" si="15"/>
        <v>#DIV/0!</v>
      </c>
      <c r="I110" s="375">
        <f t="shared" si="16"/>
        <v>0</v>
      </c>
      <c r="J110" s="347" t="e">
        <f t="shared" si="17"/>
        <v>#DIV/0!</v>
      </c>
      <c r="K110" s="235" t="e">
        <f t="shared" si="18"/>
        <v>#DIV/0!</v>
      </c>
      <c r="L110" s="348" t="s">
        <v>102</v>
      </c>
    </row>
    <row r="111" spans="1:12" ht="16.5">
      <c r="A111" s="321">
        <v>46130</v>
      </c>
      <c r="B111" s="346">
        <f t="shared" si="19"/>
        <v>0</v>
      </c>
      <c r="C111" s="375">
        <f t="shared" si="19"/>
        <v>0</v>
      </c>
      <c r="D111" s="346" t="e">
        <f t="shared" si="11"/>
        <v>#DIV/0!</v>
      </c>
      <c r="E111" s="375">
        <f t="shared" si="12"/>
        <v>0</v>
      </c>
      <c r="F111" s="346" t="e">
        <f t="shared" si="13"/>
        <v>#DIV/0!</v>
      </c>
      <c r="G111" s="375">
        <f t="shared" si="14"/>
        <v>0</v>
      </c>
      <c r="H111" s="346" t="e">
        <f t="shared" si="15"/>
        <v>#DIV/0!</v>
      </c>
      <c r="I111" s="375">
        <f t="shared" si="16"/>
        <v>0</v>
      </c>
      <c r="J111" s="347" t="e">
        <f t="shared" si="17"/>
        <v>#DIV/0!</v>
      </c>
      <c r="K111" s="235" t="e">
        <f t="shared" si="18"/>
        <v>#DIV/0!</v>
      </c>
      <c r="L111" s="348" t="s">
        <v>102</v>
      </c>
    </row>
    <row r="112" spans="1:12" ht="16.5">
      <c r="A112" s="322">
        <v>46131</v>
      </c>
      <c r="B112" s="346">
        <f t="shared" si="19"/>
        <v>0</v>
      </c>
      <c r="C112" s="375">
        <f t="shared" si="19"/>
        <v>0</v>
      </c>
      <c r="D112" s="346" t="e">
        <f t="shared" si="11"/>
        <v>#DIV/0!</v>
      </c>
      <c r="E112" s="375">
        <f t="shared" si="12"/>
        <v>0</v>
      </c>
      <c r="F112" s="346" t="e">
        <f t="shared" si="13"/>
        <v>#DIV/0!</v>
      </c>
      <c r="G112" s="375">
        <f t="shared" si="14"/>
        <v>0</v>
      </c>
      <c r="H112" s="346" t="e">
        <f t="shared" si="15"/>
        <v>#DIV/0!</v>
      </c>
      <c r="I112" s="375">
        <f t="shared" si="16"/>
        <v>0</v>
      </c>
      <c r="J112" s="347" t="e">
        <f t="shared" si="17"/>
        <v>#DIV/0!</v>
      </c>
      <c r="K112" s="235" t="e">
        <f t="shared" si="18"/>
        <v>#DIV/0!</v>
      </c>
      <c r="L112" s="348" t="s">
        <v>102</v>
      </c>
    </row>
    <row r="113" spans="1:12" ht="16.5">
      <c r="A113" s="322">
        <v>46132</v>
      </c>
      <c r="B113" s="346">
        <f t="shared" si="19"/>
        <v>0</v>
      </c>
      <c r="C113" s="375">
        <f t="shared" si="19"/>
        <v>0</v>
      </c>
      <c r="D113" s="346" t="e">
        <f t="shared" si="11"/>
        <v>#DIV/0!</v>
      </c>
      <c r="E113" s="375">
        <f t="shared" si="12"/>
        <v>0</v>
      </c>
      <c r="F113" s="346" t="e">
        <f t="shared" si="13"/>
        <v>#DIV/0!</v>
      </c>
      <c r="G113" s="375">
        <f t="shared" si="14"/>
        <v>0</v>
      </c>
      <c r="H113" s="346" t="e">
        <f t="shared" si="15"/>
        <v>#DIV/0!</v>
      </c>
      <c r="I113" s="375">
        <f t="shared" si="16"/>
        <v>0</v>
      </c>
      <c r="J113" s="347" t="e">
        <f t="shared" si="17"/>
        <v>#DIV/0!</v>
      </c>
      <c r="K113" s="235" t="e">
        <f t="shared" si="18"/>
        <v>#DIV/0!</v>
      </c>
      <c r="L113" s="348" t="s">
        <v>102</v>
      </c>
    </row>
    <row r="114" spans="1:12" ht="16.5">
      <c r="A114" s="321">
        <v>46133</v>
      </c>
      <c r="B114" s="346">
        <f t="shared" si="19"/>
        <v>0</v>
      </c>
      <c r="C114" s="375">
        <f t="shared" si="19"/>
        <v>0</v>
      </c>
      <c r="D114" s="346" t="e">
        <f t="shared" si="11"/>
        <v>#DIV/0!</v>
      </c>
      <c r="E114" s="375">
        <f t="shared" si="12"/>
        <v>0</v>
      </c>
      <c r="F114" s="346" t="e">
        <f t="shared" si="13"/>
        <v>#DIV/0!</v>
      </c>
      <c r="G114" s="375">
        <f t="shared" si="14"/>
        <v>0</v>
      </c>
      <c r="H114" s="346" t="e">
        <f t="shared" si="15"/>
        <v>#DIV/0!</v>
      </c>
      <c r="I114" s="375">
        <f t="shared" si="16"/>
        <v>0</v>
      </c>
      <c r="J114" s="347" t="e">
        <f t="shared" si="17"/>
        <v>#DIV/0!</v>
      </c>
      <c r="K114" s="235" t="e">
        <f t="shared" si="18"/>
        <v>#DIV/0!</v>
      </c>
      <c r="L114" s="348" t="s">
        <v>102</v>
      </c>
    </row>
    <row r="115" spans="1:12" ht="16.5">
      <c r="A115" s="321">
        <v>46134</v>
      </c>
      <c r="B115" s="346">
        <f t="shared" si="19"/>
        <v>0</v>
      </c>
      <c r="C115" s="375">
        <f t="shared" si="19"/>
        <v>0</v>
      </c>
      <c r="D115" s="346" t="e">
        <f t="shared" si="11"/>
        <v>#DIV/0!</v>
      </c>
      <c r="E115" s="375">
        <f t="shared" si="12"/>
        <v>0</v>
      </c>
      <c r="F115" s="346" t="e">
        <f t="shared" si="13"/>
        <v>#DIV/0!</v>
      </c>
      <c r="G115" s="375">
        <f t="shared" si="14"/>
        <v>0</v>
      </c>
      <c r="H115" s="346" t="e">
        <f t="shared" si="15"/>
        <v>#DIV/0!</v>
      </c>
      <c r="I115" s="375">
        <f t="shared" si="16"/>
        <v>0</v>
      </c>
      <c r="J115" s="347" t="e">
        <f t="shared" si="17"/>
        <v>#DIV/0!</v>
      </c>
      <c r="K115" s="235" t="e">
        <f t="shared" si="18"/>
        <v>#DIV/0!</v>
      </c>
      <c r="L115" s="348" t="s">
        <v>102</v>
      </c>
    </row>
    <row r="116" spans="1:12" ht="16.5">
      <c r="A116" s="321">
        <v>46135</v>
      </c>
      <c r="B116" s="346">
        <f t="shared" si="19"/>
        <v>0</v>
      </c>
      <c r="C116" s="375">
        <f t="shared" si="19"/>
        <v>0</v>
      </c>
      <c r="D116" s="346" t="e">
        <f t="shared" si="11"/>
        <v>#DIV/0!</v>
      </c>
      <c r="E116" s="375">
        <f t="shared" si="12"/>
        <v>0</v>
      </c>
      <c r="F116" s="346" t="e">
        <f t="shared" si="13"/>
        <v>#DIV/0!</v>
      </c>
      <c r="G116" s="375">
        <f t="shared" si="14"/>
        <v>0</v>
      </c>
      <c r="H116" s="346" t="e">
        <f t="shared" si="15"/>
        <v>#DIV/0!</v>
      </c>
      <c r="I116" s="375">
        <f t="shared" si="16"/>
        <v>0</v>
      </c>
      <c r="J116" s="347" t="e">
        <f t="shared" si="17"/>
        <v>#DIV/0!</v>
      </c>
      <c r="K116" s="235" t="e">
        <f t="shared" si="18"/>
        <v>#DIV/0!</v>
      </c>
      <c r="L116" s="348" t="s">
        <v>102</v>
      </c>
    </row>
    <row r="117" spans="1:12" ht="16.5">
      <c r="A117" s="325">
        <v>46136</v>
      </c>
      <c r="B117" s="346">
        <f t="shared" si="19"/>
        <v>0</v>
      </c>
      <c r="C117" s="375">
        <f t="shared" si="19"/>
        <v>0</v>
      </c>
      <c r="D117" s="346" t="e">
        <f t="shared" si="11"/>
        <v>#DIV/0!</v>
      </c>
      <c r="E117" s="375">
        <f t="shared" si="12"/>
        <v>0</v>
      </c>
      <c r="F117" s="346" t="e">
        <f t="shared" si="13"/>
        <v>#DIV/0!</v>
      </c>
      <c r="G117" s="375">
        <f t="shared" si="14"/>
        <v>0</v>
      </c>
      <c r="H117" s="346" t="e">
        <f t="shared" si="15"/>
        <v>#DIV/0!</v>
      </c>
      <c r="I117" s="375">
        <f t="shared" si="16"/>
        <v>0</v>
      </c>
      <c r="J117" s="347" t="e">
        <f t="shared" si="17"/>
        <v>#DIV/0!</v>
      </c>
      <c r="K117" s="235" t="e">
        <f t="shared" si="18"/>
        <v>#DIV/0!</v>
      </c>
      <c r="L117" s="348" t="s">
        <v>102</v>
      </c>
    </row>
    <row r="118" spans="1:12" ht="16.5">
      <c r="A118" s="325">
        <v>46137</v>
      </c>
      <c r="B118" s="346">
        <f t="shared" si="19"/>
        <v>0</v>
      </c>
      <c r="C118" s="375">
        <f t="shared" si="19"/>
        <v>0</v>
      </c>
      <c r="D118" s="346" t="e">
        <f t="shared" si="11"/>
        <v>#DIV/0!</v>
      </c>
      <c r="E118" s="375">
        <f t="shared" si="12"/>
        <v>0</v>
      </c>
      <c r="F118" s="346" t="e">
        <f t="shared" si="13"/>
        <v>#DIV/0!</v>
      </c>
      <c r="G118" s="375">
        <f t="shared" si="14"/>
        <v>0</v>
      </c>
      <c r="H118" s="346" t="e">
        <f t="shared" si="15"/>
        <v>#DIV/0!</v>
      </c>
      <c r="I118" s="375">
        <f t="shared" si="16"/>
        <v>0</v>
      </c>
      <c r="J118" s="347" t="e">
        <f t="shared" si="17"/>
        <v>#DIV/0!</v>
      </c>
      <c r="K118" s="235" t="e">
        <f t="shared" si="18"/>
        <v>#DIV/0!</v>
      </c>
      <c r="L118" s="348" t="s">
        <v>102</v>
      </c>
    </row>
    <row r="119" spans="1:12" ht="17.25" thickBot="1">
      <c r="A119" s="109">
        <v>46138</v>
      </c>
      <c r="B119" s="222">
        <f t="shared" si="19"/>
        <v>0</v>
      </c>
      <c r="C119" s="273">
        <f t="shared" si="19"/>
        <v>0</v>
      </c>
      <c r="D119" s="222" t="e">
        <f t="shared" si="11"/>
        <v>#DIV/0!</v>
      </c>
      <c r="E119" s="273">
        <f t="shared" si="12"/>
        <v>0</v>
      </c>
      <c r="F119" s="222" t="e">
        <f t="shared" si="13"/>
        <v>#DIV/0!</v>
      </c>
      <c r="G119" s="273">
        <f t="shared" si="14"/>
        <v>0</v>
      </c>
      <c r="H119" s="222" t="e">
        <f t="shared" si="15"/>
        <v>#DIV/0!</v>
      </c>
      <c r="I119" s="273">
        <f t="shared" si="16"/>
        <v>0</v>
      </c>
      <c r="J119" s="224" t="e">
        <f t="shared" si="17"/>
        <v>#DIV/0!</v>
      </c>
      <c r="K119" s="225" t="e">
        <f t="shared" si="18"/>
        <v>#DIV/0!</v>
      </c>
      <c r="L119" s="233" t="s">
        <v>102</v>
      </c>
    </row>
    <row r="120" spans="1:12" ht="33.75" thickBot="1">
      <c r="A120" s="96" t="s">
        <v>35</v>
      </c>
      <c r="B120" s="468">
        <f>SUM(B2:B119)</f>
        <v>0</v>
      </c>
      <c r="C120" s="462">
        <f>SUM(C2:C119)</f>
        <v>0</v>
      </c>
      <c r="D120" s="468" t="e">
        <f>AVERAGE(B2:B119)/AVERAGE(C2:C119)</f>
        <v>#DIV/0!</v>
      </c>
      <c r="E120" s="462">
        <f>SUM(E2:E119)</f>
        <v>0</v>
      </c>
      <c r="F120" s="100" t="e">
        <f>AVERAGE(B2:B119)/AVERAGE(E2:E119)</f>
        <v>#DIV/0!</v>
      </c>
      <c r="G120" s="101">
        <f>AVERAGE(G2:G119)</f>
        <v>0</v>
      </c>
      <c r="H120" s="100" t="e">
        <f>AVERAGE(B2:B119)/AVERAGE(G2:G119)</f>
        <v>#DIV/0!</v>
      </c>
      <c r="I120" s="468">
        <f>SUM(I2:I119)</f>
        <v>0</v>
      </c>
      <c r="J120" s="103" t="e">
        <f t="shared" si="17"/>
        <v>#DIV/0!</v>
      </c>
      <c r="K120" s="468" t="e">
        <f>AVERAGE(I2:I119)/AVERAGE(G2:G119)</f>
        <v>#DIV/0!</v>
      </c>
      <c r="L120" s="299" t="s">
        <v>102</v>
      </c>
    </row>
    <row r="121" spans="1:12" ht="16.5">
      <c r="A121" s="405" t="s">
        <v>36</v>
      </c>
      <c r="B121" s="238">
        <f>SUM(B2:B3)</f>
        <v>0</v>
      </c>
      <c r="C121" s="243">
        <f>SUM(C2:C3)</f>
        <v>0</v>
      </c>
      <c r="D121" s="238" t="e">
        <f>AVERAGE(B2:B3)/AVERAGE(C2:C3)</f>
        <v>#DIV/0!</v>
      </c>
      <c r="E121" s="243">
        <f>SUM(E2:E3)</f>
        <v>0</v>
      </c>
      <c r="F121" s="310" t="e">
        <f>AVERAGE(B2:B3)/AVERAGE(E2:E3)</f>
        <v>#DIV/0!</v>
      </c>
      <c r="G121" s="332">
        <f>AVERAGE(G2:G3)</f>
        <v>0</v>
      </c>
      <c r="H121" s="310" t="e">
        <f>AVERAGE(B2:B3)/AVERAGE(G2:G3)</f>
        <v>#DIV/0!</v>
      </c>
      <c r="I121" s="238">
        <f>SUM(I2:I3)</f>
        <v>0</v>
      </c>
      <c r="J121" s="110" t="e">
        <f t="shared" si="17"/>
        <v>#DIV/0!</v>
      </c>
      <c r="K121" s="234" t="e">
        <f>AVERAGE(G2:G3)/AVERAGE(I2:I3)</f>
        <v>#DIV/0!</v>
      </c>
      <c r="L121" s="329" t="s">
        <v>102</v>
      </c>
    </row>
    <row r="122" spans="1:12" ht="16.5">
      <c r="A122" s="405" t="s">
        <v>37</v>
      </c>
      <c r="B122" s="238">
        <f>SUM(B4:B34)</f>
        <v>0</v>
      </c>
      <c r="C122" s="243">
        <f>SUM(C4:C34)</f>
        <v>0</v>
      </c>
      <c r="D122" s="238" t="e">
        <f>AVERAGE(B4:B34)/AVERAGE(C4:C34)</f>
        <v>#DIV/0!</v>
      </c>
      <c r="E122" s="243">
        <f>SUM(E4:E34)</f>
        <v>0</v>
      </c>
      <c r="F122" s="310" t="e">
        <f>AVERAGE(B4:B34)/AVERAGE(E4:E34)</f>
        <v>#DIV/0!</v>
      </c>
      <c r="G122" s="332">
        <f>AVERAGE(G4:G34)</f>
        <v>0</v>
      </c>
      <c r="H122" s="310" t="e">
        <f>AVERAGE(B4:B34)/AVERAGE(G4:G34)</f>
        <v>#DIV/0!</v>
      </c>
      <c r="I122" s="238">
        <f>SUM(I4:I34)</f>
        <v>0</v>
      </c>
      <c r="J122" s="336" t="e">
        <f t="shared" si="17"/>
        <v>#DIV/0!</v>
      </c>
      <c r="K122" s="234" t="e">
        <f>AVERAGE(G4:G34)/AVERAGE(I4:I34)</f>
        <v>#DIV/0!</v>
      </c>
      <c r="L122" s="329" t="s">
        <v>102</v>
      </c>
    </row>
    <row r="123" spans="1:12" ht="16.5">
      <c r="A123" s="405" t="s">
        <v>38</v>
      </c>
      <c r="B123" s="238">
        <f>SUM(B35:B62)</f>
        <v>0</v>
      </c>
      <c r="C123" s="243">
        <f>SUM(C35:C62)</f>
        <v>0</v>
      </c>
      <c r="D123" s="238" t="e">
        <f>AVERAGE(B35:B62)/AVERAGE(C35:C62)</f>
        <v>#DIV/0!</v>
      </c>
      <c r="E123" s="243">
        <f>SUM(E35:E62)</f>
        <v>0</v>
      </c>
      <c r="F123" s="310" t="e">
        <f>AVERAGE(B35:B62)/AVERAGE(E35:E62)</f>
        <v>#DIV/0!</v>
      </c>
      <c r="G123" s="332">
        <f>AVERAGE(G35:G62)</f>
        <v>0</v>
      </c>
      <c r="H123" s="310" t="e">
        <f>AVERAGE(B35:B62)/AVERAGE(G35:G62)</f>
        <v>#DIV/0!</v>
      </c>
      <c r="I123" s="238">
        <f>SUM(I35:I62)</f>
        <v>0</v>
      </c>
      <c r="J123" s="336" t="e">
        <f t="shared" si="17"/>
        <v>#DIV/0!</v>
      </c>
      <c r="K123" s="234" t="e">
        <f>AVERAGE(G35:G62)/AVERAGE(I35:I62)</f>
        <v>#DIV/0!</v>
      </c>
      <c r="L123" s="329" t="s">
        <v>102</v>
      </c>
    </row>
    <row r="124" spans="1:12" ht="16.5">
      <c r="A124" s="405" t="s">
        <v>39</v>
      </c>
      <c r="B124" s="238">
        <f>SUM(B63:B93)</f>
        <v>0</v>
      </c>
      <c r="C124" s="474">
        <f>SUM(C63:C93)</f>
        <v>0</v>
      </c>
      <c r="D124" s="238" t="e">
        <f>AVERAGE(B63:B93)/AVERAGE(C63:C93)</f>
        <v>#DIV/0!</v>
      </c>
      <c r="E124" s="474">
        <f>SUM(E63:E93)</f>
        <v>0</v>
      </c>
      <c r="F124" s="310" t="e">
        <f>AVERAGE(B63:B93)/AVERAGE(E63:E93)</f>
        <v>#DIV/0!</v>
      </c>
      <c r="G124" s="332">
        <f>AVERAGE(G63:G93)</f>
        <v>0</v>
      </c>
      <c r="H124" s="310" t="e">
        <f>AVERAGE(B63:B93)/AVERAGE(G63:G93)</f>
        <v>#DIV/0!</v>
      </c>
      <c r="I124" s="474">
        <f>SUM(I63:I93)</f>
        <v>0</v>
      </c>
      <c r="J124" s="336" t="e">
        <f t="shared" si="17"/>
        <v>#DIV/0!</v>
      </c>
      <c r="K124" s="234" t="e">
        <f>AVERAGE(G63:G93)/AVERAGE(I63:I93)</f>
        <v>#DIV/0!</v>
      </c>
      <c r="L124" s="329" t="s">
        <v>102</v>
      </c>
    </row>
  </sheetData>
  <phoneticPr fontId="1" type="noConversion"/>
  <conditionalFormatting sqref="F2:F119">
    <cfRule type="dataBar" priority="3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{B7D63121-B4B1-42C0-B7A6-44E8EE1D5E6E}</x14:id>
        </ext>
      </extLst>
    </cfRule>
  </conditionalFormatting>
  <conditionalFormatting sqref="H2:H119">
    <cfRule type="dataBar" priority="2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{1595E415-6740-4ACD-A2A5-6A318FA009E7}</x14:id>
        </ext>
      </extLst>
    </cfRule>
  </conditionalFormatting>
  <conditionalFormatting sqref="J2:J119">
    <cfRule type="dataBar" priority="1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{082EE87C-B69E-462E-AF68-9CC6ABAF001D}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D63121-B4B1-42C0-B7A6-44E8EE1D5E6E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F2:F119</xm:sqref>
        </x14:conditionalFormatting>
        <x14:conditionalFormatting xmlns:xm="http://schemas.microsoft.com/office/excel/2006/main">
          <x14:cfRule type="dataBar" id="{1595E415-6740-4ACD-A2A5-6A318FA009E7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H2:H119</xm:sqref>
        </x14:conditionalFormatting>
        <x14:conditionalFormatting xmlns:xm="http://schemas.microsoft.com/office/excel/2006/main">
          <x14:cfRule type="dataBar" id="{082EE87C-B69E-462E-AF68-9CC6ABAF001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J2:J119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29FB-0339-46C2-BC03-B2BAA225F0D3}">
  <dimension ref="A1:X124"/>
  <sheetViews>
    <sheetView workbookViewId="0">
      <selection sqref="A1:X124"/>
    </sheetView>
  </sheetViews>
  <sheetFormatPr defaultRowHeight="15.75"/>
  <sheetData>
    <row r="1" spans="1:24" ht="33.75" thickBot="1">
      <c r="A1" s="13" t="s">
        <v>3</v>
      </c>
      <c r="B1" s="454" t="s">
        <v>91</v>
      </c>
      <c r="C1" s="454" t="s">
        <v>94</v>
      </c>
      <c r="D1" s="454" t="s">
        <v>103</v>
      </c>
      <c r="E1" s="454" t="s">
        <v>104</v>
      </c>
      <c r="F1" s="488" t="s">
        <v>105</v>
      </c>
      <c r="G1" s="489" t="s">
        <v>106</v>
      </c>
      <c r="H1" s="490" t="s">
        <v>107</v>
      </c>
      <c r="I1" s="491" t="s">
        <v>108</v>
      </c>
      <c r="J1" s="492" t="s">
        <v>109</v>
      </c>
      <c r="K1" s="493" t="s">
        <v>110</v>
      </c>
      <c r="L1" s="494" t="s">
        <v>111</v>
      </c>
      <c r="M1" s="495" t="s">
        <v>112</v>
      </c>
      <c r="N1" s="496" t="s">
        <v>113</v>
      </c>
      <c r="O1" s="497" t="s">
        <v>114</v>
      </c>
      <c r="P1" s="498" t="s">
        <v>115</v>
      </c>
      <c r="Q1" s="499" t="s">
        <v>116</v>
      </c>
      <c r="R1" s="276" t="s">
        <v>56</v>
      </c>
      <c r="S1" s="276" t="s">
        <v>57</v>
      </c>
      <c r="T1" s="276" t="s">
        <v>58</v>
      </c>
      <c r="U1" s="276" t="s">
        <v>59</v>
      </c>
      <c r="V1" s="276" t="s">
        <v>60</v>
      </c>
      <c r="W1" s="276" t="s">
        <v>61</v>
      </c>
      <c r="X1" s="276" t="s">
        <v>62</v>
      </c>
    </row>
    <row r="2" spans="1:24" ht="16.5">
      <c r="A2" s="127">
        <v>46021</v>
      </c>
      <c r="B2" s="278">
        <f t="shared" ref="B2:D33" si="0">AB2+BB2</f>
        <v>0</v>
      </c>
      <c r="C2" s="465">
        <f t="shared" si="0"/>
        <v>0</v>
      </c>
      <c r="D2" s="470">
        <f t="shared" si="0"/>
        <v>0</v>
      </c>
      <c r="E2" s="282" t="e">
        <f t="shared" ref="E2:E65" si="1">D2/B2</f>
        <v>#DIV/0!</v>
      </c>
      <c r="F2" s="456" t="e">
        <f t="shared" ref="F2:Q33" si="2">(AF2*$AC2+BF2*$BC2)/$C2</f>
        <v>#DIV/0!</v>
      </c>
      <c r="G2" s="455" t="e">
        <f t="shared" si="2"/>
        <v>#DIV/0!</v>
      </c>
      <c r="H2" s="455" t="e">
        <f t="shared" si="2"/>
        <v>#DIV/0!</v>
      </c>
      <c r="I2" s="455" t="e">
        <f t="shared" si="2"/>
        <v>#DIV/0!</v>
      </c>
      <c r="J2" s="455" t="e">
        <f t="shared" si="2"/>
        <v>#DIV/0!</v>
      </c>
      <c r="K2" s="455" t="e">
        <f t="shared" si="2"/>
        <v>#DIV/0!</v>
      </c>
      <c r="L2" s="455" t="e">
        <f t="shared" si="2"/>
        <v>#DIV/0!</v>
      </c>
      <c r="M2" s="455" t="e">
        <f t="shared" si="2"/>
        <v>#DIV/0!</v>
      </c>
      <c r="N2" s="455" t="e">
        <f t="shared" si="2"/>
        <v>#DIV/0!</v>
      </c>
      <c r="O2" s="455" t="e">
        <f t="shared" si="2"/>
        <v>#DIV/0!</v>
      </c>
      <c r="P2" s="455" t="e">
        <f t="shared" si="2"/>
        <v>#DIV/0!</v>
      </c>
      <c r="Q2" s="455" t="e">
        <f t="shared" si="2"/>
        <v>#DIV/0!</v>
      </c>
      <c r="R2" s="285" t="e">
        <f t="shared" ref="R2:R65" si="3">H2/F2</f>
        <v>#DIV/0!</v>
      </c>
      <c r="S2" s="285" t="e">
        <f t="shared" ref="S2:S65" si="4">L2/F2</f>
        <v>#DIV/0!</v>
      </c>
      <c r="T2" s="285" t="e">
        <f t="shared" ref="T2:T65" si="5">M2/F2</f>
        <v>#DIV/0!</v>
      </c>
      <c r="U2" s="285" t="e">
        <f t="shared" ref="U2:U65" si="6">N2/F2</f>
        <v>#DIV/0!</v>
      </c>
      <c r="V2" s="285" t="e">
        <f t="shared" ref="V2:V65" si="7">O2/F2</f>
        <v>#DIV/0!</v>
      </c>
      <c r="W2" s="285" t="e">
        <f t="shared" ref="W2:W65" si="8">P2/F2</f>
        <v>#DIV/0!</v>
      </c>
      <c r="X2" s="292" t="e">
        <f t="shared" ref="X2:X32" si="9">Q2/$G2</f>
        <v>#DIV/0!</v>
      </c>
    </row>
    <row r="3" spans="1:24" ht="17.25" thickBot="1">
      <c r="A3" s="128">
        <v>46022</v>
      </c>
      <c r="B3" s="290">
        <f t="shared" si="0"/>
        <v>0</v>
      </c>
      <c r="C3" s="379">
        <f t="shared" si="0"/>
        <v>0</v>
      </c>
      <c r="D3" s="475">
        <f t="shared" si="0"/>
        <v>0</v>
      </c>
      <c r="E3" s="372" t="e">
        <f t="shared" si="1"/>
        <v>#DIV/0!</v>
      </c>
      <c r="F3" s="354" t="e">
        <f t="shared" si="2"/>
        <v>#DIV/0!</v>
      </c>
      <c r="G3" s="355" t="e">
        <f t="shared" si="2"/>
        <v>#DIV/0!</v>
      </c>
      <c r="H3" s="355" t="e">
        <f t="shared" si="2"/>
        <v>#DIV/0!</v>
      </c>
      <c r="I3" s="355" t="e">
        <f t="shared" si="2"/>
        <v>#DIV/0!</v>
      </c>
      <c r="J3" s="355" t="e">
        <f t="shared" si="2"/>
        <v>#DIV/0!</v>
      </c>
      <c r="K3" s="355" t="e">
        <f t="shared" si="2"/>
        <v>#DIV/0!</v>
      </c>
      <c r="L3" s="355" t="e">
        <f t="shared" si="2"/>
        <v>#DIV/0!</v>
      </c>
      <c r="M3" s="355" t="e">
        <f t="shared" si="2"/>
        <v>#DIV/0!</v>
      </c>
      <c r="N3" s="355" t="e">
        <f t="shared" si="2"/>
        <v>#DIV/0!</v>
      </c>
      <c r="O3" s="355" t="e">
        <f t="shared" si="2"/>
        <v>#DIV/0!</v>
      </c>
      <c r="P3" s="355" t="e">
        <f t="shared" si="2"/>
        <v>#DIV/0!</v>
      </c>
      <c r="Q3" s="355" t="e">
        <f t="shared" si="2"/>
        <v>#DIV/0!</v>
      </c>
      <c r="R3" s="301" t="e">
        <f t="shared" si="3"/>
        <v>#DIV/0!</v>
      </c>
      <c r="S3" s="301" t="e">
        <f t="shared" si="4"/>
        <v>#DIV/0!</v>
      </c>
      <c r="T3" s="301" t="e">
        <f t="shared" si="5"/>
        <v>#DIV/0!</v>
      </c>
      <c r="U3" s="301" t="e">
        <f t="shared" si="6"/>
        <v>#DIV/0!</v>
      </c>
      <c r="V3" s="301" t="e">
        <f t="shared" si="7"/>
        <v>#DIV/0!</v>
      </c>
      <c r="W3" s="301" t="e">
        <f t="shared" si="8"/>
        <v>#DIV/0!</v>
      </c>
      <c r="X3" s="304" t="e">
        <f t="shared" si="9"/>
        <v>#DIV/0!</v>
      </c>
    </row>
    <row r="4" spans="1:24" ht="16.5">
      <c r="A4" s="274">
        <v>46023</v>
      </c>
      <c r="B4" s="278">
        <f t="shared" si="0"/>
        <v>0</v>
      </c>
      <c r="C4" s="465">
        <f t="shared" si="0"/>
        <v>0</v>
      </c>
      <c r="D4" s="470">
        <f t="shared" si="0"/>
        <v>0</v>
      </c>
      <c r="E4" s="282" t="e">
        <f t="shared" si="1"/>
        <v>#DIV/0!</v>
      </c>
      <c r="F4" s="456" t="e">
        <f t="shared" si="2"/>
        <v>#DIV/0!</v>
      </c>
      <c r="G4" s="455" t="e">
        <f t="shared" si="2"/>
        <v>#DIV/0!</v>
      </c>
      <c r="H4" s="455" t="e">
        <f t="shared" si="2"/>
        <v>#DIV/0!</v>
      </c>
      <c r="I4" s="455" t="e">
        <f t="shared" si="2"/>
        <v>#DIV/0!</v>
      </c>
      <c r="J4" s="455" t="e">
        <f t="shared" si="2"/>
        <v>#DIV/0!</v>
      </c>
      <c r="K4" s="455" t="e">
        <f t="shared" si="2"/>
        <v>#DIV/0!</v>
      </c>
      <c r="L4" s="455" t="e">
        <f t="shared" si="2"/>
        <v>#DIV/0!</v>
      </c>
      <c r="M4" s="455" t="e">
        <f t="shared" si="2"/>
        <v>#DIV/0!</v>
      </c>
      <c r="N4" s="455" t="e">
        <f t="shared" si="2"/>
        <v>#DIV/0!</v>
      </c>
      <c r="O4" s="455" t="e">
        <f t="shared" si="2"/>
        <v>#DIV/0!</v>
      </c>
      <c r="P4" s="455" t="e">
        <f t="shared" si="2"/>
        <v>#DIV/0!</v>
      </c>
      <c r="Q4" s="455" t="e">
        <f t="shared" si="2"/>
        <v>#DIV/0!</v>
      </c>
      <c r="R4" s="285" t="e">
        <f t="shared" si="3"/>
        <v>#DIV/0!</v>
      </c>
      <c r="S4" s="285" t="e">
        <f t="shared" si="4"/>
        <v>#DIV/0!</v>
      </c>
      <c r="T4" s="285" t="e">
        <f t="shared" si="5"/>
        <v>#DIV/0!</v>
      </c>
      <c r="U4" s="285" t="e">
        <f t="shared" si="6"/>
        <v>#DIV/0!</v>
      </c>
      <c r="V4" s="285" t="e">
        <f t="shared" si="7"/>
        <v>#DIV/0!</v>
      </c>
      <c r="W4" s="285" t="e">
        <f t="shared" si="8"/>
        <v>#DIV/0!</v>
      </c>
      <c r="X4" s="292" t="e">
        <f t="shared" si="9"/>
        <v>#DIV/0!</v>
      </c>
    </row>
    <row r="5" spans="1:24" ht="16.5">
      <c r="A5" s="127">
        <v>46024</v>
      </c>
      <c r="B5" s="290">
        <f t="shared" si="0"/>
        <v>0</v>
      </c>
      <c r="C5" s="379">
        <f t="shared" si="0"/>
        <v>0</v>
      </c>
      <c r="D5" s="475">
        <f t="shared" si="0"/>
        <v>0</v>
      </c>
      <c r="E5" s="372" t="e">
        <f t="shared" si="1"/>
        <v>#DIV/0!</v>
      </c>
      <c r="F5" s="354" t="e">
        <f t="shared" si="2"/>
        <v>#DIV/0!</v>
      </c>
      <c r="G5" s="355" t="e">
        <f t="shared" si="2"/>
        <v>#DIV/0!</v>
      </c>
      <c r="H5" s="355" t="e">
        <f t="shared" si="2"/>
        <v>#DIV/0!</v>
      </c>
      <c r="I5" s="355" t="e">
        <f t="shared" si="2"/>
        <v>#DIV/0!</v>
      </c>
      <c r="J5" s="355" t="e">
        <f t="shared" si="2"/>
        <v>#DIV/0!</v>
      </c>
      <c r="K5" s="355" t="e">
        <f t="shared" si="2"/>
        <v>#DIV/0!</v>
      </c>
      <c r="L5" s="355" t="e">
        <f t="shared" si="2"/>
        <v>#DIV/0!</v>
      </c>
      <c r="M5" s="355" t="e">
        <f t="shared" si="2"/>
        <v>#DIV/0!</v>
      </c>
      <c r="N5" s="355" t="e">
        <f t="shared" si="2"/>
        <v>#DIV/0!</v>
      </c>
      <c r="O5" s="355" t="e">
        <f t="shared" si="2"/>
        <v>#DIV/0!</v>
      </c>
      <c r="P5" s="355" t="e">
        <f t="shared" si="2"/>
        <v>#DIV/0!</v>
      </c>
      <c r="Q5" s="355" t="e">
        <f t="shared" si="2"/>
        <v>#DIV/0!</v>
      </c>
      <c r="R5" s="301" t="e">
        <f t="shared" si="3"/>
        <v>#DIV/0!</v>
      </c>
      <c r="S5" s="301" t="e">
        <f t="shared" si="4"/>
        <v>#DIV/0!</v>
      </c>
      <c r="T5" s="301" t="e">
        <f t="shared" si="5"/>
        <v>#DIV/0!</v>
      </c>
      <c r="U5" s="301" t="e">
        <f t="shared" si="6"/>
        <v>#DIV/0!</v>
      </c>
      <c r="V5" s="301" t="e">
        <f t="shared" si="7"/>
        <v>#DIV/0!</v>
      </c>
      <c r="W5" s="301" t="e">
        <f t="shared" si="8"/>
        <v>#DIV/0!</v>
      </c>
      <c r="X5" s="304" t="e">
        <f t="shared" si="9"/>
        <v>#DIV/0!</v>
      </c>
    </row>
    <row r="6" spans="1:24" ht="16.5">
      <c r="A6" s="127">
        <v>46025</v>
      </c>
      <c r="B6" s="290">
        <f t="shared" si="0"/>
        <v>0</v>
      </c>
      <c r="C6" s="379">
        <f t="shared" si="0"/>
        <v>0</v>
      </c>
      <c r="D6" s="475">
        <f t="shared" si="0"/>
        <v>0</v>
      </c>
      <c r="E6" s="372" t="e">
        <f t="shared" si="1"/>
        <v>#DIV/0!</v>
      </c>
      <c r="F6" s="354" t="e">
        <f t="shared" si="2"/>
        <v>#DIV/0!</v>
      </c>
      <c r="G6" s="355" t="e">
        <f t="shared" si="2"/>
        <v>#DIV/0!</v>
      </c>
      <c r="H6" s="355" t="e">
        <f t="shared" si="2"/>
        <v>#DIV/0!</v>
      </c>
      <c r="I6" s="355" t="e">
        <f t="shared" si="2"/>
        <v>#DIV/0!</v>
      </c>
      <c r="J6" s="355" t="e">
        <f t="shared" si="2"/>
        <v>#DIV/0!</v>
      </c>
      <c r="K6" s="355" t="e">
        <f t="shared" si="2"/>
        <v>#DIV/0!</v>
      </c>
      <c r="L6" s="355" t="e">
        <f t="shared" si="2"/>
        <v>#DIV/0!</v>
      </c>
      <c r="M6" s="355" t="e">
        <f t="shared" si="2"/>
        <v>#DIV/0!</v>
      </c>
      <c r="N6" s="355" t="e">
        <f t="shared" si="2"/>
        <v>#DIV/0!</v>
      </c>
      <c r="O6" s="355" t="e">
        <f t="shared" si="2"/>
        <v>#DIV/0!</v>
      </c>
      <c r="P6" s="355" t="e">
        <f t="shared" si="2"/>
        <v>#DIV/0!</v>
      </c>
      <c r="Q6" s="355" t="e">
        <f t="shared" si="2"/>
        <v>#DIV/0!</v>
      </c>
      <c r="R6" s="301" t="e">
        <f t="shared" si="3"/>
        <v>#DIV/0!</v>
      </c>
      <c r="S6" s="301" t="e">
        <f t="shared" si="4"/>
        <v>#DIV/0!</v>
      </c>
      <c r="T6" s="301" t="e">
        <f t="shared" si="5"/>
        <v>#DIV/0!</v>
      </c>
      <c r="U6" s="301" t="e">
        <f t="shared" si="6"/>
        <v>#DIV/0!</v>
      </c>
      <c r="V6" s="301" t="e">
        <f t="shared" si="7"/>
        <v>#DIV/0!</v>
      </c>
      <c r="W6" s="301" t="e">
        <f t="shared" si="8"/>
        <v>#DIV/0!</v>
      </c>
      <c r="X6" s="304" t="e">
        <f t="shared" si="9"/>
        <v>#DIV/0!</v>
      </c>
    </row>
    <row r="7" spans="1:24" ht="16.5">
      <c r="A7" s="127">
        <v>46026</v>
      </c>
      <c r="B7" s="290">
        <f t="shared" si="0"/>
        <v>0</v>
      </c>
      <c r="C7" s="379">
        <f t="shared" si="0"/>
        <v>0</v>
      </c>
      <c r="D7" s="475">
        <f t="shared" si="0"/>
        <v>0</v>
      </c>
      <c r="E7" s="372" t="e">
        <f t="shared" si="1"/>
        <v>#DIV/0!</v>
      </c>
      <c r="F7" s="354" t="e">
        <f t="shared" si="2"/>
        <v>#DIV/0!</v>
      </c>
      <c r="G7" s="355" t="e">
        <f t="shared" si="2"/>
        <v>#DIV/0!</v>
      </c>
      <c r="H7" s="355" t="e">
        <f t="shared" si="2"/>
        <v>#DIV/0!</v>
      </c>
      <c r="I7" s="355" t="e">
        <f t="shared" si="2"/>
        <v>#DIV/0!</v>
      </c>
      <c r="J7" s="355" t="e">
        <f t="shared" si="2"/>
        <v>#DIV/0!</v>
      </c>
      <c r="K7" s="355" t="e">
        <f t="shared" si="2"/>
        <v>#DIV/0!</v>
      </c>
      <c r="L7" s="355" t="e">
        <f t="shared" si="2"/>
        <v>#DIV/0!</v>
      </c>
      <c r="M7" s="355" t="e">
        <f t="shared" si="2"/>
        <v>#DIV/0!</v>
      </c>
      <c r="N7" s="355" t="e">
        <f t="shared" si="2"/>
        <v>#DIV/0!</v>
      </c>
      <c r="O7" s="355" t="e">
        <f t="shared" si="2"/>
        <v>#DIV/0!</v>
      </c>
      <c r="P7" s="355" t="e">
        <f t="shared" si="2"/>
        <v>#DIV/0!</v>
      </c>
      <c r="Q7" s="355" t="e">
        <f t="shared" si="2"/>
        <v>#DIV/0!</v>
      </c>
      <c r="R7" s="301" t="e">
        <f t="shared" si="3"/>
        <v>#DIV/0!</v>
      </c>
      <c r="S7" s="301" t="e">
        <f t="shared" si="4"/>
        <v>#DIV/0!</v>
      </c>
      <c r="T7" s="301" t="e">
        <f t="shared" si="5"/>
        <v>#DIV/0!</v>
      </c>
      <c r="U7" s="301" t="e">
        <f t="shared" si="6"/>
        <v>#DIV/0!</v>
      </c>
      <c r="V7" s="301" t="e">
        <f t="shared" si="7"/>
        <v>#DIV/0!</v>
      </c>
      <c r="W7" s="301" t="e">
        <f t="shared" si="8"/>
        <v>#DIV/0!</v>
      </c>
      <c r="X7" s="304" t="e">
        <f t="shared" si="9"/>
        <v>#DIV/0!</v>
      </c>
    </row>
    <row r="8" spans="1:24" ht="16.5">
      <c r="A8" s="127">
        <v>46027</v>
      </c>
      <c r="B8" s="290">
        <f t="shared" si="0"/>
        <v>0</v>
      </c>
      <c r="C8" s="379">
        <f t="shared" si="0"/>
        <v>0</v>
      </c>
      <c r="D8" s="475">
        <f t="shared" si="0"/>
        <v>0</v>
      </c>
      <c r="E8" s="372" t="e">
        <f t="shared" si="1"/>
        <v>#DIV/0!</v>
      </c>
      <c r="F8" s="354" t="e">
        <f t="shared" si="2"/>
        <v>#DIV/0!</v>
      </c>
      <c r="G8" s="355" t="e">
        <f t="shared" si="2"/>
        <v>#DIV/0!</v>
      </c>
      <c r="H8" s="355" t="e">
        <f t="shared" si="2"/>
        <v>#DIV/0!</v>
      </c>
      <c r="I8" s="355" t="e">
        <f t="shared" si="2"/>
        <v>#DIV/0!</v>
      </c>
      <c r="J8" s="355" t="e">
        <f t="shared" si="2"/>
        <v>#DIV/0!</v>
      </c>
      <c r="K8" s="355" t="e">
        <f t="shared" si="2"/>
        <v>#DIV/0!</v>
      </c>
      <c r="L8" s="355" t="e">
        <f t="shared" si="2"/>
        <v>#DIV/0!</v>
      </c>
      <c r="M8" s="355" t="e">
        <f t="shared" si="2"/>
        <v>#DIV/0!</v>
      </c>
      <c r="N8" s="355" t="e">
        <f t="shared" si="2"/>
        <v>#DIV/0!</v>
      </c>
      <c r="O8" s="355" t="e">
        <f t="shared" si="2"/>
        <v>#DIV/0!</v>
      </c>
      <c r="P8" s="355" t="e">
        <f t="shared" si="2"/>
        <v>#DIV/0!</v>
      </c>
      <c r="Q8" s="355" t="e">
        <f t="shared" si="2"/>
        <v>#DIV/0!</v>
      </c>
      <c r="R8" s="301" t="e">
        <f t="shared" si="3"/>
        <v>#DIV/0!</v>
      </c>
      <c r="S8" s="301" t="e">
        <f t="shared" si="4"/>
        <v>#DIV/0!</v>
      </c>
      <c r="T8" s="301" t="e">
        <f t="shared" si="5"/>
        <v>#DIV/0!</v>
      </c>
      <c r="U8" s="301" t="e">
        <f t="shared" si="6"/>
        <v>#DIV/0!</v>
      </c>
      <c r="V8" s="301" t="e">
        <f t="shared" si="7"/>
        <v>#DIV/0!</v>
      </c>
      <c r="W8" s="301" t="e">
        <f t="shared" si="8"/>
        <v>#DIV/0!</v>
      </c>
      <c r="X8" s="304" t="e">
        <f t="shared" si="9"/>
        <v>#DIV/0!</v>
      </c>
    </row>
    <row r="9" spans="1:24" ht="16.5">
      <c r="A9" s="275">
        <v>46028</v>
      </c>
      <c r="B9" s="290">
        <f t="shared" si="0"/>
        <v>0</v>
      </c>
      <c r="C9" s="379">
        <f t="shared" si="0"/>
        <v>0</v>
      </c>
      <c r="D9" s="475">
        <f t="shared" si="0"/>
        <v>0</v>
      </c>
      <c r="E9" s="372" t="e">
        <f t="shared" si="1"/>
        <v>#DIV/0!</v>
      </c>
      <c r="F9" s="354" t="e">
        <f t="shared" si="2"/>
        <v>#DIV/0!</v>
      </c>
      <c r="G9" s="355" t="e">
        <f t="shared" si="2"/>
        <v>#DIV/0!</v>
      </c>
      <c r="H9" s="355" t="e">
        <f t="shared" si="2"/>
        <v>#DIV/0!</v>
      </c>
      <c r="I9" s="355" t="e">
        <f t="shared" si="2"/>
        <v>#DIV/0!</v>
      </c>
      <c r="J9" s="355" t="e">
        <f t="shared" si="2"/>
        <v>#DIV/0!</v>
      </c>
      <c r="K9" s="355" t="e">
        <f t="shared" si="2"/>
        <v>#DIV/0!</v>
      </c>
      <c r="L9" s="355" t="e">
        <f t="shared" si="2"/>
        <v>#DIV/0!</v>
      </c>
      <c r="M9" s="355" t="e">
        <f t="shared" si="2"/>
        <v>#DIV/0!</v>
      </c>
      <c r="N9" s="355" t="e">
        <f t="shared" si="2"/>
        <v>#DIV/0!</v>
      </c>
      <c r="O9" s="355" t="e">
        <f t="shared" si="2"/>
        <v>#DIV/0!</v>
      </c>
      <c r="P9" s="355" t="e">
        <f t="shared" si="2"/>
        <v>#DIV/0!</v>
      </c>
      <c r="Q9" s="355" t="e">
        <f t="shared" si="2"/>
        <v>#DIV/0!</v>
      </c>
      <c r="R9" s="301" t="e">
        <f t="shared" si="3"/>
        <v>#DIV/0!</v>
      </c>
      <c r="S9" s="301" t="e">
        <f t="shared" si="4"/>
        <v>#DIV/0!</v>
      </c>
      <c r="T9" s="301" t="e">
        <f t="shared" si="5"/>
        <v>#DIV/0!</v>
      </c>
      <c r="U9" s="301" t="e">
        <f t="shared" si="6"/>
        <v>#DIV/0!</v>
      </c>
      <c r="V9" s="301" t="e">
        <f t="shared" si="7"/>
        <v>#DIV/0!</v>
      </c>
      <c r="W9" s="301" t="e">
        <f t="shared" si="8"/>
        <v>#DIV/0!</v>
      </c>
      <c r="X9" s="304" t="e">
        <f t="shared" si="9"/>
        <v>#DIV/0!</v>
      </c>
    </row>
    <row r="10" spans="1:24" ht="16.5">
      <c r="A10" s="275">
        <v>46029</v>
      </c>
      <c r="B10" s="290">
        <f t="shared" si="0"/>
        <v>0</v>
      </c>
      <c r="C10" s="379">
        <f t="shared" si="0"/>
        <v>0</v>
      </c>
      <c r="D10" s="475">
        <f t="shared" si="0"/>
        <v>0</v>
      </c>
      <c r="E10" s="372" t="e">
        <f t="shared" si="1"/>
        <v>#DIV/0!</v>
      </c>
      <c r="F10" s="354" t="e">
        <f t="shared" si="2"/>
        <v>#DIV/0!</v>
      </c>
      <c r="G10" s="355" t="e">
        <f t="shared" si="2"/>
        <v>#DIV/0!</v>
      </c>
      <c r="H10" s="355" t="e">
        <f t="shared" si="2"/>
        <v>#DIV/0!</v>
      </c>
      <c r="I10" s="355" t="e">
        <f t="shared" si="2"/>
        <v>#DIV/0!</v>
      </c>
      <c r="J10" s="355" t="e">
        <f t="shared" si="2"/>
        <v>#DIV/0!</v>
      </c>
      <c r="K10" s="355" t="e">
        <f t="shared" si="2"/>
        <v>#DIV/0!</v>
      </c>
      <c r="L10" s="355" t="e">
        <f t="shared" si="2"/>
        <v>#DIV/0!</v>
      </c>
      <c r="M10" s="355" t="e">
        <f t="shared" si="2"/>
        <v>#DIV/0!</v>
      </c>
      <c r="N10" s="355" t="e">
        <f t="shared" si="2"/>
        <v>#DIV/0!</v>
      </c>
      <c r="O10" s="355" t="e">
        <f t="shared" si="2"/>
        <v>#DIV/0!</v>
      </c>
      <c r="P10" s="355" t="e">
        <f t="shared" si="2"/>
        <v>#DIV/0!</v>
      </c>
      <c r="Q10" s="355" t="e">
        <f t="shared" si="2"/>
        <v>#DIV/0!</v>
      </c>
      <c r="R10" s="301" t="e">
        <f t="shared" si="3"/>
        <v>#DIV/0!</v>
      </c>
      <c r="S10" s="301" t="e">
        <f t="shared" si="4"/>
        <v>#DIV/0!</v>
      </c>
      <c r="T10" s="301" t="e">
        <f t="shared" si="5"/>
        <v>#DIV/0!</v>
      </c>
      <c r="U10" s="301" t="e">
        <f t="shared" si="6"/>
        <v>#DIV/0!</v>
      </c>
      <c r="V10" s="301" t="e">
        <f t="shared" si="7"/>
        <v>#DIV/0!</v>
      </c>
      <c r="W10" s="301" t="e">
        <f t="shared" si="8"/>
        <v>#DIV/0!</v>
      </c>
      <c r="X10" s="304" t="e">
        <f t="shared" si="9"/>
        <v>#DIV/0!</v>
      </c>
    </row>
    <row r="11" spans="1:24" ht="16.5">
      <c r="A11" s="275">
        <v>46030</v>
      </c>
      <c r="B11" s="290">
        <f t="shared" si="0"/>
        <v>0</v>
      </c>
      <c r="C11" s="379">
        <f t="shared" si="0"/>
        <v>0</v>
      </c>
      <c r="D11" s="475">
        <f t="shared" si="0"/>
        <v>0</v>
      </c>
      <c r="E11" s="372" t="e">
        <f t="shared" si="1"/>
        <v>#DIV/0!</v>
      </c>
      <c r="F11" s="354" t="e">
        <f t="shared" si="2"/>
        <v>#DIV/0!</v>
      </c>
      <c r="G11" s="355" t="e">
        <f t="shared" si="2"/>
        <v>#DIV/0!</v>
      </c>
      <c r="H11" s="355" t="e">
        <f t="shared" si="2"/>
        <v>#DIV/0!</v>
      </c>
      <c r="I11" s="355" t="e">
        <f t="shared" si="2"/>
        <v>#DIV/0!</v>
      </c>
      <c r="J11" s="355" t="e">
        <f t="shared" si="2"/>
        <v>#DIV/0!</v>
      </c>
      <c r="K11" s="355" t="e">
        <f t="shared" si="2"/>
        <v>#DIV/0!</v>
      </c>
      <c r="L11" s="355" t="e">
        <f t="shared" si="2"/>
        <v>#DIV/0!</v>
      </c>
      <c r="M11" s="355" t="e">
        <f t="shared" si="2"/>
        <v>#DIV/0!</v>
      </c>
      <c r="N11" s="355" t="e">
        <f t="shared" si="2"/>
        <v>#DIV/0!</v>
      </c>
      <c r="O11" s="355" t="e">
        <f t="shared" si="2"/>
        <v>#DIV/0!</v>
      </c>
      <c r="P11" s="355" t="e">
        <f t="shared" si="2"/>
        <v>#DIV/0!</v>
      </c>
      <c r="Q11" s="355" t="e">
        <f t="shared" si="2"/>
        <v>#DIV/0!</v>
      </c>
      <c r="R11" s="301" t="e">
        <f t="shared" si="3"/>
        <v>#DIV/0!</v>
      </c>
      <c r="S11" s="301" t="e">
        <f t="shared" si="4"/>
        <v>#DIV/0!</v>
      </c>
      <c r="T11" s="301" t="e">
        <f t="shared" si="5"/>
        <v>#DIV/0!</v>
      </c>
      <c r="U11" s="301" t="e">
        <f t="shared" si="6"/>
        <v>#DIV/0!</v>
      </c>
      <c r="V11" s="301" t="e">
        <f t="shared" si="7"/>
        <v>#DIV/0!</v>
      </c>
      <c r="W11" s="301" t="e">
        <f t="shared" si="8"/>
        <v>#DIV/0!</v>
      </c>
      <c r="X11" s="304" t="e">
        <f t="shared" si="9"/>
        <v>#DIV/0!</v>
      </c>
    </row>
    <row r="12" spans="1:24" ht="16.5">
      <c r="A12" s="275">
        <v>46031</v>
      </c>
      <c r="B12" s="290">
        <f t="shared" si="0"/>
        <v>0</v>
      </c>
      <c r="C12" s="379">
        <f t="shared" si="0"/>
        <v>0</v>
      </c>
      <c r="D12" s="475">
        <f t="shared" si="0"/>
        <v>0</v>
      </c>
      <c r="E12" s="372" t="e">
        <f t="shared" si="1"/>
        <v>#DIV/0!</v>
      </c>
      <c r="F12" s="354" t="e">
        <f t="shared" si="2"/>
        <v>#DIV/0!</v>
      </c>
      <c r="G12" s="355" t="e">
        <f t="shared" si="2"/>
        <v>#DIV/0!</v>
      </c>
      <c r="H12" s="355" t="e">
        <f t="shared" si="2"/>
        <v>#DIV/0!</v>
      </c>
      <c r="I12" s="355" t="e">
        <f t="shared" si="2"/>
        <v>#DIV/0!</v>
      </c>
      <c r="J12" s="355" t="e">
        <f t="shared" si="2"/>
        <v>#DIV/0!</v>
      </c>
      <c r="K12" s="355" t="e">
        <f t="shared" si="2"/>
        <v>#DIV/0!</v>
      </c>
      <c r="L12" s="355" t="e">
        <f t="shared" si="2"/>
        <v>#DIV/0!</v>
      </c>
      <c r="M12" s="355" t="e">
        <f t="shared" si="2"/>
        <v>#DIV/0!</v>
      </c>
      <c r="N12" s="355" t="e">
        <f t="shared" si="2"/>
        <v>#DIV/0!</v>
      </c>
      <c r="O12" s="355" t="e">
        <f t="shared" si="2"/>
        <v>#DIV/0!</v>
      </c>
      <c r="P12" s="355" t="e">
        <f t="shared" si="2"/>
        <v>#DIV/0!</v>
      </c>
      <c r="Q12" s="355" t="e">
        <f t="shared" si="2"/>
        <v>#DIV/0!</v>
      </c>
      <c r="R12" s="301" t="e">
        <f t="shared" si="3"/>
        <v>#DIV/0!</v>
      </c>
      <c r="S12" s="301" t="e">
        <f t="shared" si="4"/>
        <v>#DIV/0!</v>
      </c>
      <c r="T12" s="301" t="e">
        <f t="shared" si="5"/>
        <v>#DIV/0!</v>
      </c>
      <c r="U12" s="301" t="e">
        <f t="shared" si="6"/>
        <v>#DIV/0!</v>
      </c>
      <c r="V12" s="301" t="e">
        <f t="shared" si="7"/>
        <v>#DIV/0!</v>
      </c>
      <c r="W12" s="301" t="e">
        <f t="shared" si="8"/>
        <v>#DIV/0!</v>
      </c>
      <c r="X12" s="304" t="e">
        <f t="shared" si="9"/>
        <v>#DIV/0!</v>
      </c>
    </row>
    <row r="13" spans="1:24" ht="16.5">
      <c r="A13" s="275">
        <v>46032</v>
      </c>
      <c r="B13" s="290">
        <f t="shared" si="0"/>
        <v>0</v>
      </c>
      <c r="C13" s="379">
        <f t="shared" si="0"/>
        <v>0</v>
      </c>
      <c r="D13" s="475">
        <f t="shared" si="0"/>
        <v>0</v>
      </c>
      <c r="E13" s="372" t="e">
        <f t="shared" si="1"/>
        <v>#DIV/0!</v>
      </c>
      <c r="F13" s="354" t="e">
        <f t="shared" si="2"/>
        <v>#DIV/0!</v>
      </c>
      <c r="G13" s="355" t="e">
        <f t="shared" si="2"/>
        <v>#DIV/0!</v>
      </c>
      <c r="H13" s="355" t="e">
        <f t="shared" si="2"/>
        <v>#DIV/0!</v>
      </c>
      <c r="I13" s="355" t="e">
        <f t="shared" si="2"/>
        <v>#DIV/0!</v>
      </c>
      <c r="J13" s="355" t="e">
        <f t="shared" si="2"/>
        <v>#DIV/0!</v>
      </c>
      <c r="K13" s="355" t="e">
        <f t="shared" si="2"/>
        <v>#DIV/0!</v>
      </c>
      <c r="L13" s="355" t="e">
        <f t="shared" si="2"/>
        <v>#DIV/0!</v>
      </c>
      <c r="M13" s="355" t="e">
        <f t="shared" si="2"/>
        <v>#DIV/0!</v>
      </c>
      <c r="N13" s="355" t="e">
        <f t="shared" si="2"/>
        <v>#DIV/0!</v>
      </c>
      <c r="O13" s="355" t="e">
        <f t="shared" si="2"/>
        <v>#DIV/0!</v>
      </c>
      <c r="P13" s="355" t="e">
        <f t="shared" si="2"/>
        <v>#DIV/0!</v>
      </c>
      <c r="Q13" s="355" t="e">
        <f t="shared" si="2"/>
        <v>#DIV/0!</v>
      </c>
      <c r="R13" s="301" t="e">
        <f t="shared" si="3"/>
        <v>#DIV/0!</v>
      </c>
      <c r="S13" s="301" t="e">
        <f t="shared" si="4"/>
        <v>#DIV/0!</v>
      </c>
      <c r="T13" s="301" t="e">
        <f t="shared" si="5"/>
        <v>#DIV/0!</v>
      </c>
      <c r="U13" s="301" t="e">
        <f t="shared" si="6"/>
        <v>#DIV/0!</v>
      </c>
      <c r="V13" s="301" t="e">
        <f t="shared" si="7"/>
        <v>#DIV/0!</v>
      </c>
      <c r="W13" s="301" t="e">
        <f t="shared" si="8"/>
        <v>#DIV/0!</v>
      </c>
      <c r="X13" s="304" t="e">
        <f t="shared" si="9"/>
        <v>#DIV/0!</v>
      </c>
    </row>
    <row r="14" spans="1:24" ht="16.5">
      <c r="A14" s="275">
        <v>46033</v>
      </c>
      <c r="B14" s="290">
        <f t="shared" si="0"/>
        <v>0</v>
      </c>
      <c r="C14" s="379">
        <f t="shared" si="0"/>
        <v>0</v>
      </c>
      <c r="D14" s="475">
        <f t="shared" si="0"/>
        <v>0</v>
      </c>
      <c r="E14" s="372" t="e">
        <f t="shared" si="1"/>
        <v>#DIV/0!</v>
      </c>
      <c r="F14" s="354" t="e">
        <f t="shared" si="2"/>
        <v>#DIV/0!</v>
      </c>
      <c r="G14" s="355" t="e">
        <f t="shared" si="2"/>
        <v>#DIV/0!</v>
      </c>
      <c r="H14" s="355" t="e">
        <f t="shared" si="2"/>
        <v>#DIV/0!</v>
      </c>
      <c r="I14" s="355" t="e">
        <f t="shared" si="2"/>
        <v>#DIV/0!</v>
      </c>
      <c r="J14" s="355" t="e">
        <f t="shared" si="2"/>
        <v>#DIV/0!</v>
      </c>
      <c r="K14" s="355" t="e">
        <f t="shared" si="2"/>
        <v>#DIV/0!</v>
      </c>
      <c r="L14" s="355" t="e">
        <f t="shared" si="2"/>
        <v>#DIV/0!</v>
      </c>
      <c r="M14" s="355" t="e">
        <f t="shared" si="2"/>
        <v>#DIV/0!</v>
      </c>
      <c r="N14" s="355" t="e">
        <f t="shared" si="2"/>
        <v>#DIV/0!</v>
      </c>
      <c r="O14" s="355" t="e">
        <f t="shared" si="2"/>
        <v>#DIV/0!</v>
      </c>
      <c r="P14" s="355" t="e">
        <f t="shared" si="2"/>
        <v>#DIV/0!</v>
      </c>
      <c r="Q14" s="355" t="e">
        <f t="shared" si="2"/>
        <v>#DIV/0!</v>
      </c>
      <c r="R14" s="301" t="e">
        <f t="shared" si="3"/>
        <v>#DIV/0!</v>
      </c>
      <c r="S14" s="301" t="e">
        <f t="shared" si="4"/>
        <v>#DIV/0!</v>
      </c>
      <c r="T14" s="301" t="e">
        <f t="shared" si="5"/>
        <v>#DIV/0!</v>
      </c>
      <c r="U14" s="301" t="e">
        <f t="shared" si="6"/>
        <v>#DIV/0!</v>
      </c>
      <c r="V14" s="301" t="e">
        <f t="shared" si="7"/>
        <v>#DIV/0!</v>
      </c>
      <c r="W14" s="301" t="e">
        <f t="shared" si="8"/>
        <v>#DIV/0!</v>
      </c>
      <c r="X14" s="304" t="e">
        <f t="shared" si="9"/>
        <v>#DIV/0!</v>
      </c>
    </row>
    <row r="15" spans="1:24" ht="16.5">
      <c r="A15" s="275">
        <v>46034</v>
      </c>
      <c r="B15" s="290">
        <f t="shared" si="0"/>
        <v>0</v>
      </c>
      <c r="C15" s="379">
        <f t="shared" si="0"/>
        <v>0</v>
      </c>
      <c r="D15" s="475">
        <f t="shared" si="0"/>
        <v>0</v>
      </c>
      <c r="E15" s="372" t="e">
        <f t="shared" si="1"/>
        <v>#DIV/0!</v>
      </c>
      <c r="F15" s="354" t="e">
        <f t="shared" si="2"/>
        <v>#DIV/0!</v>
      </c>
      <c r="G15" s="355" t="e">
        <f t="shared" si="2"/>
        <v>#DIV/0!</v>
      </c>
      <c r="H15" s="355" t="e">
        <f t="shared" si="2"/>
        <v>#DIV/0!</v>
      </c>
      <c r="I15" s="355" t="e">
        <f t="shared" si="2"/>
        <v>#DIV/0!</v>
      </c>
      <c r="J15" s="355" t="e">
        <f t="shared" si="2"/>
        <v>#DIV/0!</v>
      </c>
      <c r="K15" s="355" t="e">
        <f t="shared" si="2"/>
        <v>#DIV/0!</v>
      </c>
      <c r="L15" s="355" t="e">
        <f t="shared" si="2"/>
        <v>#DIV/0!</v>
      </c>
      <c r="M15" s="355" t="e">
        <f t="shared" si="2"/>
        <v>#DIV/0!</v>
      </c>
      <c r="N15" s="355" t="e">
        <f t="shared" si="2"/>
        <v>#DIV/0!</v>
      </c>
      <c r="O15" s="355" t="e">
        <f t="shared" si="2"/>
        <v>#DIV/0!</v>
      </c>
      <c r="P15" s="355" t="e">
        <f t="shared" si="2"/>
        <v>#DIV/0!</v>
      </c>
      <c r="Q15" s="355" t="e">
        <f t="shared" si="2"/>
        <v>#DIV/0!</v>
      </c>
      <c r="R15" s="301" t="e">
        <f t="shared" si="3"/>
        <v>#DIV/0!</v>
      </c>
      <c r="S15" s="301" t="e">
        <f t="shared" si="4"/>
        <v>#DIV/0!</v>
      </c>
      <c r="T15" s="301" t="e">
        <f t="shared" si="5"/>
        <v>#DIV/0!</v>
      </c>
      <c r="U15" s="301" t="e">
        <f t="shared" si="6"/>
        <v>#DIV/0!</v>
      </c>
      <c r="V15" s="301" t="e">
        <f t="shared" si="7"/>
        <v>#DIV/0!</v>
      </c>
      <c r="W15" s="301" t="e">
        <f t="shared" si="8"/>
        <v>#DIV/0!</v>
      </c>
      <c r="X15" s="304" t="e">
        <f t="shared" si="9"/>
        <v>#DIV/0!</v>
      </c>
    </row>
    <row r="16" spans="1:24" ht="17.25" thickBot="1">
      <c r="A16" s="128">
        <v>46035</v>
      </c>
      <c r="B16" s="295">
        <f t="shared" si="0"/>
        <v>0</v>
      </c>
      <c r="C16" s="466">
        <f t="shared" si="0"/>
        <v>0</v>
      </c>
      <c r="D16" s="472">
        <f t="shared" si="0"/>
        <v>0</v>
      </c>
      <c r="E16" s="316" t="e">
        <f t="shared" si="1"/>
        <v>#DIV/0!</v>
      </c>
      <c r="F16" s="323" t="e">
        <f t="shared" si="2"/>
        <v>#DIV/0!</v>
      </c>
      <c r="G16" s="324" t="e">
        <f t="shared" si="2"/>
        <v>#DIV/0!</v>
      </c>
      <c r="H16" s="324" t="e">
        <f t="shared" si="2"/>
        <v>#DIV/0!</v>
      </c>
      <c r="I16" s="324" t="e">
        <f t="shared" si="2"/>
        <v>#DIV/0!</v>
      </c>
      <c r="J16" s="324" t="e">
        <f t="shared" si="2"/>
        <v>#DIV/0!</v>
      </c>
      <c r="K16" s="324" t="e">
        <f t="shared" si="2"/>
        <v>#DIV/0!</v>
      </c>
      <c r="L16" s="324" t="e">
        <f t="shared" si="2"/>
        <v>#DIV/0!</v>
      </c>
      <c r="M16" s="324" t="e">
        <f t="shared" si="2"/>
        <v>#DIV/0!</v>
      </c>
      <c r="N16" s="324" t="e">
        <f t="shared" si="2"/>
        <v>#DIV/0!</v>
      </c>
      <c r="O16" s="324" t="e">
        <f t="shared" si="2"/>
        <v>#DIV/0!</v>
      </c>
      <c r="P16" s="324" t="e">
        <f t="shared" si="2"/>
        <v>#DIV/0!</v>
      </c>
      <c r="Q16" s="324" t="e">
        <f t="shared" si="2"/>
        <v>#DIV/0!</v>
      </c>
      <c r="R16" s="307" t="e">
        <f t="shared" si="3"/>
        <v>#DIV/0!</v>
      </c>
      <c r="S16" s="307" t="e">
        <f t="shared" si="4"/>
        <v>#DIV/0!</v>
      </c>
      <c r="T16" s="307" t="e">
        <f t="shared" si="5"/>
        <v>#DIV/0!</v>
      </c>
      <c r="U16" s="307" t="e">
        <f t="shared" si="6"/>
        <v>#DIV/0!</v>
      </c>
      <c r="V16" s="307" t="e">
        <f t="shared" si="7"/>
        <v>#DIV/0!</v>
      </c>
      <c r="W16" s="307" t="e">
        <f t="shared" si="8"/>
        <v>#DIV/0!</v>
      </c>
      <c r="X16" s="309" t="e">
        <f t="shared" si="9"/>
        <v>#DIV/0!</v>
      </c>
    </row>
    <row r="17" spans="1:24" ht="16.5">
      <c r="A17" s="87">
        <v>46036</v>
      </c>
      <c r="B17" s="290">
        <f t="shared" si="0"/>
        <v>0</v>
      </c>
      <c r="C17" s="379">
        <f t="shared" si="0"/>
        <v>0</v>
      </c>
      <c r="D17" s="475">
        <f t="shared" si="0"/>
        <v>0</v>
      </c>
      <c r="E17" s="372" t="e">
        <f t="shared" si="1"/>
        <v>#DIV/0!</v>
      </c>
      <c r="F17" s="354" t="e">
        <f t="shared" si="2"/>
        <v>#DIV/0!</v>
      </c>
      <c r="G17" s="355" t="e">
        <f t="shared" si="2"/>
        <v>#DIV/0!</v>
      </c>
      <c r="H17" s="355" t="e">
        <f t="shared" si="2"/>
        <v>#DIV/0!</v>
      </c>
      <c r="I17" s="355" t="e">
        <f t="shared" si="2"/>
        <v>#DIV/0!</v>
      </c>
      <c r="J17" s="355" t="e">
        <f t="shared" si="2"/>
        <v>#DIV/0!</v>
      </c>
      <c r="K17" s="355" t="e">
        <f t="shared" si="2"/>
        <v>#DIV/0!</v>
      </c>
      <c r="L17" s="355" t="e">
        <f t="shared" si="2"/>
        <v>#DIV/0!</v>
      </c>
      <c r="M17" s="355" t="e">
        <f t="shared" si="2"/>
        <v>#DIV/0!</v>
      </c>
      <c r="N17" s="355" t="e">
        <f t="shared" si="2"/>
        <v>#DIV/0!</v>
      </c>
      <c r="O17" s="355" t="e">
        <f t="shared" si="2"/>
        <v>#DIV/0!</v>
      </c>
      <c r="P17" s="355" t="e">
        <f t="shared" si="2"/>
        <v>#DIV/0!</v>
      </c>
      <c r="Q17" s="355" t="e">
        <f t="shared" si="2"/>
        <v>#DIV/0!</v>
      </c>
      <c r="R17" s="301" t="e">
        <f t="shared" si="3"/>
        <v>#DIV/0!</v>
      </c>
      <c r="S17" s="301" t="e">
        <f t="shared" si="4"/>
        <v>#DIV/0!</v>
      </c>
      <c r="T17" s="301" t="e">
        <f t="shared" si="5"/>
        <v>#DIV/0!</v>
      </c>
      <c r="U17" s="301" t="e">
        <f t="shared" si="6"/>
        <v>#DIV/0!</v>
      </c>
      <c r="V17" s="301" t="e">
        <f t="shared" si="7"/>
        <v>#DIV/0!</v>
      </c>
      <c r="W17" s="301" t="e">
        <f t="shared" si="8"/>
        <v>#DIV/0!</v>
      </c>
      <c r="X17" s="304" t="e">
        <f t="shared" si="9"/>
        <v>#DIV/0!</v>
      </c>
    </row>
    <row r="18" spans="1:24" ht="16.5">
      <c r="A18" s="87">
        <v>46037</v>
      </c>
      <c r="B18" s="290">
        <f t="shared" si="0"/>
        <v>0</v>
      </c>
      <c r="C18" s="379">
        <f t="shared" si="0"/>
        <v>0</v>
      </c>
      <c r="D18" s="475">
        <f t="shared" si="0"/>
        <v>0</v>
      </c>
      <c r="E18" s="372" t="e">
        <f t="shared" si="1"/>
        <v>#DIV/0!</v>
      </c>
      <c r="F18" s="354" t="e">
        <f t="shared" si="2"/>
        <v>#DIV/0!</v>
      </c>
      <c r="G18" s="355" t="e">
        <f t="shared" si="2"/>
        <v>#DIV/0!</v>
      </c>
      <c r="H18" s="355" t="e">
        <f t="shared" si="2"/>
        <v>#DIV/0!</v>
      </c>
      <c r="I18" s="355" t="e">
        <f t="shared" si="2"/>
        <v>#DIV/0!</v>
      </c>
      <c r="J18" s="355" t="e">
        <f t="shared" si="2"/>
        <v>#DIV/0!</v>
      </c>
      <c r="K18" s="355" t="e">
        <f t="shared" si="2"/>
        <v>#DIV/0!</v>
      </c>
      <c r="L18" s="355" t="e">
        <f t="shared" si="2"/>
        <v>#DIV/0!</v>
      </c>
      <c r="M18" s="355" t="e">
        <f t="shared" si="2"/>
        <v>#DIV/0!</v>
      </c>
      <c r="N18" s="355" t="e">
        <f t="shared" si="2"/>
        <v>#DIV/0!</v>
      </c>
      <c r="O18" s="355" t="e">
        <f t="shared" si="2"/>
        <v>#DIV/0!</v>
      </c>
      <c r="P18" s="355" t="e">
        <f t="shared" si="2"/>
        <v>#DIV/0!</v>
      </c>
      <c r="Q18" s="355" t="e">
        <f t="shared" si="2"/>
        <v>#DIV/0!</v>
      </c>
      <c r="R18" s="301" t="e">
        <f t="shared" si="3"/>
        <v>#DIV/0!</v>
      </c>
      <c r="S18" s="301" t="e">
        <f t="shared" si="4"/>
        <v>#DIV/0!</v>
      </c>
      <c r="T18" s="301" t="e">
        <f t="shared" si="5"/>
        <v>#DIV/0!</v>
      </c>
      <c r="U18" s="301" t="e">
        <f t="shared" si="6"/>
        <v>#DIV/0!</v>
      </c>
      <c r="V18" s="301" t="e">
        <f t="shared" si="7"/>
        <v>#DIV/0!</v>
      </c>
      <c r="W18" s="301" t="e">
        <f t="shared" si="8"/>
        <v>#DIV/0!</v>
      </c>
      <c r="X18" s="304" t="e">
        <f t="shared" si="9"/>
        <v>#DIV/0!</v>
      </c>
    </row>
    <row r="19" spans="1:24" ht="16.5">
      <c r="A19" s="88">
        <v>46038</v>
      </c>
      <c r="B19" s="290">
        <f t="shared" si="0"/>
        <v>0</v>
      </c>
      <c r="C19" s="379">
        <f t="shared" si="0"/>
        <v>0</v>
      </c>
      <c r="D19" s="475">
        <f t="shared" si="0"/>
        <v>0</v>
      </c>
      <c r="E19" s="372" t="e">
        <f t="shared" si="1"/>
        <v>#DIV/0!</v>
      </c>
      <c r="F19" s="354" t="e">
        <f t="shared" si="2"/>
        <v>#DIV/0!</v>
      </c>
      <c r="G19" s="355" t="e">
        <f t="shared" si="2"/>
        <v>#DIV/0!</v>
      </c>
      <c r="H19" s="355" t="e">
        <f t="shared" si="2"/>
        <v>#DIV/0!</v>
      </c>
      <c r="I19" s="355" t="e">
        <f t="shared" si="2"/>
        <v>#DIV/0!</v>
      </c>
      <c r="J19" s="355" t="e">
        <f t="shared" si="2"/>
        <v>#DIV/0!</v>
      </c>
      <c r="K19" s="355" t="e">
        <f t="shared" si="2"/>
        <v>#DIV/0!</v>
      </c>
      <c r="L19" s="355" t="e">
        <f t="shared" si="2"/>
        <v>#DIV/0!</v>
      </c>
      <c r="M19" s="355" t="e">
        <f t="shared" si="2"/>
        <v>#DIV/0!</v>
      </c>
      <c r="N19" s="355" t="e">
        <f t="shared" si="2"/>
        <v>#DIV/0!</v>
      </c>
      <c r="O19" s="355" t="e">
        <f t="shared" si="2"/>
        <v>#DIV/0!</v>
      </c>
      <c r="P19" s="355" t="e">
        <f t="shared" si="2"/>
        <v>#DIV/0!</v>
      </c>
      <c r="Q19" s="355" t="e">
        <f t="shared" si="2"/>
        <v>#DIV/0!</v>
      </c>
      <c r="R19" s="301" t="e">
        <f t="shared" si="3"/>
        <v>#DIV/0!</v>
      </c>
      <c r="S19" s="301" t="e">
        <f t="shared" si="4"/>
        <v>#DIV/0!</v>
      </c>
      <c r="T19" s="301" t="e">
        <f t="shared" si="5"/>
        <v>#DIV/0!</v>
      </c>
      <c r="U19" s="301" t="e">
        <f t="shared" si="6"/>
        <v>#DIV/0!</v>
      </c>
      <c r="V19" s="301" t="e">
        <f t="shared" si="7"/>
        <v>#DIV/0!</v>
      </c>
      <c r="W19" s="301" t="e">
        <f t="shared" si="8"/>
        <v>#DIV/0!</v>
      </c>
      <c r="X19" s="304" t="e">
        <f t="shared" si="9"/>
        <v>#DIV/0!</v>
      </c>
    </row>
    <row r="20" spans="1:24" ht="16.5">
      <c r="A20" s="88">
        <v>46039</v>
      </c>
      <c r="B20" s="290">
        <f t="shared" si="0"/>
        <v>0</v>
      </c>
      <c r="C20" s="379">
        <f t="shared" si="0"/>
        <v>0</v>
      </c>
      <c r="D20" s="475">
        <f t="shared" si="0"/>
        <v>0</v>
      </c>
      <c r="E20" s="372" t="e">
        <f t="shared" si="1"/>
        <v>#DIV/0!</v>
      </c>
      <c r="F20" s="354" t="e">
        <f t="shared" si="2"/>
        <v>#DIV/0!</v>
      </c>
      <c r="G20" s="355" t="e">
        <f t="shared" si="2"/>
        <v>#DIV/0!</v>
      </c>
      <c r="H20" s="355" t="e">
        <f t="shared" si="2"/>
        <v>#DIV/0!</v>
      </c>
      <c r="I20" s="355" t="e">
        <f t="shared" si="2"/>
        <v>#DIV/0!</v>
      </c>
      <c r="J20" s="355" t="e">
        <f t="shared" si="2"/>
        <v>#DIV/0!</v>
      </c>
      <c r="K20" s="355" t="e">
        <f t="shared" si="2"/>
        <v>#DIV/0!</v>
      </c>
      <c r="L20" s="355" t="e">
        <f t="shared" si="2"/>
        <v>#DIV/0!</v>
      </c>
      <c r="M20" s="355" t="e">
        <f t="shared" si="2"/>
        <v>#DIV/0!</v>
      </c>
      <c r="N20" s="355" t="e">
        <f t="shared" si="2"/>
        <v>#DIV/0!</v>
      </c>
      <c r="O20" s="355" t="e">
        <f t="shared" si="2"/>
        <v>#DIV/0!</v>
      </c>
      <c r="P20" s="355" t="e">
        <f t="shared" si="2"/>
        <v>#DIV/0!</v>
      </c>
      <c r="Q20" s="355" t="e">
        <f t="shared" si="2"/>
        <v>#DIV/0!</v>
      </c>
      <c r="R20" s="301" t="e">
        <f t="shared" si="3"/>
        <v>#DIV/0!</v>
      </c>
      <c r="S20" s="301" t="e">
        <f t="shared" si="4"/>
        <v>#DIV/0!</v>
      </c>
      <c r="T20" s="301" t="e">
        <f t="shared" si="5"/>
        <v>#DIV/0!</v>
      </c>
      <c r="U20" s="301" t="e">
        <f t="shared" si="6"/>
        <v>#DIV/0!</v>
      </c>
      <c r="V20" s="301" t="e">
        <f t="shared" si="7"/>
        <v>#DIV/0!</v>
      </c>
      <c r="W20" s="301" t="e">
        <f t="shared" si="8"/>
        <v>#DIV/0!</v>
      </c>
      <c r="X20" s="304" t="e">
        <f t="shared" si="9"/>
        <v>#DIV/0!</v>
      </c>
    </row>
    <row r="21" spans="1:24" ht="16.5">
      <c r="A21" s="87">
        <v>46040</v>
      </c>
      <c r="B21" s="290">
        <f t="shared" si="0"/>
        <v>0</v>
      </c>
      <c r="C21" s="379">
        <f t="shared" si="0"/>
        <v>0</v>
      </c>
      <c r="D21" s="475">
        <f t="shared" si="0"/>
        <v>0</v>
      </c>
      <c r="E21" s="372" t="e">
        <f t="shared" si="1"/>
        <v>#DIV/0!</v>
      </c>
      <c r="F21" s="354" t="e">
        <f t="shared" si="2"/>
        <v>#DIV/0!</v>
      </c>
      <c r="G21" s="355" t="e">
        <f t="shared" si="2"/>
        <v>#DIV/0!</v>
      </c>
      <c r="H21" s="355" t="e">
        <f t="shared" si="2"/>
        <v>#DIV/0!</v>
      </c>
      <c r="I21" s="355" t="e">
        <f t="shared" si="2"/>
        <v>#DIV/0!</v>
      </c>
      <c r="J21" s="355" t="e">
        <f t="shared" si="2"/>
        <v>#DIV/0!</v>
      </c>
      <c r="K21" s="355" t="e">
        <f t="shared" si="2"/>
        <v>#DIV/0!</v>
      </c>
      <c r="L21" s="355" t="e">
        <f t="shared" si="2"/>
        <v>#DIV/0!</v>
      </c>
      <c r="M21" s="355" t="e">
        <f t="shared" si="2"/>
        <v>#DIV/0!</v>
      </c>
      <c r="N21" s="355" t="e">
        <f t="shared" si="2"/>
        <v>#DIV/0!</v>
      </c>
      <c r="O21" s="355" t="e">
        <f t="shared" si="2"/>
        <v>#DIV/0!</v>
      </c>
      <c r="P21" s="355" t="e">
        <f t="shared" si="2"/>
        <v>#DIV/0!</v>
      </c>
      <c r="Q21" s="355" t="e">
        <f t="shared" si="2"/>
        <v>#DIV/0!</v>
      </c>
      <c r="R21" s="301" t="e">
        <f t="shared" si="3"/>
        <v>#DIV/0!</v>
      </c>
      <c r="S21" s="301" t="e">
        <f t="shared" si="4"/>
        <v>#DIV/0!</v>
      </c>
      <c r="T21" s="301" t="e">
        <f t="shared" si="5"/>
        <v>#DIV/0!</v>
      </c>
      <c r="U21" s="301" t="e">
        <f t="shared" si="6"/>
        <v>#DIV/0!</v>
      </c>
      <c r="V21" s="301" t="e">
        <f t="shared" si="7"/>
        <v>#DIV/0!</v>
      </c>
      <c r="W21" s="301" t="e">
        <f t="shared" si="8"/>
        <v>#DIV/0!</v>
      </c>
      <c r="X21" s="304" t="e">
        <f t="shared" si="9"/>
        <v>#DIV/0!</v>
      </c>
    </row>
    <row r="22" spans="1:24" ht="16.5">
      <c r="A22" s="88">
        <v>46041</v>
      </c>
      <c r="B22" s="290">
        <f t="shared" si="0"/>
        <v>0</v>
      </c>
      <c r="C22" s="379">
        <f t="shared" si="0"/>
        <v>0</v>
      </c>
      <c r="D22" s="475">
        <f t="shared" si="0"/>
        <v>0</v>
      </c>
      <c r="E22" s="372" t="e">
        <f t="shared" si="1"/>
        <v>#DIV/0!</v>
      </c>
      <c r="F22" s="354" t="e">
        <f t="shared" si="2"/>
        <v>#DIV/0!</v>
      </c>
      <c r="G22" s="355" t="e">
        <f t="shared" si="2"/>
        <v>#DIV/0!</v>
      </c>
      <c r="H22" s="355" t="e">
        <f t="shared" si="2"/>
        <v>#DIV/0!</v>
      </c>
      <c r="I22" s="355" t="e">
        <f t="shared" si="2"/>
        <v>#DIV/0!</v>
      </c>
      <c r="J22" s="355" t="e">
        <f t="shared" si="2"/>
        <v>#DIV/0!</v>
      </c>
      <c r="K22" s="355" t="e">
        <f t="shared" si="2"/>
        <v>#DIV/0!</v>
      </c>
      <c r="L22" s="355" t="e">
        <f t="shared" si="2"/>
        <v>#DIV/0!</v>
      </c>
      <c r="M22" s="355" t="e">
        <f t="shared" si="2"/>
        <v>#DIV/0!</v>
      </c>
      <c r="N22" s="355" t="e">
        <f t="shared" si="2"/>
        <v>#DIV/0!</v>
      </c>
      <c r="O22" s="355" t="e">
        <f t="shared" si="2"/>
        <v>#DIV/0!</v>
      </c>
      <c r="P22" s="355" t="e">
        <f t="shared" si="2"/>
        <v>#DIV/0!</v>
      </c>
      <c r="Q22" s="355" t="e">
        <f t="shared" si="2"/>
        <v>#DIV/0!</v>
      </c>
      <c r="R22" s="301" t="e">
        <f t="shared" si="3"/>
        <v>#DIV/0!</v>
      </c>
      <c r="S22" s="301" t="e">
        <f t="shared" si="4"/>
        <v>#DIV/0!</v>
      </c>
      <c r="T22" s="301" t="e">
        <f t="shared" si="5"/>
        <v>#DIV/0!</v>
      </c>
      <c r="U22" s="301" t="e">
        <f t="shared" si="6"/>
        <v>#DIV/0!</v>
      </c>
      <c r="V22" s="301" t="e">
        <f t="shared" si="7"/>
        <v>#DIV/0!</v>
      </c>
      <c r="W22" s="301" t="e">
        <f t="shared" si="8"/>
        <v>#DIV/0!</v>
      </c>
      <c r="X22" s="304" t="e">
        <f t="shared" si="9"/>
        <v>#DIV/0!</v>
      </c>
    </row>
    <row r="23" spans="1:24" ht="16.5">
      <c r="A23" s="88">
        <v>46042</v>
      </c>
      <c r="B23" s="290">
        <f t="shared" si="0"/>
        <v>0</v>
      </c>
      <c r="C23" s="379">
        <f t="shared" si="0"/>
        <v>0</v>
      </c>
      <c r="D23" s="475">
        <f t="shared" si="0"/>
        <v>0</v>
      </c>
      <c r="E23" s="372" t="e">
        <f t="shared" si="1"/>
        <v>#DIV/0!</v>
      </c>
      <c r="F23" s="354" t="e">
        <f t="shared" si="2"/>
        <v>#DIV/0!</v>
      </c>
      <c r="G23" s="355" t="e">
        <f t="shared" si="2"/>
        <v>#DIV/0!</v>
      </c>
      <c r="H23" s="355" t="e">
        <f t="shared" si="2"/>
        <v>#DIV/0!</v>
      </c>
      <c r="I23" s="355" t="e">
        <f t="shared" ref="I23:Q54" si="10">(AI23*$AC23+BI23*$BC23)/$C23</f>
        <v>#DIV/0!</v>
      </c>
      <c r="J23" s="355" t="e">
        <f t="shared" si="10"/>
        <v>#DIV/0!</v>
      </c>
      <c r="K23" s="355" t="e">
        <f t="shared" si="10"/>
        <v>#DIV/0!</v>
      </c>
      <c r="L23" s="355" t="e">
        <f t="shared" si="10"/>
        <v>#DIV/0!</v>
      </c>
      <c r="M23" s="355" t="e">
        <f t="shared" si="10"/>
        <v>#DIV/0!</v>
      </c>
      <c r="N23" s="355" t="e">
        <f t="shared" si="10"/>
        <v>#DIV/0!</v>
      </c>
      <c r="O23" s="355" t="e">
        <f t="shared" si="10"/>
        <v>#DIV/0!</v>
      </c>
      <c r="P23" s="355" t="e">
        <f t="shared" si="10"/>
        <v>#DIV/0!</v>
      </c>
      <c r="Q23" s="355" t="e">
        <f t="shared" si="10"/>
        <v>#DIV/0!</v>
      </c>
      <c r="R23" s="301" t="e">
        <f t="shared" si="3"/>
        <v>#DIV/0!</v>
      </c>
      <c r="S23" s="301" t="e">
        <f t="shared" si="4"/>
        <v>#DIV/0!</v>
      </c>
      <c r="T23" s="301" t="e">
        <f t="shared" si="5"/>
        <v>#DIV/0!</v>
      </c>
      <c r="U23" s="301" t="e">
        <f t="shared" si="6"/>
        <v>#DIV/0!</v>
      </c>
      <c r="V23" s="301" t="e">
        <f t="shared" si="7"/>
        <v>#DIV/0!</v>
      </c>
      <c r="W23" s="301" t="e">
        <f t="shared" si="8"/>
        <v>#DIV/0!</v>
      </c>
      <c r="X23" s="304" t="e">
        <f t="shared" si="9"/>
        <v>#DIV/0!</v>
      </c>
    </row>
    <row r="24" spans="1:24" ht="16.5">
      <c r="A24" s="88">
        <v>46043</v>
      </c>
      <c r="B24" s="290">
        <f t="shared" si="0"/>
        <v>0</v>
      </c>
      <c r="C24" s="379">
        <f t="shared" si="0"/>
        <v>0</v>
      </c>
      <c r="D24" s="475">
        <f t="shared" si="0"/>
        <v>0</v>
      </c>
      <c r="E24" s="372" t="e">
        <f t="shared" si="1"/>
        <v>#DIV/0!</v>
      </c>
      <c r="F24" s="354" t="e">
        <f t="shared" ref="F24:K55" si="11">(AF24*$AC24+BF24*$BC24)/$C24</f>
        <v>#DIV/0!</v>
      </c>
      <c r="G24" s="355" t="e">
        <f t="shared" si="11"/>
        <v>#DIV/0!</v>
      </c>
      <c r="H24" s="355" t="e">
        <f t="shared" si="11"/>
        <v>#DIV/0!</v>
      </c>
      <c r="I24" s="355" t="e">
        <f t="shared" si="10"/>
        <v>#DIV/0!</v>
      </c>
      <c r="J24" s="355" t="e">
        <f t="shared" si="10"/>
        <v>#DIV/0!</v>
      </c>
      <c r="K24" s="355" t="e">
        <f t="shared" si="10"/>
        <v>#DIV/0!</v>
      </c>
      <c r="L24" s="355" t="e">
        <f t="shared" si="10"/>
        <v>#DIV/0!</v>
      </c>
      <c r="M24" s="355" t="e">
        <f t="shared" si="10"/>
        <v>#DIV/0!</v>
      </c>
      <c r="N24" s="355" t="e">
        <f t="shared" si="10"/>
        <v>#DIV/0!</v>
      </c>
      <c r="O24" s="355" t="e">
        <f t="shared" si="10"/>
        <v>#DIV/0!</v>
      </c>
      <c r="P24" s="355" t="e">
        <f t="shared" si="10"/>
        <v>#DIV/0!</v>
      </c>
      <c r="Q24" s="355" t="e">
        <f t="shared" si="10"/>
        <v>#DIV/0!</v>
      </c>
      <c r="R24" s="301" t="e">
        <f t="shared" si="3"/>
        <v>#DIV/0!</v>
      </c>
      <c r="S24" s="301" t="e">
        <f t="shared" si="4"/>
        <v>#DIV/0!</v>
      </c>
      <c r="T24" s="301" t="e">
        <f t="shared" si="5"/>
        <v>#DIV/0!</v>
      </c>
      <c r="U24" s="301" t="e">
        <f t="shared" si="6"/>
        <v>#DIV/0!</v>
      </c>
      <c r="V24" s="301" t="e">
        <f t="shared" si="7"/>
        <v>#DIV/0!</v>
      </c>
      <c r="W24" s="301" t="e">
        <f t="shared" si="8"/>
        <v>#DIV/0!</v>
      </c>
      <c r="X24" s="304" t="e">
        <f t="shared" si="9"/>
        <v>#DIV/0!</v>
      </c>
    </row>
    <row r="25" spans="1:24" ht="16.5">
      <c r="A25" s="58">
        <v>46044</v>
      </c>
      <c r="B25" s="290">
        <f t="shared" si="0"/>
        <v>0</v>
      </c>
      <c r="C25" s="379">
        <f t="shared" si="0"/>
        <v>0</v>
      </c>
      <c r="D25" s="475">
        <f t="shared" si="0"/>
        <v>0</v>
      </c>
      <c r="E25" s="372" t="e">
        <f t="shared" si="1"/>
        <v>#DIV/0!</v>
      </c>
      <c r="F25" s="354" t="e">
        <f t="shared" si="11"/>
        <v>#DIV/0!</v>
      </c>
      <c r="G25" s="355" t="e">
        <f t="shared" si="11"/>
        <v>#DIV/0!</v>
      </c>
      <c r="H25" s="355" t="e">
        <f t="shared" si="11"/>
        <v>#DIV/0!</v>
      </c>
      <c r="I25" s="355" t="e">
        <f t="shared" si="10"/>
        <v>#DIV/0!</v>
      </c>
      <c r="J25" s="355" t="e">
        <f t="shared" si="10"/>
        <v>#DIV/0!</v>
      </c>
      <c r="K25" s="355" t="e">
        <f t="shared" si="10"/>
        <v>#DIV/0!</v>
      </c>
      <c r="L25" s="355" t="e">
        <f t="shared" si="10"/>
        <v>#DIV/0!</v>
      </c>
      <c r="M25" s="355" t="e">
        <f t="shared" si="10"/>
        <v>#DIV/0!</v>
      </c>
      <c r="N25" s="355" t="e">
        <f t="shared" si="10"/>
        <v>#DIV/0!</v>
      </c>
      <c r="O25" s="355" t="e">
        <f t="shared" si="10"/>
        <v>#DIV/0!</v>
      </c>
      <c r="P25" s="355" t="e">
        <f t="shared" si="10"/>
        <v>#DIV/0!</v>
      </c>
      <c r="Q25" s="355" t="e">
        <f t="shared" si="10"/>
        <v>#DIV/0!</v>
      </c>
      <c r="R25" s="301" t="e">
        <f t="shared" si="3"/>
        <v>#DIV/0!</v>
      </c>
      <c r="S25" s="301" t="e">
        <f t="shared" si="4"/>
        <v>#DIV/0!</v>
      </c>
      <c r="T25" s="301" t="e">
        <f t="shared" si="5"/>
        <v>#DIV/0!</v>
      </c>
      <c r="U25" s="301" t="e">
        <f t="shared" si="6"/>
        <v>#DIV/0!</v>
      </c>
      <c r="V25" s="301" t="e">
        <f t="shared" si="7"/>
        <v>#DIV/0!</v>
      </c>
      <c r="W25" s="301" t="e">
        <f t="shared" si="8"/>
        <v>#DIV/0!</v>
      </c>
      <c r="X25" s="304" t="e">
        <f t="shared" si="9"/>
        <v>#DIV/0!</v>
      </c>
    </row>
    <row r="26" spans="1:24" ht="16.5">
      <c r="A26" s="58">
        <v>46045</v>
      </c>
      <c r="B26" s="290">
        <f t="shared" si="0"/>
        <v>0</v>
      </c>
      <c r="C26" s="379">
        <f t="shared" si="0"/>
        <v>0</v>
      </c>
      <c r="D26" s="475">
        <f t="shared" si="0"/>
        <v>0</v>
      </c>
      <c r="E26" s="372" t="e">
        <f t="shared" si="1"/>
        <v>#DIV/0!</v>
      </c>
      <c r="F26" s="354" t="e">
        <f t="shared" si="11"/>
        <v>#DIV/0!</v>
      </c>
      <c r="G26" s="355" t="e">
        <f t="shared" si="11"/>
        <v>#DIV/0!</v>
      </c>
      <c r="H26" s="355" t="e">
        <f t="shared" si="11"/>
        <v>#DIV/0!</v>
      </c>
      <c r="I26" s="355" t="e">
        <f t="shared" si="10"/>
        <v>#DIV/0!</v>
      </c>
      <c r="J26" s="355" t="e">
        <f t="shared" si="10"/>
        <v>#DIV/0!</v>
      </c>
      <c r="K26" s="355" t="e">
        <f t="shared" si="10"/>
        <v>#DIV/0!</v>
      </c>
      <c r="L26" s="355" t="e">
        <f t="shared" si="10"/>
        <v>#DIV/0!</v>
      </c>
      <c r="M26" s="355" t="e">
        <f t="shared" si="10"/>
        <v>#DIV/0!</v>
      </c>
      <c r="N26" s="355" t="e">
        <f t="shared" si="10"/>
        <v>#DIV/0!</v>
      </c>
      <c r="O26" s="355" t="e">
        <f t="shared" si="10"/>
        <v>#DIV/0!</v>
      </c>
      <c r="P26" s="355" t="e">
        <f t="shared" si="10"/>
        <v>#DIV/0!</v>
      </c>
      <c r="Q26" s="355" t="e">
        <f t="shared" si="10"/>
        <v>#DIV/0!</v>
      </c>
      <c r="R26" s="301" t="e">
        <f t="shared" si="3"/>
        <v>#DIV/0!</v>
      </c>
      <c r="S26" s="301" t="e">
        <f t="shared" si="4"/>
        <v>#DIV/0!</v>
      </c>
      <c r="T26" s="301" t="e">
        <f t="shared" si="5"/>
        <v>#DIV/0!</v>
      </c>
      <c r="U26" s="301" t="e">
        <f t="shared" si="6"/>
        <v>#DIV/0!</v>
      </c>
      <c r="V26" s="301" t="e">
        <f t="shared" si="7"/>
        <v>#DIV/0!</v>
      </c>
      <c r="W26" s="301" t="e">
        <f t="shared" si="8"/>
        <v>#DIV/0!</v>
      </c>
      <c r="X26" s="304" t="e">
        <f t="shared" si="9"/>
        <v>#DIV/0!</v>
      </c>
    </row>
    <row r="27" spans="1:24" ht="16.5">
      <c r="A27" s="58">
        <v>46046</v>
      </c>
      <c r="B27" s="290">
        <f t="shared" si="0"/>
        <v>0</v>
      </c>
      <c r="C27" s="379">
        <f t="shared" si="0"/>
        <v>0</v>
      </c>
      <c r="D27" s="475">
        <f t="shared" si="0"/>
        <v>0</v>
      </c>
      <c r="E27" s="372" t="e">
        <f t="shared" si="1"/>
        <v>#DIV/0!</v>
      </c>
      <c r="F27" s="354" t="e">
        <f t="shared" si="11"/>
        <v>#DIV/0!</v>
      </c>
      <c r="G27" s="355" t="e">
        <f t="shared" si="11"/>
        <v>#DIV/0!</v>
      </c>
      <c r="H27" s="355" t="e">
        <f t="shared" si="11"/>
        <v>#DIV/0!</v>
      </c>
      <c r="I27" s="355" t="e">
        <f t="shared" si="10"/>
        <v>#DIV/0!</v>
      </c>
      <c r="J27" s="355" t="e">
        <f t="shared" si="10"/>
        <v>#DIV/0!</v>
      </c>
      <c r="K27" s="355" t="e">
        <f t="shared" si="10"/>
        <v>#DIV/0!</v>
      </c>
      <c r="L27" s="355" t="e">
        <f t="shared" si="10"/>
        <v>#DIV/0!</v>
      </c>
      <c r="M27" s="355" t="e">
        <f t="shared" si="10"/>
        <v>#DIV/0!</v>
      </c>
      <c r="N27" s="355" t="e">
        <f t="shared" si="10"/>
        <v>#DIV/0!</v>
      </c>
      <c r="O27" s="355" t="e">
        <f t="shared" si="10"/>
        <v>#DIV/0!</v>
      </c>
      <c r="P27" s="355" t="e">
        <f t="shared" si="10"/>
        <v>#DIV/0!</v>
      </c>
      <c r="Q27" s="355" t="e">
        <f t="shared" si="10"/>
        <v>#DIV/0!</v>
      </c>
      <c r="R27" s="301" t="e">
        <f t="shared" si="3"/>
        <v>#DIV/0!</v>
      </c>
      <c r="S27" s="301" t="e">
        <f t="shared" si="4"/>
        <v>#DIV/0!</v>
      </c>
      <c r="T27" s="301" t="e">
        <f t="shared" si="5"/>
        <v>#DIV/0!</v>
      </c>
      <c r="U27" s="301" t="e">
        <f t="shared" si="6"/>
        <v>#DIV/0!</v>
      </c>
      <c r="V27" s="301" t="e">
        <f t="shared" si="7"/>
        <v>#DIV/0!</v>
      </c>
      <c r="W27" s="301" t="e">
        <f t="shared" si="8"/>
        <v>#DIV/0!</v>
      </c>
      <c r="X27" s="304" t="e">
        <f t="shared" si="9"/>
        <v>#DIV/0!</v>
      </c>
    </row>
    <row r="28" spans="1:24" ht="16.5">
      <c r="A28" s="87">
        <v>46047</v>
      </c>
      <c r="B28" s="290">
        <f t="shared" si="0"/>
        <v>0</v>
      </c>
      <c r="C28" s="379">
        <f t="shared" si="0"/>
        <v>0</v>
      </c>
      <c r="D28" s="475">
        <f t="shared" si="0"/>
        <v>0</v>
      </c>
      <c r="E28" s="372" t="e">
        <f t="shared" si="1"/>
        <v>#DIV/0!</v>
      </c>
      <c r="F28" s="354" t="e">
        <f t="shared" si="11"/>
        <v>#DIV/0!</v>
      </c>
      <c r="G28" s="355" t="e">
        <f t="shared" si="11"/>
        <v>#DIV/0!</v>
      </c>
      <c r="H28" s="355" t="e">
        <f t="shared" si="11"/>
        <v>#DIV/0!</v>
      </c>
      <c r="I28" s="355" t="e">
        <f t="shared" si="10"/>
        <v>#DIV/0!</v>
      </c>
      <c r="J28" s="355" t="e">
        <f t="shared" si="10"/>
        <v>#DIV/0!</v>
      </c>
      <c r="K28" s="355" t="e">
        <f t="shared" si="10"/>
        <v>#DIV/0!</v>
      </c>
      <c r="L28" s="355" t="e">
        <f t="shared" si="10"/>
        <v>#DIV/0!</v>
      </c>
      <c r="M28" s="355" t="e">
        <f t="shared" si="10"/>
        <v>#DIV/0!</v>
      </c>
      <c r="N28" s="355" t="e">
        <f t="shared" si="10"/>
        <v>#DIV/0!</v>
      </c>
      <c r="O28" s="355" t="e">
        <f t="shared" si="10"/>
        <v>#DIV/0!</v>
      </c>
      <c r="P28" s="355" t="e">
        <f t="shared" si="10"/>
        <v>#DIV/0!</v>
      </c>
      <c r="Q28" s="355" t="e">
        <f t="shared" si="10"/>
        <v>#DIV/0!</v>
      </c>
      <c r="R28" s="301" t="e">
        <f t="shared" si="3"/>
        <v>#DIV/0!</v>
      </c>
      <c r="S28" s="301" t="e">
        <f t="shared" si="4"/>
        <v>#DIV/0!</v>
      </c>
      <c r="T28" s="301" t="e">
        <f t="shared" si="5"/>
        <v>#DIV/0!</v>
      </c>
      <c r="U28" s="301" t="e">
        <f t="shared" si="6"/>
        <v>#DIV/0!</v>
      </c>
      <c r="V28" s="301" t="e">
        <f t="shared" si="7"/>
        <v>#DIV/0!</v>
      </c>
      <c r="W28" s="301" t="e">
        <f t="shared" si="8"/>
        <v>#DIV/0!</v>
      </c>
      <c r="X28" s="304" t="e">
        <f t="shared" si="9"/>
        <v>#DIV/0!</v>
      </c>
    </row>
    <row r="29" spans="1:24" ht="16.5">
      <c r="A29" s="87">
        <v>46048</v>
      </c>
      <c r="B29" s="290">
        <f t="shared" si="0"/>
        <v>0</v>
      </c>
      <c r="C29" s="379">
        <f t="shared" si="0"/>
        <v>0</v>
      </c>
      <c r="D29" s="475">
        <f t="shared" si="0"/>
        <v>0</v>
      </c>
      <c r="E29" s="372" t="e">
        <f t="shared" si="1"/>
        <v>#DIV/0!</v>
      </c>
      <c r="F29" s="354" t="e">
        <f t="shared" si="11"/>
        <v>#DIV/0!</v>
      </c>
      <c r="G29" s="355" t="e">
        <f t="shared" si="11"/>
        <v>#DIV/0!</v>
      </c>
      <c r="H29" s="355" t="e">
        <f t="shared" si="11"/>
        <v>#DIV/0!</v>
      </c>
      <c r="I29" s="355" t="e">
        <f t="shared" si="10"/>
        <v>#DIV/0!</v>
      </c>
      <c r="J29" s="355" t="e">
        <f t="shared" si="10"/>
        <v>#DIV/0!</v>
      </c>
      <c r="K29" s="355" t="e">
        <f t="shared" si="10"/>
        <v>#DIV/0!</v>
      </c>
      <c r="L29" s="355" t="e">
        <f t="shared" si="10"/>
        <v>#DIV/0!</v>
      </c>
      <c r="M29" s="355" t="e">
        <f t="shared" si="10"/>
        <v>#DIV/0!</v>
      </c>
      <c r="N29" s="355" t="e">
        <f t="shared" si="10"/>
        <v>#DIV/0!</v>
      </c>
      <c r="O29" s="355" t="e">
        <f t="shared" si="10"/>
        <v>#DIV/0!</v>
      </c>
      <c r="P29" s="355" t="e">
        <f t="shared" si="10"/>
        <v>#DIV/0!</v>
      </c>
      <c r="Q29" s="355" t="e">
        <f t="shared" si="10"/>
        <v>#DIV/0!</v>
      </c>
      <c r="R29" s="301" t="e">
        <f t="shared" si="3"/>
        <v>#DIV/0!</v>
      </c>
      <c r="S29" s="301" t="e">
        <f t="shared" si="4"/>
        <v>#DIV/0!</v>
      </c>
      <c r="T29" s="301" t="e">
        <f t="shared" si="5"/>
        <v>#DIV/0!</v>
      </c>
      <c r="U29" s="301" t="e">
        <f t="shared" si="6"/>
        <v>#DIV/0!</v>
      </c>
      <c r="V29" s="301" t="e">
        <f t="shared" si="7"/>
        <v>#DIV/0!</v>
      </c>
      <c r="W29" s="301" t="e">
        <f t="shared" si="8"/>
        <v>#DIV/0!</v>
      </c>
      <c r="X29" s="304" t="e">
        <f t="shared" si="9"/>
        <v>#DIV/0!</v>
      </c>
    </row>
    <row r="30" spans="1:24" ht="16.5">
      <c r="A30" s="341">
        <v>46049</v>
      </c>
      <c r="B30" s="290">
        <f t="shared" si="0"/>
        <v>0</v>
      </c>
      <c r="C30" s="379">
        <f t="shared" si="0"/>
        <v>0</v>
      </c>
      <c r="D30" s="475">
        <f t="shared" si="0"/>
        <v>0</v>
      </c>
      <c r="E30" s="372" t="e">
        <f t="shared" si="1"/>
        <v>#DIV/0!</v>
      </c>
      <c r="F30" s="354" t="e">
        <f t="shared" si="11"/>
        <v>#DIV/0!</v>
      </c>
      <c r="G30" s="355" t="e">
        <f t="shared" si="11"/>
        <v>#DIV/0!</v>
      </c>
      <c r="H30" s="355" t="e">
        <f t="shared" si="11"/>
        <v>#DIV/0!</v>
      </c>
      <c r="I30" s="355" t="e">
        <f t="shared" si="10"/>
        <v>#DIV/0!</v>
      </c>
      <c r="J30" s="355" t="e">
        <f t="shared" si="10"/>
        <v>#DIV/0!</v>
      </c>
      <c r="K30" s="355" t="e">
        <f t="shared" si="10"/>
        <v>#DIV/0!</v>
      </c>
      <c r="L30" s="355" t="e">
        <f t="shared" si="10"/>
        <v>#DIV/0!</v>
      </c>
      <c r="M30" s="355" t="e">
        <f t="shared" si="10"/>
        <v>#DIV/0!</v>
      </c>
      <c r="N30" s="355" t="e">
        <f t="shared" si="10"/>
        <v>#DIV/0!</v>
      </c>
      <c r="O30" s="355" t="e">
        <f t="shared" si="10"/>
        <v>#DIV/0!</v>
      </c>
      <c r="P30" s="355" t="e">
        <f t="shared" si="10"/>
        <v>#DIV/0!</v>
      </c>
      <c r="Q30" s="355" t="e">
        <f t="shared" si="10"/>
        <v>#DIV/0!</v>
      </c>
      <c r="R30" s="301" t="e">
        <f t="shared" si="3"/>
        <v>#DIV/0!</v>
      </c>
      <c r="S30" s="301" t="e">
        <f t="shared" si="4"/>
        <v>#DIV/0!</v>
      </c>
      <c r="T30" s="301" t="e">
        <f t="shared" si="5"/>
        <v>#DIV/0!</v>
      </c>
      <c r="U30" s="301" t="e">
        <f t="shared" si="6"/>
        <v>#DIV/0!</v>
      </c>
      <c r="V30" s="301" t="e">
        <f t="shared" si="7"/>
        <v>#DIV/0!</v>
      </c>
      <c r="W30" s="301" t="e">
        <f t="shared" si="8"/>
        <v>#DIV/0!</v>
      </c>
      <c r="X30" s="304" t="e">
        <f t="shared" si="9"/>
        <v>#DIV/0!</v>
      </c>
    </row>
    <row r="31" spans="1:24" ht="16.5">
      <c r="A31" s="341">
        <v>46050</v>
      </c>
      <c r="B31" s="290">
        <f t="shared" si="0"/>
        <v>0</v>
      </c>
      <c r="C31" s="379">
        <f t="shared" si="0"/>
        <v>0</v>
      </c>
      <c r="D31" s="475">
        <f t="shared" si="0"/>
        <v>0</v>
      </c>
      <c r="E31" s="372" t="e">
        <f t="shared" si="1"/>
        <v>#DIV/0!</v>
      </c>
      <c r="F31" s="354" t="e">
        <f t="shared" si="11"/>
        <v>#DIV/0!</v>
      </c>
      <c r="G31" s="355" t="e">
        <f t="shared" si="11"/>
        <v>#DIV/0!</v>
      </c>
      <c r="H31" s="355" t="e">
        <f t="shared" si="11"/>
        <v>#DIV/0!</v>
      </c>
      <c r="I31" s="355" t="e">
        <f t="shared" si="10"/>
        <v>#DIV/0!</v>
      </c>
      <c r="J31" s="355" t="e">
        <f t="shared" si="10"/>
        <v>#DIV/0!</v>
      </c>
      <c r="K31" s="355" t="e">
        <f t="shared" si="10"/>
        <v>#DIV/0!</v>
      </c>
      <c r="L31" s="355" t="e">
        <f t="shared" si="10"/>
        <v>#DIV/0!</v>
      </c>
      <c r="M31" s="355" t="e">
        <f t="shared" si="10"/>
        <v>#DIV/0!</v>
      </c>
      <c r="N31" s="355" t="e">
        <f t="shared" si="10"/>
        <v>#DIV/0!</v>
      </c>
      <c r="O31" s="355" t="e">
        <f t="shared" si="10"/>
        <v>#DIV/0!</v>
      </c>
      <c r="P31" s="355" t="e">
        <f t="shared" si="10"/>
        <v>#DIV/0!</v>
      </c>
      <c r="Q31" s="355" t="e">
        <f t="shared" si="10"/>
        <v>#DIV/0!</v>
      </c>
      <c r="R31" s="301" t="e">
        <f t="shared" si="3"/>
        <v>#DIV/0!</v>
      </c>
      <c r="S31" s="301" t="e">
        <f t="shared" si="4"/>
        <v>#DIV/0!</v>
      </c>
      <c r="T31" s="301" t="e">
        <f t="shared" si="5"/>
        <v>#DIV/0!</v>
      </c>
      <c r="U31" s="301" t="e">
        <f t="shared" si="6"/>
        <v>#DIV/0!</v>
      </c>
      <c r="V31" s="301" t="e">
        <f t="shared" si="7"/>
        <v>#DIV/0!</v>
      </c>
      <c r="W31" s="301" t="e">
        <f t="shared" si="8"/>
        <v>#DIV/0!</v>
      </c>
      <c r="X31" s="304" t="e">
        <f t="shared" si="9"/>
        <v>#DIV/0!</v>
      </c>
    </row>
    <row r="32" spans="1:24" ht="16.5">
      <c r="A32" s="341">
        <v>46051</v>
      </c>
      <c r="B32" s="290">
        <f t="shared" si="0"/>
        <v>0</v>
      </c>
      <c r="C32" s="379">
        <f t="shared" si="0"/>
        <v>0</v>
      </c>
      <c r="D32" s="475">
        <f t="shared" si="0"/>
        <v>0</v>
      </c>
      <c r="E32" s="372" t="e">
        <f t="shared" si="1"/>
        <v>#DIV/0!</v>
      </c>
      <c r="F32" s="354" t="e">
        <f t="shared" si="11"/>
        <v>#DIV/0!</v>
      </c>
      <c r="G32" s="355" t="e">
        <f t="shared" si="11"/>
        <v>#DIV/0!</v>
      </c>
      <c r="H32" s="355" t="e">
        <f t="shared" si="11"/>
        <v>#DIV/0!</v>
      </c>
      <c r="I32" s="355" t="e">
        <f t="shared" si="10"/>
        <v>#DIV/0!</v>
      </c>
      <c r="J32" s="355" t="e">
        <f t="shared" si="10"/>
        <v>#DIV/0!</v>
      </c>
      <c r="K32" s="355" t="e">
        <f t="shared" si="10"/>
        <v>#DIV/0!</v>
      </c>
      <c r="L32" s="355" t="e">
        <f t="shared" si="10"/>
        <v>#DIV/0!</v>
      </c>
      <c r="M32" s="355" t="e">
        <f t="shared" si="10"/>
        <v>#DIV/0!</v>
      </c>
      <c r="N32" s="355" t="e">
        <f t="shared" si="10"/>
        <v>#DIV/0!</v>
      </c>
      <c r="O32" s="355" t="e">
        <f t="shared" si="10"/>
        <v>#DIV/0!</v>
      </c>
      <c r="P32" s="355" t="e">
        <f t="shared" si="10"/>
        <v>#DIV/0!</v>
      </c>
      <c r="Q32" s="355" t="e">
        <f t="shared" si="10"/>
        <v>#DIV/0!</v>
      </c>
      <c r="R32" s="301" t="e">
        <f t="shared" si="3"/>
        <v>#DIV/0!</v>
      </c>
      <c r="S32" s="301" t="e">
        <f t="shared" si="4"/>
        <v>#DIV/0!</v>
      </c>
      <c r="T32" s="301" t="e">
        <f t="shared" si="5"/>
        <v>#DIV/0!</v>
      </c>
      <c r="U32" s="301" t="e">
        <f t="shared" si="6"/>
        <v>#DIV/0!</v>
      </c>
      <c r="V32" s="301" t="e">
        <f t="shared" si="7"/>
        <v>#DIV/0!</v>
      </c>
      <c r="W32" s="301" t="e">
        <f t="shared" si="8"/>
        <v>#DIV/0!</v>
      </c>
      <c r="X32" s="304" t="e">
        <f t="shared" si="9"/>
        <v>#DIV/0!</v>
      </c>
    </row>
    <row r="33" spans="1:24" ht="16.5">
      <c r="A33" s="88">
        <v>46052</v>
      </c>
      <c r="B33" s="290">
        <f t="shared" si="0"/>
        <v>0</v>
      </c>
      <c r="C33" s="379">
        <f t="shared" si="0"/>
        <v>0</v>
      </c>
      <c r="D33" s="475">
        <f t="shared" si="0"/>
        <v>0</v>
      </c>
      <c r="E33" s="372" t="e">
        <f t="shared" si="1"/>
        <v>#DIV/0!</v>
      </c>
      <c r="F33" s="354" t="e">
        <f t="shared" si="11"/>
        <v>#DIV/0!</v>
      </c>
      <c r="G33" s="355" t="e">
        <f t="shared" si="11"/>
        <v>#DIV/0!</v>
      </c>
      <c r="H33" s="355" t="e">
        <f t="shared" si="11"/>
        <v>#DIV/0!</v>
      </c>
      <c r="I33" s="355" t="e">
        <f t="shared" si="10"/>
        <v>#DIV/0!</v>
      </c>
      <c r="J33" s="355" t="e">
        <f t="shared" si="10"/>
        <v>#DIV/0!</v>
      </c>
      <c r="K33" s="355" t="e">
        <f t="shared" si="10"/>
        <v>#DIV/0!</v>
      </c>
      <c r="L33" s="355" t="e">
        <f t="shared" si="10"/>
        <v>#DIV/0!</v>
      </c>
      <c r="M33" s="355" t="e">
        <f t="shared" si="10"/>
        <v>#DIV/0!</v>
      </c>
      <c r="N33" s="355" t="e">
        <f t="shared" si="10"/>
        <v>#DIV/0!</v>
      </c>
      <c r="O33" s="355" t="e">
        <f t="shared" si="10"/>
        <v>#DIV/0!</v>
      </c>
      <c r="P33" s="355" t="e">
        <f t="shared" si="10"/>
        <v>#DIV/0!</v>
      </c>
      <c r="Q33" s="355" t="e">
        <f t="shared" si="10"/>
        <v>#DIV/0!</v>
      </c>
      <c r="R33" s="301" t="e">
        <f t="shared" si="3"/>
        <v>#DIV/0!</v>
      </c>
      <c r="S33" s="301" t="e">
        <f t="shared" si="4"/>
        <v>#DIV/0!</v>
      </c>
      <c r="T33" s="301" t="e">
        <f t="shared" si="5"/>
        <v>#DIV/0!</v>
      </c>
      <c r="U33" s="301" t="e">
        <f t="shared" si="6"/>
        <v>#DIV/0!</v>
      </c>
      <c r="V33" s="301" t="e">
        <f t="shared" si="7"/>
        <v>#DIV/0!</v>
      </c>
      <c r="W33" s="301" t="e">
        <f t="shared" si="8"/>
        <v>#DIV/0!</v>
      </c>
      <c r="X33" s="304" t="e">
        <f t="shared" ref="X33:X61" si="12">Q33/$AG33</f>
        <v>#DIV/0!</v>
      </c>
    </row>
    <row r="34" spans="1:24" ht="16.5">
      <c r="A34" s="88">
        <v>46053</v>
      </c>
      <c r="B34" s="290">
        <f t="shared" ref="B34:D65" si="13">AB34+BB34</f>
        <v>0</v>
      </c>
      <c r="C34" s="379">
        <f t="shared" si="13"/>
        <v>0</v>
      </c>
      <c r="D34" s="475">
        <f t="shared" si="13"/>
        <v>0</v>
      </c>
      <c r="E34" s="372" t="e">
        <f t="shared" si="1"/>
        <v>#DIV/0!</v>
      </c>
      <c r="F34" s="354" t="e">
        <f t="shared" si="11"/>
        <v>#DIV/0!</v>
      </c>
      <c r="G34" s="355" t="e">
        <f t="shared" si="11"/>
        <v>#DIV/0!</v>
      </c>
      <c r="H34" s="355" t="e">
        <f t="shared" si="11"/>
        <v>#DIV/0!</v>
      </c>
      <c r="I34" s="355" t="e">
        <f t="shared" si="10"/>
        <v>#DIV/0!</v>
      </c>
      <c r="J34" s="355" t="e">
        <f t="shared" si="10"/>
        <v>#DIV/0!</v>
      </c>
      <c r="K34" s="355" t="e">
        <f t="shared" si="10"/>
        <v>#DIV/0!</v>
      </c>
      <c r="L34" s="355" t="e">
        <f t="shared" si="10"/>
        <v>#DIV/0!</v>
      </c>
      <c r="M34" s="355" t="e">
        <f t="shared" si="10"/>
        <v>#DIV/0!</v>
      </c>
      <c r="N34" s="355" t="e">
        <f t="shared" si="10"/>
        <v>#DIV/0!</v>
      </c>
      <c r="O34" s="355" t="e">
        <f t="shared" si="10"/>
        <v>#DIV/0!</v>
      </c>
      <c r="P34" s="355" t="e">
        <f t="shared" si="10"/>
        <v>#DIV/0!</v>
      </c>
      <c r="Q34" s="355" t="e">
        <f t="shared" si="10"/>
        <v>#DIV/0!</v>
      </c>
      <c r="R34" s="301" t="e">
        <f t="shared" si="3"/>
        <v>#DIV/0!</v>
      </c>
      <c r="S34" s="301" t="e">
        <f t="shared" si="4"/>
        <v>#DIV/0!</v>
      </c>
      <c r="T34" s="301" t="e">
        <f t="shared" si="5"/>
        <v>#DIV/0!</v>
      </c>
      <c r="U34" s="301" t="e">
        <f t="shared" si="6"/>
        <v>#DIV/0!</v>
      </c>
      <c r="V34" s="301" t="e">
        <f t="shared" si="7"/>
        <v>#DIV/0!</v>
      </c>
      <c r="W34" s="301" t="e">
        <f t="shared" si="8"/>
        <v>#DIV/0!</v>
      </c>
      <c r="X34" s="304" t="e">
        <f t="shared" si="12"/>
        <v>#DIV/0!</v>
      </c>
    </row>
    <row r="35" spans="1:24" ht="16.5">
      <c r="A35" s="410">
        <v>46054</v>
      </c>
      <c r="B35" s="290">
        <f t="shared" si="13"/>
        <v>0</v>
      </c>
      <c r="C35" s="379">
        <f t="shared" si="13"/>
        <v>0</v>
      </c>
      <c r="D35" s="475">
        <f t="shared" si="13"/>
        <v>0</v>
      </c>
      <c r="E35" s="372" t="e">
        <f t="shared" si="1"/>
        <v>#DIV/0!</v>
      </c>
      <c r="F35" s="354" t="e">
        <f t="shared" si="11"/>
        <v>#DIV/0!</v>
      </c>
      <c r="G35" s="355" t="e">
        <f t="shared" si="11"/>
        <v>#DIV/0!</v>
      </c>
      <c r="H35" s="355" t="e">
        <f t="shared" si="11"/>
        <v>#DIV/0!</v>
      </c>
      <c r="I35" s="355" t="e">
        <f t="shared" si="10"/>
        <v>#DIV/0!</v>
      </c>
      <c r="J35" s="355" t="e">
        <f t="shared" si="10"/>
        <v>#DIV/0!</v>
      </c>
      <c r="K35" s="355" t="e">
        <f t="shared" si="10"/>
        <v>#DIV/0!</v>
      </c>
      <c r="L35" s="355" t="e">
        <f t="shared" si="10"/>
        <v>#DIV/0!</v>
      </c>
      <c r="M35" s="355" t="e">
        <f t="shared" si="10"/>
        <v>#DIV/0!</v>
      </c>
      <c r="N35" s="355" t="e">
        <f t="shared" si="10"/>
        <v>#DIV/0!</v>
      </c>
      <c r="O35" s="355" t="e">
        <f t="shared" si="10"/>
        <v>#DIV/0!</v>
      </c>
      <c r="P35" s="355" t="e">
        <f t="shared" si="10"/>
        <v>#DIV/0!</v>
      </c>
      <c r="Q35" s="355" t="e">
        <f t="shared" si="10"/>
        <v>#DIV/0!</v>
      </c>
      <c r="R35" s="301" t="e">
        <f t="shared" si="3"/>
        <v>#DIV/0!</v>
      </c>
      <c r="S35" s="301" t="e">
        <f t="shared" si="4"/>
        <v>#DIV/0!</v>
      </c>
      <c r="T35" s="301" t="e">
        <f t="shared" si="5"/>
        <v>#DIV/0!</v>
      </c>
      <c r="U35" s="301" t="e">
        <f t="shared" si="6"/>
        <v>#DIV/0!</v>
      </c>
      <c r="V35" s="301" t="e">
        <f t="shared" si="7"/>
        <v>#DIV/0!</v>
      </c>
      <c r="W35" s="301" t="e">
        <f t="shared" si="8"/>
        <v>#DIV/0!</v>
      </c>
      <c r="X35" s="304" t="e">
        <f t="shared" si="12"/>
        <v>#DIV/0!</v>
      </c>
    </row>
    <row r="36" spans="1:24" ht="16.5">
      <c r="A36" s="410">
        <v>46055</v>
      </c>
      <c r="B36" s="290">
        <f t="shared" si="13"/>
        <v>0</v>
      </c>
      <c r="C36" s="379">
        <f t="shared" si="13"/>
        <v>0</v>
      </c>
      <c r="D36" s="475">
        <f t="shared" si="13"/>
        <v>0</v>
      </c>
      <c r="E36" s="372" t="e">
        <f t="shared" si="1"/>
        <v>#DIV/0!</v>
      </c>
      <c r="F36" s="354" t="e">
        <f t="shared" si="11"/>
        <v>#DIV/0!</v>
      </c>
      <c r="G36" s="355" t="e">
        <f t="shared" si="11"/>
        <v>#DIV/0!</v>
      </c>
      <c r="H36" s="355" t="e">
        <f t="shared" si="11"/>
        <v>#DIV/0!</v>
      </c>
      <c r="I36" s="355" t="e">
        <f t="shared" si="10"/>
        <v>#DIV/0!</v>
      </c>
      <c r="J36" s="355" t="e">
        <f t="shared" si="10"/>
        <v>#DIV/0!</v>
      </c>
      <c r="K36" s="355" t="e">
        <f t="shared" si="10"/>
        <v>#DIV/0!</v>
      </c>
      <c r="L36" s="355" t="e">
        <f t="shared" si="10"/>
        <v>#DIV/0!</v>
      </c>
      <c r="M36" s="355" t="e">
        <f t="shared" si="10"/>
        <v>#DIV/0!</v>
      </c>
      <c r="N36" s="355" t="e">
        <f t="shared" si="10"/>
        <v>#DIV/0!</v>
      </c>
      <c r="O36" s="355" t="e">
        <f t="shared" si="10"/>
        <v>#DIV/0!</v>
      </c>
      <c r="P36" s="355" t="e">
        <f t="shared" si="10"/>
        <v>#DIV/0!</v>
      </c>
      <c r="Q36" s="355" t="e">
        <f t="shared" si="10"/>
        <v>#DIV/0!</v>
      </c>
      <c r="R36" s="301" t="e">
        <f t="shared" si="3"/>
        <v>#DIV/0!</v>
      </c>
      <c r="S36" s="301" t="e">
        <f t="shared" si="4"/>
        <v>#DIV/0!</v>
      </c>
      <c r="T36" s="301" t="e">
        <f t="shared" si="5"/>
        <v>#DIV/0!</v>
      </c>
      <c r="U36" s="301" t="e">
        <f t="shared" si="6"/>
        <v>#DIV/0!</v>
      </c>
      <c r="V36" s="301" t="e">
        <f t="shared" si="7"/>
        <v>#DIV/0!</v>
      </c>
      <c r="W36" s="301" t="e">
        <f t="shared" si="8"/>
        <v>#DIV/0!</v>
      </c>
      <c r="X36" s="304" t="e">
        <f t="shared" si="12"/>
        <v>#DIV/0!</v>
      </c>
    </row>
    <row r="37" spans="1:24" ht="16.5">
      <c r="A37" s="88">
        <v>46056</v>
      </c>
      <c r="B37" s="290">
        <f t="shared" si="13"/>
        <v>0</v>
      </c>
      <c r="C37" s="379">
        <f t="shared" si="13"/>
        <v>0</v>
      </c>
      <c r="D37" s="475">
        <f t="shared" si="13"/>
        <v>0</v>
      </c>
      <c r="E37" s="372" t="e">
        <f t="shared" si="1"/>
        <v>#DIV/0!</v>
      </c>
      <c r="F37" s="354" t="e">
        <f t="shared" si="11"/>
        <v>#DIV/0!</v>
      </c>
      <c r="G37" s="355" t="e">
        <f t="shared" si="11"/>
        <v>#DIV/0!</v>
      </c>
      <c r="H37" s="355" t="e">
        <f t="shared" si="11"/>
        <v>#DIV/0!</v>
      </c>
      <c r="I37" s="355" t="e">
        <f t="shared" si="10"/>
        <v>#DIV/0!</v>
      </c>
      <c r="J37" s="355" t="e">
        <f t="shared" si="10"/>
        <v>#DIV/0!</v>
      </c>
      <c r="K37" s="355" t="e">
        <f t="shared" si="10"/>
        <v>#DIV/0!</v>
      </c>
      <c r="L37" s="355" t="e">
        <f t="shared" si="10"/>
        <v>#DIV/0!</v>
      </c>
      <c r="M37" s="355" t="e">
        <f t="shared" si="10"/>
        <v>#DIV/0!</v>
      </c>
      <c r="N37" s="355" t="e">
        <f t="shared" si="10"/>
        <v>#DIV/0!</v>
      </c>
      <c r="O37" s="355" t="e">
        <f t="shared" si="10"/>
        <v>#DIV/0!</v>
      </c>
      <c r="P37" s="355" t="e">
        <f t="shared" si="10"/>
        <v>#DIV/0!</v>
      </c>
      <c r="Q37" s="355" t="e">
        <f t="shared" si="10"/>
        <v>#DIV/0!</v>
      </c>
      <c r="R37" s="301" t="e">
        <f t="shared" si="3"/>
        <v>#DIV/0!</v>
      </c>
      <c r="S37" s="301" t="e">
        <f t="shared" si="4"/>
        <v>#DIV/0!</v>
      </c>
      <c r="T37" s="301" t="e">
        <f t="shared" si="5"/>
        <v>#DIV/0!</v>
      </c>
      <c r="U37" s="301" t="e">
        <f t="shared" si="6"/>
        <v>#DIV/0!</v>
      </c>
      <c r="V37" s="301" t="e">
        <f t="shared" si="7"/>
        <v>#DIV/0!</v>
      </c>
      <c r="W37" s="301" t="e">
        <f t="shared" si="8"/>
        <v>#DIV/0!</v>
      </c>
      <c r="X37" s="304" t="e">
        <f t="shared" si="12"/>
        <v>#DIV/0!</v>
      </c>
    </row>
    <row r="38" spans="1:24" ht="16.5">
      <c r="A38" s="88">
        <v>46057</v>
      </c>
      <c r="B38" s="290">
        <f t="shared" si="13"/>
        <v>0</v>
      </c>
      <c r="C38" s="379">
        <f t="shared" si="13"/>
        <v>0</v>
      </c>
      <c r="D38" s="475">
        <f t="shared" si="13"/>
        <v>0</v>
      </c>
      <c r="E38" s="372" t="e">
        <f t="shared" si="1"/>
        <v>#DIV/0!</v>
      </c>
      <c r="F38" s="354" t="e">
        <f t="shared" si="11"/>
        <v>#DIV/0!</v>
      </c>
      <c r="G38" s="355" t="e">
        <f t="shared" si="11"/>
        <v>#DIV/0!</v>
      </c>
      <c r="H38" s="355" t="e">
        <f t="shared" si="11"/>
        <v>#DIV/0!</v>
      </c>
      <c r="I38" s="355" t="e">
        <f t="shared" si="10"/>
        <v>#DIV/0!</v>
      </c>
      <c r="J38" s="355" t="e">
        <f t="shared" si="10"/>
        <v>#DIV/0!</v>
      </c>
      <c r="K38" s="355" t="e">
        <f t="shared" si="10"/>
        <v>#DIV/0!</v>
      </c>
      <c r="L38" s="355" t="e">
        <f t="shared" si="10"/>
        <v>#DIV/0!</v>
      </c>
      <c r="M38" s="355" t="e">
        <f t="shared" si="10"/>
        <v>#DIV/0!</v>
      </c>
      <c r="N38" s="355" t="e">
        <f t="shared" si="10"/>
        <v>#DIV/0!</v>
      </c>
      <c r="O38" s="355" t="e">
        <f t="shared" si="10"/>
        <v>#DIV/0!</v>
      </c>
      <c r="P38" s="355" t="e">
        <f t="shared" si="10"/>
        <v>#DIV/0!</v>
      </c>
      <c r="Q38" s="355" t="e">
        <f t="shared" si="10"/>
        <v>#DIV/0!</v>
      </c>
      <c r="R38" s="301" t="e">
        <f t="shared" si="3"/>
        <v>#DIV/0!</v>
      </c>
      <c r="S38" s="301" t="e">
        <f t="shared" si="4"/>
        <v>#DIV/0!</v>
      </c>
      <c r="T38" s="301" t="e">
        <f t="shared" si="5"/>
        <v>#DIV/0!</v>
      </c>
      <c r="U38" s="301" t="e">
        <f t="shared" si="6"/>
        <v>#DIV/0!</v>
      </c>
      <c r="V38" s="301" t="e">
        <f t="shared" si="7"/>
        <v>#DIV/0!</v>
      </c>
      <c r="W38" s="301" t="e">
        <f t="shared" si="8"/>
        <v>#DIV/0!</v>
      </c>
      <c r="X38" s="304" t="e">
        <f t="shared" si="12"/>
        <v>#DIV/0!</v>
      </c>
    </row>
    <row r="39" spans="1:24" ht="16.5">
      <c r="A39" s="88">
        <v>46058</v>
      </c>
      <c r="B39" s="290">
        <f t="shared" si="13"/>
        <v>0</v>
      </c>
      <c r="C39" s="379">
        <f t="shared" si="13"/>
        <v>0</v>
      </c>
      <c r="D39" s="475">
        <f t="shared" si="13"/>
        <v>0</v>
      </c>
      <c r="E39" s="372" t="e">
        <f t="shared" si="1"/>
        <v>#DIV/0!</v>
      </c>
      <c r="F39" s="354" t="e">
        <f t="shared" si="11"/>
        <v>#DIV/0!</v>
      </c>
      <c r="G39" s="355" t="e">
        <f t="shared" si="11"/>
        <v>#DIV/0!</v>
      </c>
      <c r="H39" s="355" t="e">
        <f t="shared" si="11"/>
        <v>#DIV/0!</v>
      </c>
      <c r="I39" s="355" t="e">
        <f t="shared" si="10"/>
        <v>#DIV/0!</v>
      </c>
      <c r="J39" s="355" t="e">
        <f t="shared" si="10"/>
        <v>#DIV/0!</v>
      </c>
      <c r="K39" s="355" t="e">
        <f t="shared" si="10"/>
        <v>#DIV/0!</v>
      </c>
      <c r="L39" s="355" t="e">
        <f t="shared" si="10"/>
        <v>#DIV/0!</v>
      </c>
      <c r="M39" s="355" t="e">
        <f t="shared" si="10"/>
        <v>#DIV/0!</v>
      </c>
      <c r="N39" s="355" t="e">
        <f t="shared" si="10"/>
        <v>#DIV/0!</v>
      </c>
      <c r="O39" s="355" t="e">
        <f t="shared" si="10"/>
        <v>#DIV/0!</v>
      </c>
      <c r="P39" s="355" t="e">
        <f t="shared" si="10"/>
        <v>#DIV/0!</v>
      </c>
      <c r="Q39" s="355" t="e">
        <f t="shared" si="10"/>
        <v>#DIV/0!</v>
      </c>
      <c r="R39" s="301" t="e">
        <f t="shared" si="3"/>
        <v>#DIV/0!</v>
      </c>
      <c r="S39" s="301" t="e">
        <f t="shared" si="4"/>
        <v>#DIV/0!</v>
      </c>
      <c r="T39" s="301" t="e">
        <f t="shared" si="5"/>
        <v>#DIV/0!</v>
      </c>
      <c r="U39" s="301" t="e">
        <f t="shared" si="6"/>
        <v>#DIV/0!</v>
      </c>
      <c r="V39" s="301" t="e">
        <f t="shared" si="7"/>
        <v>#DIV/0!</v>
      </c>
      <c r="W39" s="301" t="e">
        <f t="shared" si="8"/>
        <v>#DIV/0!</v>
      </c>
      <c r="X39" s="304" t="e">
        <f t="shared" si="12"/>
        <v>#DIV/0!</v>
      </c>
    </row>
    <row r="40" spans="1:24" ht="16.5">
      <c r="A40" s="132">
        <v>46059</v>
      </c>
      <c r="B40" s="290">
        <f t="shared" si="13"/>
        <v>0</v>
      </c>
      <c r="C40" s="379">
        <f t="shared" si="13"/>
        <v>0</v>
      </c>
      <c r="D40" s="475">
        <f t="shared" si="13"/>
        <v>0</v>
      </c>
      <c r="E40" s="372" t="e">
        <f t="shared" si="1"/>
        <v>#DIV/0!</v>
      </c>
      <c r="F40" s="354" t="e">
        <f t="shared" si="11"/>
        <v>#DIV/0!</v>
      </c>
      <c r="G40" s="355" t="e">
        <f t="shared" si="11"/>
        <v>#DIV/0!</v>
      </c>
      <c r="H40" s="355" t="e">
        <f t="shared" si="11"/>
        <v>#DIV/0!</v>
      </c>
      <c r="I40" s="355" t="e">
        <f t="shared" si="10"/>
        <v>#DIV/0!</v>
      </c>
      <c r="J40" s="355" t="e">
        <f t="shared" si="10"/>
        <v>#DIV/0!</v>
      </c>
      <c r="K40" s="355" t="e">
        <f t="shared" si="10"/>
        <v>#DIV/0!</v>
      </c>
      <c r="L40" s="355" t="e">
        <f t="shared" si="10"/>
        <v>#DIV/0!</v>
      </c>
      <c r="M40" s="355" t="e">
        <f t="shared" si="10"/>
        <v>#DIV/0!</v>
      </c>
      <c r="N40" s="355" t="e">
        <f t="shared" si="10"/>
        <v>#DIV/0!</v>
      </c>
      <c r="O40" s="355" t="e">
        <f t="shared" si="10"/>
        <v>#DIV/0!</v>
      </c>
      <c r="P40" s="355" t="e">
        <f t="shared" si="10"/>
        <v>#DIV/0!</v>
      </c>
      <c r="Q40" s="355" t="e">
        <f t="shared" si="10"/>
        <v>#DIV/0!</v>
      </c>
      <c r="R40" s="301" t="e">
        <f t="shared" si="3"/>
        <v>#DIV/0!</v>
      </c>
      <c r="S40" s="301" t="e">
        <f t="shared" si="4"/>
        <v>#DIV/0!</v>
      </c>
      <c r="T40" s="301" t="e">
        <f t="shared" si="5"/>
        <v>#DIV/0!</v>
      </c>
      <c r="U40" s="301" t="e">
        <f t="shared" si="6"/>
        <v>#DIV/0!</v>
      </c>
      <c r="V40" s="301" t="e">
        <f t="shared" si="7"/>
        <v>#DIV/0!</v>
      </c>
      <c r="W40" s="301" t="e">
        <f t="shared" si="8"/>
        <v>#DIV/0!</v>
      </c>
      <c r="X40" s="304" t="e">
        <f t="shared" si="12"/>
        <v>#DIV/0!</v>
      </c>
    </row>
    <row r="41" spans="1:24" ht="16.5">
      <c r="A41" s="132">
        <v>46060</v>
      </c>
      <c r="B41" s="290">
        <f t="shared" si="13"/>
        <v>0</v>
      </c>
      <c r="C41" s="379">
        <f t="shared" si="13"/>
        <v>0</v>
      </c>
      <c r="D41" s="475">
        <f t="shared" si="13"/>
        <v>0</v>
      </c>
      <c r="E41" s="372" t="e">
        <f t="shared" si="1"/>
        <v>#DIV/0!</v>
      </c>
      <c r="F41" s="354" t="e">
        <f t="shared" si="11"/>
        <v>#DIV/0!</v>
      </c>
      <c r="G41" s="355" t="e">
        <f t="shared" si="11"/>
        <v>#DIV/0!</v>
      </c>
      <c r="H41" s="355" t="e">
        <f t="shared" si="11"/>
        <v>#DIV/0!</v>
      </c>
      <c r="I41" s="355" t="e">
        <f t="shared" si="10"/>
        <v>#DIV/0!</v>
      </c>
      <c r="J41" s="355" t="e">
        <f t="shared" si="10"/>
        <v>#DIV/0!</v>
      </c>
      <c r="K41" s="355" t="e">
        <f t="shared" si="10"/>
        <v>#DIV/0!</v>
      </c>
      <c r="L41" s="355" t="e">
        <f t="shared" si="10"/>
        <v>#DIV/0!</v>
      </c>
      <c r="M41" s="355" t="e">
        <f t="shared" si="10"/>
        <v>#DIV/0!</v>
      </c>
      <c r="N41" s="355" t="e">
        <f t="shared" si="10"/>
        <v>#DIV/0!</v>
      </c>
      <c r="O41" s="355" t="e">
        <f t="shared" si="10"/>
        <v>#DIV/0!</v>
      </c>
      <c r="P41" s="355" t="e">
        <f t="shared" si="10"/>
        <v>#DIV/0!</v>
      </c>
      <c r="Q41" s="355" t="e">
        <f t="shared" si="10"/>
        <v>#DIV/0!</v>
      </c>
      <c r="R41" s="301" t="e">
        <f t="shared" si="3"/>
        <v>#DIV/0!</v>
      </c>
      <c r="S41" s="301" t="e">
        <f t="shared" si="4"/>
        <v>#DIV/0!</v>
      </c>
      <c r="T41" s="301" t="e">
        <f t="shared" si="5"/>
        <v>#DIV/0!</v>
      </c>
      <c r="U41" s="301" t="e">
        <f t="shared" si="6"/>
        <v>#DIV/0!</v>
      </c>
      <c r="V41" s="301" t="e">
        <f t="shared" si="7"/>
        <v>#DIV/0!</v>
      </c>
      <c r="W41" s="301" t="e">
        <f t="shared" si="8"/>
        <v>#DIV/0!</v>
      </c>
      <c r="X41" s="304" t="e">
        <f t="shared" si="12"/>
        <v>#DIV/0!</v>
      </c>
    </row>
    <row r="42" spans="1:24" ht="16.5">
      <c r="A42" s="132">
        <v>46061</v>
      </c>
      <c r="B42" s="290">
        <f t="shared" si="13"/>
        <v>0</v>
      </c>
      <c r="C42" s="379">
        <f t="shared" si="13"/>
        <v>0</v>
      </c>
      <c r="D42" s="475">
        <f t="shared" si="13"/>
        <v>0</v>
      </c>
      <c r="E42" s="372" t="e">
        <f t="shared" si="1"/>
        <v>#DIV/0!</v>
      </c>
      <c r="F42" s="354" t="e">
        <f t="shared" si="11"/>
        <v>#DIV/0!</v>
      </c>
      <c r="G42" s="355" t="e">
        <f t="shared" si="11"/>
        <v>#DIV/0!</v>
      </c>
      <c r="H42" s="355" t="e">
        <f t="shared" si="11"/>
        <v>#DIV/0!</v>
      </c>
      <c r="I42" s="355" t="e">
        <f t="shared" si="10"/>
        <v>#DIV/0!</v>
      </c>
      <c r="J42" s="355" t="e">
        <f t="shared" si="10"/>
        <v>#DIV/0!</v>
      </c>
      <c r="K42" s="355" t="e">
        <f t="shared" si="10"/>
        <v>#DIV/0!</v>
      </c>
      <c r="L42" s="355" t="e">
        <f t="shared" si="10"/>
        <v>#DIV/0!</v>
      </c>
      <c r="M42" s="355" t="e">
        <f t="shared" si="10"/>
        <v>#DIV/0!</v>
      </c>
      <c r="N42" s="355" t="e">
        <f t="shared" si="10"/>
        <v>#DIV/0!</v>
      </c>
      <c r="O42" s="355" t="e">
        <f t="shared" si="10"/>
        <v>#DIV/0!</v>
      </c>
      <c r="P42" s="355" t="e">
        <f t="shared" si="10"/>
        <v>#DIV/0!</v>
      </c>
      <c r="Q42" s="355" t="e">
        <f t="shared" si="10"/>
        <v>#DIV/0!</v>
      </c>
      <c r="R42" s="301" t="e">
        <f t="shared" si="3"/>
        <v>#DIV/0!</v>
      </c>
      <c r="S42" s="301" t="e">
        <f t="shared" si="4"/>
        <v>#DIV/0!</v>
      </c>
      <c r="T42" s="301" t="e">
        <f t="shared" si="5"/>
        <v>#DIV/0!</v>
      </c>
      <c r="U42" s="301" t="e">
        <f t="shared" si="6"/>
        <v>#DIV/0!</v>
      </c>
      <c r="V42" s="301" t="e">
        <f t="shared" si="7"/>
        <v>#DIV/0!</v>
      </c>
      <c r="W42" s="301" t="e">
        <f t="shared" si="8"/>
        <v>#DIV/0!</v>
      </c>
      <c r="X42" s="304" t="e">
        <f t="shared" si="12"/>
        <v>#DIV/0!</v>
      </c>
    </row>
    <row r="43" spans="1:24" ht="16.5">
      <c r="A43" s="88">
        <v>46062</v>
      </c>
      <c r="B43" s="290">
        <f t="shared" si="13"/>
        <v>0</v>
      </c>
      <c r="C43" s="379">
        <f t="shared" si="13"/>
        <v>0</v>
      </c>
      <c r="D43" s="475">
        <f t="shared" si="13"/>
        <v>0</v>
      </c>
      <c r="E43" s="372" t="e">
        <f t="shared" si="1"/>
        <v>#DIV/0!</v>
      </c>
      <c r="F43" s="354" t="e">
        <f t="shared" si="11"/>
        <v>#DIV/0!</v>
      </c>
      <c r="G43" s="355" t="e">
        <f t="shared" si="11"/>
        <v>#DIV/0!</v>
      </c>
      <c r="H43" s="355" t="e">
        <f t="shared" si="11"/>
        <v>#DIV/0!</v>
      </c>
      <c r="I43" s="355" t="e">
        <f t="shared" si="10"/>
        <v>#DIV/0!</v>
      </c>
      <c r="J43" s="355" t="e">
        <f t="shared" si="10"/>
        <v>#DIV/0!</v>
      </c>
      <c r="K43" s="355" t="e">
        <f t="shared" si="10"/>
        <v>#DIV/0!</v>
      </c>
      <c r="L43" s="355" t="e">
        <f t="shared" si="10"/>
        <v>#DIV/0!</v>
      </c>
      <c r="M43" s="355" t="e">
        <f t="shared" si="10"/>
        <v>#DIV/0!</v>
      </c>
      <c r="N43" s="355" t="e">
        <f t="shared" si="10"/>
        <v>#DIV/0!</v>
      </c>
      <c r="O43" s="355" t="e">
        <f t="shared" si="10"/>
        <v>#DIV/0!</v>
      </c>
      <c r="P43" s="355" t="e">
        <f t="shared" si="10"/>
        <v>#DIV/0!</v>
      </c>
      <c r="Q43" s="355" t="e">
        <f t="shared" si="10"/>
        <v>#DIV/0!</v>
      </c>
      <c r="R43" s="301" t="e">
        <f t="shared" si="3"/>
        <v>#DIV/0!</v>
      </c>
      <c r="S43" s="301" t="e">
        <f t="shared" si="4"/>
        <v>#DIV/0!</v>
      </c>
      <c r="T43" s="301" t="e">
        <f t="shared" si="5"/>
        <v>#DIV/0!</v>
      </c>
      <c r="U43" s="301" t="e">
        <f t="shared" si="6"/>
        <v>#DIV/0!</v>
      </c>
      <c r="V43" s="301" t="e">
        <f t="shared" si="7"/>
        <v>#DIV/0!</v>
      </c>
      <c r="W43" s="301" t="e">
        <f t="shared" si="8"/>
        <v>#DIV/0!</v>
      </c>
      <c r="X43" s="304" t="e">
        <f t="shared" si="12"/>
        <v>#DIV/0!</v>
      </c>
    </row>
    <row r="44" spans="1:24" ht="16.5">
      <c r="A44" s="88">
        <v>46063</v>
      </c>
      <c r="B44" s="290">
        <f t="shared" si="13"/>
        <v>0</v>
      </c>
      <c r="C44" s="379">
        <f t="shared" si="13"/>
        <v>0</v>
      </c>
      <c r="D44" s="475">
        <f t="shared" si="13"/>
        <v>0</v>
      </c>
      <c r="E44" s="372" t="e">
        <f t="shared" si="1"/>
        <v>#DIV/0!</v>
      </c>
      <c r="F44" s="354" t="e">
        <f t="shared" si="11"/>
        <v>#DIV/0!</v>
      </c>
      <c r="G44" s="355" t="e">
        <f t="shared" si="11"/>
        <v>#DIV/0!</v>
      </c>
      <c r="H44" s="355" t="e">
        <f t="shared" si="11"/>
        <v>#DIV/0!</v>
      </c>
      <c r="I44" s="355" t="e">
        <f t="shared" si="10"/>
        <v>#DIV/0!</v>
      </c>
      <c r="J44" s="355" t="e">
        <f t="shared" si="10"/>
        <v>#DIV/0!</v>
      </c>
      <c r="K44" s="355" t="e">
        <f t="shared" si="10"/>
        <v>#DIV/0!</v>
      </c>
      <c r="L44" s="355" t="e">
        <f t="shared" si="10"/>
        <v>#DIV/0!</v>
      </c>
      <c r="M44" s="355" t="e">
        <f t="shared" si="10"/>
        <v>#DIV/0!</v>
      </c>
      <c r="N44" s="355" t="e">
        <f t="shared" si="10"/>
        <v>#DIV/0!</v>
      </c>
      <c r="O44" s="355" t="e">
        <f t="shared" si="10"/>
        <v>#DIV/0!</v>
      </c>
      <c r="P44" s="355" t="e">
        <f t="shared" si="10"/>
        <v>#DIV/0!</v>
      </c>
      <c r="Q44" s="355" t="e">
        <f t="shared" si="10"/>
        <v>#DIV/0!</v>
      </c>
      <c r="R44" s="301" t="e">
        <f t="shared" si="3"/>
        <v>#DIV/0!</v>
      </c>
      <c r="S44" s="301" t="e">
        <f t="shared" si="4"/>
        <v>#DIV/0!</v>
      </c>
      <c r="T44" s="301" t="e">
        <f t="shared" si="5"/>
        <v>#DIV/0!</v>
      </c>
      <c r="U44" s="301" t="e">
        <f t="shared" si="6"/>
        <v>#DIV/0!</v>
      </c>
      <c r="V44" s="301" t="e">
        <f t="shared" si="7"/>
        <v>#DIV/0!</v>
      </c>
      <c r="W44" s="301" t="e">
        <f t="shared" si="8"/>
        <v>#DIV/0!</v>
      </c>
      <c r="X44" s="304" t="e">
        <f t="shared" si="12"/>
        <v>#DIV/0!</v>
      </c>
    </row>
    <row r="45" spans="1:24" ht="16.5">
      <c r="A45" s="88">
        <v>46064</v>
      </c>
      <c r="B45" s="290">
        <f t="shared" si="13"/>
        <v>0</v>
      </c>
      <c r="C45" s="379">
        <f t="shared" si="13"/>
        <v>0</v>
      </c>
      <c r="D45" s="475">
        <f t="shared" si="13"/>
        <v>0</v>
      </c>
      <c r="E45" s="372" t="e">
        <f t="shared" si="1"/>
        <v>#DIV/0!</v>
      </c>
      <c r="F45" s="354" t="e">
        <f t="shared" si="11"/>
        <v>#DIV/0!</v>
      </c>
      <c r="G45" s="355" t="e">
        <f t="shared" si="11"/>
        <v>#DIV/0!</v>
      </c>
      <c r="H45" s="355" t="e">
        <f t="shared" si="11"/>
        <v>#DIV/0!</v>
      </c>
      <c r="I45" s="355" t="e">
        <f t="shared" si="10"/>
        <v>#DIV/0!</v>
      </c>
      <c r="J45" s="355" t="e">
        <f t="shared" si="10"/>
        <v>#DIV/0!</v>
      </c>
      <c r="K45" s="355" t="e">
        <f t="shared" si="10"/>
        <v>#DIV/0!</v>
      </c>
      <c r="L45" s="355" t="e">
        <f t="shared" si="10"/>
        <v>#DIV/0!</v>
      </c>
      <c r="M45" s="355" t="e">
        <f t="shared" si="10"/>
        <v>#DIV/0!</v>
      </c>
      <c r="N45" s="355" t="e">
        <f t="shared" si="10"/>
        <v>#DIV/0!</v>
      </c>
      <c r="O45" s="355" t="e">
        <f t="shared" si="10"/>
        <v>#DIV/0!</v>
      </c>
      <c r="P45" s="355" t="e">
        <f t="shared" si="10"/>
        <v>#DIV/0!</v>
      </c>
      <c r="Q45" s="355" t="e">
        <f t="shared" si="10"/>
        <v>#DIV/0!</v>
      </c>
      <c r="R45" s="301" t="e">
        <f t="shared" si="3"/>
        <v>#DIV/0!</v>
      </c>
      <c r="S45" s="301" t="e">
        <f t="shared" si="4"/>
        <v>#DIV/0!</v>
      </c>
      <c r="T45" s="301" t="e">
        <f t="shared" si="5"/>
        <v>#DIV/0!</v>
      </c>
      <c r="U45" s="301" t="e">
        <f t="shared" si="6"/>
        <v>#DIV/0!</v>
      </c>
      <c r="V45" s="301" t="e">
        <f t="shared" si="7"/>
        <v>#DIV/0!</v>
      </c>
      <c r="W45" s="301" t="e">
        <f t="shared" si="8"/>
        <v>#DIV/0!</v>
      </c>
      <c r="X45" s="304" t="e">
        <f t="shared" si="12"/>
        <v>#DIV/0!</v>
      </c>
    </row>
    <row r="46" spans="1:24" ht="16.5">
      <c r="A46" s="216">
        <v>46065</v>
      </c>
      <c r="B46" s="290">
        <f t="shared" si="13"/>
        <v>0</v>
      </c>
      <c r="C46" s="379">
        <f t="shared" si="13"/>
        <v>0</v>
      </c>
      <c r="D46" s="475">
        <f t="shared" si="13"/>
        <v>0</v>
      </c>
      <c r="E46" s="372" t="e">
        <f t="shared" si="1"/>
        <v>#DIV/0!</v>
      </c>
      <c r="F46" s="354" t="e">
        <f t="shared" si="11"/>
        <v>#DIV/0!</v>
      </c>
      <c r="G46" s="355" t="e">
        <f t="shared" si="11"/>
        <v>#DIV/0!</v>
      </c>
      <c r="H46" s="355" t="e">
        <f t="shared" si="11"/>
        <v>#DIV/0!</v>
      </c>
      <c r="I46" s="355" t="e">
        <f t="shared" si="10"/>
        <v>#DIV/0!</v>
      </c>
      <c r="J46" s="355" t="e">
        <f t="shared" si="10"/>
        <v>#DIV/0!</v>
      </c>
      <c r="K46" s="355" t="e">
        <f t="shared" si="10"/>
        <v>#DIV/0!</v>
      </c>
      <c r="L46" s="355" t="e">
        <f t="shared" si="10"/>
        <v>#DIV/0!</v>
      </c>
      <c r="M46" s="355" t="e">
        <f t="shared" si="10"/>
        <v>#DIV/0!</v>
      </c>
      <c r="N46" s="355" t="e">
        <f t="shared" si="10"/>
        <v>#DIV/0!</v>
      </c>
      <c r="O46" s="355" t="e">
        <f t="shared" si="10"/>
        <v>#DIV/0!</v>
      </c>
      <c r="P46" s="355" t="e">
        <f t="shared" si="10"/>
        <v>#DIV/0!</v>
      </c>
      <c r="Q46" s="355" t="e">
        <f t="shared" si="10"/>
        <v>#DIV/0!</v>
      </c>
      <c r="R46" s="301" t="e">
        <f t="shared" si="3"/>
        <v>#DIV/0!</v>
      </c>
      <c r="S46" s="301" t="e">
        <f t="shared" si="4"/>
        <v>#DIV/0!</v>
      </c>
      <c r="T46" s="301" t="e">
        <f t="shared" si="5"/>
        <v>#DIV/0!</v>
      </c>
      <c r="U46" s="301" t="e">
        <f t="shared" si="6"/>
        <v>#DIV/0!</v>
      </c>
      <c r="V46" s="301" t="e">
        <f t="shared" si="7"/>
        <v>#DIV/0!</v>
      </c>
      <c r="W46" s="301" t="e">
        <f t="shared" si="8"/>
        <v>#DIV/0!</v>
      </c>
      <c r="X46" s="304" t="e">
        <f t="shared" si="12"/>
        <v>#DIV/0!</v>
      </c>
    </row>
    <row r="47" spans="1:24" ht="16.5">
      <c r="A47" s="216">
        <v>46066</v>
      </c>
      <c r="B47" s="290">
        <f t="shared" si="13"/>
        <v>0</v>
      </c>
      <c r="C47" s="379">
        <f t="shared" si="13"/>
        <v>0</v>
      </c>
      <c r="D47" s="475">
        <f t="shared" si="13"/>
        <v>0</v>
      </c>
      <c r="E47" s="372" t="e">
        <f t="shared" si="1"/>
        <v>#DIV/0!</v>
      </c>
      <c r="F47" s="354" t="e">
        <f t="shared" si="11"/>
        <v>#DIV/0!</v>
      </c>
      <c r="G47" s="355" t="e">
        <f t="shared" si="11"/>
        <v>#DIV/0!</v>
      </c>
      <c r="H47" s="355" t="e">
        <f t="shared" si="11"/>
        <v>#DIV/0!</v>
      </c>
      <c r="I47" s="355" t="e">
        <f t="shared" si="10"/>
        <v>#DIV/0!</v>
      </c>
      <c r="J47" s="355" t="e">
        <f t="shared" si="10"/>
        <v>#DIV/0!</v>
      </c>
      <c r="K47" s="355" t="e">
        <f t="shared" si="10"/>
        <v>#DIV/0!</v>
      </c>
      <c r="L47" s="355" t="e">
        <f t="shared" si="10"/>
        <v>#DIV/0!</v>
      </c>
      <c r="M47" s="355" t="e">
        <f t="shared" si="10"/>
        <v>#DIV/0!</v>
      </c>
      <c r="N47" s="355" t="e">
        <f t="shared" si="10"/>
        <v>#DIV/0!</v>
      </c>
      <c r="O47" s="355" t="e">
        <f t="shared" si="10"/>
        <v>#DIV/0!</v>
      </c>
      <c r="P47" s="355" t="e">
        <f t="shared" si="10"/>
        <v>#DIV/0!</v>
      </c>
      <c r="Q47" s="355" t="e">
        <f t="shared" si="10"/>
        <v>#DIV/0!</v>
      </c>
      <c r="R47" s="301" t="e">
        <f t="shared" si="3"/>
        <v>#DIV/0!</v>
      </c>
      <c r="S47" s="301" t="e">
        <f t="shared" si="4"/>
        <v>#DIV/0!</v>
      </c>
      <c r="T47" s="301" t="e">
        <f t="shared" si="5"/>
        <v>#DIV/0!</v>
      </c>
      <c r="U47" s="301" t="e">
        <f t="shared" si="6"/>
        <v>#DIV/0!</v>
      </c>
      <c r="V47" s="301" t="e">
        <f t="shared" si="7"/>
        <v>#DIV/0!</v>
      </c>
      <c r="W47" s="301" t="e">
        <f t="shared" si="8"/>
        <v>#DIV/0!</v>
      </c>
      <c r="X47" s="304" t="e">
        <f t="shared" si="12"/>
        <v>#DIV/0!</v>
      </c>
    </row>
    <row r="48" spans="1:24" ht="16.5">
      <c r="A48" s="132">
        <v>46067</v>
      </c>
      <c r="B48" s="290">
        <f t="shared" si="13"/>
        <v>0</v>
      </c>
      <c r="C48" s="379">
        <f t="shared" si="13"/>
        <v>0</v>
      </c>
      <c r="D48" s="475">
        <f t="shared" si="13"/>
        <v>0</v>
      </c>
      <c r="E48" s="372" t="e">
        <f t="shared" si="1"/>
        <v>#DIV/0!</v>
      </c>
      <c r="F48" s="354" t="e">
        <f t="shared" si="11"/>
        <v>#DIV/0!</v>
      </c>
      <c r="G48" s="355" t="e">
        <f t="shared" si="11"/>
        <v>#DIV/0!</v>
      </c>
      <c r="H48" s="355" t="e">
        <f t="shared" si="11"/>
        <v>#DIV/0!</v>
      </c>
      <c r="I48" s="355" t="e">
        <f t="shared" si="10"/>
        <v>#DIV/0!</v>
      </c>
      <c r="J48" s="355" t="e">
        <f t="shared" si="10"/>
        <v>#DIV/0!</v>
      </c>
      <c r="K48" s="355" t="e">
        <f t="shared" si="10"/>
        <v>#DIV/0!</v>
      </c>
      <c r="L48" s="355" t="e">
        <f t="shared" si="10"/>
        <v>#DIV/0!</v>
      </c>
      <c r="M48" s="355" t="e">
        <f t="shared" si="10"/>
        <v>#DIV/0!</v>
      </c>
      <c r="N48" s="355" t="e">
        <f t="shared" si="10"/>
        <v>#DIV/0!</v>
      </c>
      <c r="O48" s="355" t="e">
        <f t="shared" si="10"/>
        <v>#DIV/0!</v>
      </c>
      <c r="P48" s="355" t="e">
        <f t="shared" si="10"/>
        <v>#DIV/0!</v>
      </c>
      <c r="Q48" s="355" t="e">
        <f t="shared" si="10"/>
        <v>#DIV/0!</v>
      </c>
      <c r="R48" s="301" t="e">
        <f t="shared" si="3"/>
        <v>#DIV/0!</v>
      </c>
      <c r="S48" s="301" t="e">
        <f t="shared" si="4"/>
        <v>#DIV/0!</v>
      </c>
      <c r="T48" s="301" t="e">
        <f t="shared" si="5"/>
        <v>#DIV/0!</v>
      </c>
      <c r="U48" s="301" t="e">
        <f t="shared" si="6"/>
        <v>#DIV/0!</v>
      </c>
      <c r="V48" s="301" t="e">
        <f t="shared" si="7"/>
        <v>#DIV/0!</v>
      </c>
      <c r="W48" s="301" t="e">
        <f t="shared" si="8"/>
        <v>#DIV/0!</v>
      </c>
      <c r="X48" s="304" t="e">
        <f t="shared" si="12"/>
        <v>#DIV/0!</v>
      </c>
    </row>
    <row r="49" spans="1:24" ht="16.5">
      <c r="A49" s="132">
        <v>46068</v>
      </c>
      <c r="B49" s="290">
        <f t="shared" si="13"/>
        <v>0</v>
      </c>
      <c r="C49" s="379">
        <f t="shared" si="13"/>
        <v>0</v>
      </c>
      <c r="D49" s="475">
        <f t="shared" si="13"/>
        <v>0</v>
      </c>
      <c r="E49" s="372" t="e">
        <f t="shared" si="1"/>
        <v>#DIV/0!</v>
      </c>
      <c r="F49" s="354" t="e">
        <f t="shared" si="11"/>
        <v>#DIV/0!</v>
      </c>
      <c r="G49" s="355" t="e">
        <f t="shared" si="11"/>
        <v>#DIV/0!</v>
      </c>
      <c r="H49" s="355" t="e">
        <f t="shared" si="11"/>
        <v>#DIV/0!</v>
      </c>
      <c r="I49" s="355" t="e">
        <f t="shared" si="10"/>
        <v>#DIV/0!</v>
      </c>
      <c r="J49" s="355" t="e">
        <f t="shared" si="10"/>
        <v>#DIV/0!</v>
      </c>
      <c r="K49" s="355" t="e">
        <f t="shared" si="10"/>
        <v>#DIV/0!</v>
      </c>
      <c r="L49" s="355" t="e">
        <f t="shared" si="10"/>
        <v>#DIV/0!</v>
      </c>
      <c r="M49" s="355" t="e">
        <f t="shared" si="10"/>
        <v>#DIV/0!</v>
      </c>
      <c r="N49" s="355" t="e">
        <f t="shared" si="10"/>
        <v>#DIV/0!</v>
      </c>
      <c r="O49" s="355" t="e">
        <f t="shared" si="10"/>
        <v>#DIV/0!</v>
      </c>
      <c r="P49" s="355" t="e">
        <f t="shared" si="10"/>
        <v>#DIV/0!</v>
      </c>
      <c r="Q49" s="355" t="e">
        <f t="shared" si="10"/>
        <v>#DIV/0!</v>
      </c>
      <c r="R49" s="301" t="e">
        <f t="shared" si="3"/>
        <v>#DIV/0!</v>
      </c>
      <c r="S49" s="301" t="e">
        <f t="shared" si="4"/>
        <v>#DIV/0!</v>
      </c>
      <c r="T49" s="301" t="e">
        <f t="shared" si="5"/>
        <v>#DIV/0!</v>
      </c>
      <c r="U49" s="301" t="e">
        <f t="shared" si="6"/>
        <v>#DIV/0!</v>
      </c>
      <c r="V49" s="301" t="e">
        <f t="shared" si="7"/>
        <v>#DIV/0!</v>
      </c>
      <c r="W49" s="301" t="e">
        <f t="shared" si="8"/>
        <v>#DIV/0!</v>
      </c>
      <c r="X49" s="304" t="e">
        <f t="shared" si="12"/>
        <v>#DIV/0!</v>
      </c>
    </row>
    <row r="50" spans="1:24" ht="16.5">
      <c r="A50" s="132">
        <v>46069</v>
      </c>
      <c r="B50" s="290">
        <f t="shared" si="13"/>
        <v>0</v>
      </c>
      <c r="C50" s="379">
        <f t="shared" si="13"/>
        <v>0</v>
      </c>
      <c r="D50" s="475">
        <f t="shared" si="13"/>
        <v>0</v>
      </c>
      <c r="E50" s="372" t="e">
        <f t="shared" si="1"/>
        <v>#DIV/0!</v>
      </c>
      <c r="F50" s="354" t="e">
        <f t="shared" si="11"/>
        <v>#DIV/0!</v>
      </c>
      <c r="G50" s="355" t="e">
        <f t="shared" si="11"/>
        <v>#DIV/0!</v>
      </c>
      <c r="H50" s="355" t="e">
        <f t="shared" si="11"/>
        <v>#DIV/0!</v>
      </c>
      <c r="I50" s="355" t="e">
        <f t="shared" si="10"/>
        <v>#DIV/0!</v>
      </c>
      <c r="J50" s="355" t="e">
        <f t="shared" si="10"/>
        <v>#DIV/0!</v>
      </c>
      <c r="K50" s="355" t="e">
        <f t="shared" si="10"/>
        <v>#DIV/0!</v>
      </c>
      <c r="L50" s="355" t="e">
        <f t="shared" si="10"/>
        <v>#DIV/0!</v>
      </c>
      <c r="M50" s="355" t="e">
        <f t="shared" si="10"/>
        <v>#DIV/0!</v>
      </c>
      <c r="N50" s="355" t="e">
        <f t="shared" si="10"/>
        <v>#DIV/0!</v>
      </c>
      <c r="O50" s="355" t="e">
        <f t="shared" si="10"/>
        <v>#DIV/0!</v>
      </c>
      <c r="P50" s="355" t="e">
        <f t="shared" si="10"/>
        <v>#DIV/0!</v>
      </c>
      <c r="Q50" s="355" t="e">
        <f t="shared" si="10"/>
        <v>#DIV/0!</v>
      </c>
      <c r="R50" s="301" t="e">
        <f t="shared" si="3"/>
        <v>#DIV/0!</v>
      </c>
      <c r="S50" s="301" t="e">
        <f t="shared" si="4"/>
        <v>#DIV/0!</v>
      </c>
      <c r="T50" s="301" t="e">
        <f t="shared" si="5"/>
        <v>#DIV/0!</v>
      </c>
      <c r="U50" s="301" t="e">
        <f t="shared" si="6"/>
        <v>#DIV/0!</v>
      </c>
      <c r="V50" s="301" t="e">
        <f t="shared" si="7"/>
        <v>#DIV/0!</v>
      </c>
      <c r="W50" s="301" t="e">
        <f t="shared" si="8"/>
        <v>#DIV/0!</v>
      </c>
      <c r="X50" s="304" t="e">
        <f t="shared" si="12"/>
        <v>#DIV/0!</v>
      </c>
    </row>
    <row r="51" spans="1:24" ht="16.5">
      <c r="A51" s="216">
        <v>46070</v>
      </c>
      <c r="B51" s="290">
        <f t="shared" si="13"/>
        <v>0</v>
      </c>
      <c r="C51" s="379">
        <f t="shared" si="13"/>
        <v>0</v>
      </c>
      <c r="D51" s="475">
        <f t="shared" si="13"/>
        <v>0</v>
      </c>
      <c r="E51" s="372" t="e">
        <f t="shared" si="1"/>
        <v>#DIV/0!</v>
      </c>
      <c r="F51" s="354" t="e">
        <f t="shared" si="11"/>
        <v>#DIV/0!</v>
      </c>
      <c r="G51" s="355" t="e">
        <f t="shared" si="11"/>
        <v>#DIV/0!</v>
      </c>
      <c r="H51" s="355" t="e">
        <f t="shared" si="11"/>
        <v>#DIV/0!</v>
      </c>
      <c r="I51" s="355" t="e">
        <f t="shared" si="10"/>
        <v>#DIV/0!</v>
      </c>
      <c r="J51" s="355" t="e">
        <f t="shared" si="10"/>
        <v>#DIV/0!</v>
      </c>
      <c r="K51" s="355" t="e">
        <f t="shared" si="10"/>
        <v>#DIV/0!</v>
      </c>
      <c r="L51" s="355" t="e">
        <f t="shared" ref="L51:Q78" si="14">(AL51*$AC51+BL51*$BC51)/$C51</f>
        <v>#DIV/0!</v>
      </c>
      <c r="M51" s="355" t="e">
        <f t="shared" si="14"/>
        <v>#DIV/0!</v>
      </c>
      <c r="N51" s="355" t="e">
        <f t="shared" si="14"/>
        <v>#DIV/0!</v>
      </c>
      <c r="O51" s="355" t="e">
        <f t="shared" si="14"/>
        <v>#DIV/0!</v>
      </c>
      <c r="P51" s="355" t="e">
        <f t="shared" si="14"/>
        <v>#DIV/0!</v>
      </c>
      <c r="Q51" s="355" t="e">
        <f t="shared" si="14"/>
        <v>#DIV/0!</v>
      </c>
      <c r="R51" s="301" t="e">
        <f t="shared" si="3"/>
        <v>#DIV/0!</v>
      </c>
      <c r="S51" s="301" t="e">
        <f t="shared" si="4"/>
        <v>#DIV/0!</v>
      </c>
      <c r="T51" s="301" t="e">
        <f t="shared" si="5"/>
        <v>#DIV/0!</v>
      </c>
      <c r="U51" s="301" t="e">
        <f t="shared" si="6"/>
        <v>#DIV/0!</v>
      </c>
      <c r="V51" s="301" t="e">
        <f t="shared" si="7"/>
        <v>#DIV/0!</v>
      </c>
      <c r="W51" s="301" t="e">
        <f t="shared" si="8"/>
        <v>#DIV/0!</v>
      </c>
      <c r="X51" s="304" t="e">
        <f t="shared" si="12"/>
        <v>#DIV/0!</v>
      </c>
    </row>
    <row r="52" spans="1:24" ht="16.5">
      <c r="A52" s="132">
        <v>46071</v>
      </c>
      <c r="B52" s="290">
        <f t="shared" si="13"/>
        <v>0</v>
      </c>
      <c r="C52" s="379">
        <f t="shared" si="13"/>
        <v>0</v>
      </c>
      <c r="D52" s="475">
        <f t="shared" si="13"/>
        <v>0</v>
      </c>
      <c r="E52" s="372" t="e">
        <f t="shared" si="1"/>
        <v>#DIV/0!</v>
      </c>
      <c r="F52" s="354" t="e">
        <f t="shared" si="11"/>
        <v>#DIV/0!</v>
      </c>
      <c r="G52" s="355" t="e">
        <f t="shared" si="11"/>
        <v>#DIV/0!</v>
      </c>
      <c r="H52" s="355" t="e">
        <f t="shared" si="11"/>
        <v>#DIV/0!</v>
      </c>
      <c r="I52" s="355" t="e">
        <f t="shared" si="11"/>
        <v>#DIV/0!</v>
      </c>
      <c r="J52" s="355" t="e">
        <f t="shared" si="11"/>
        <v>#DIV/0!</v>
      </c>
      <c r="K52" s="355" t="e">
        <f t="shared" si="11"/>
        <v>#DIV/0!</v>
      </c>
      <c r="L52" s="355" t="e">
        <f t="shared" si="14"/>
        <v>#DIV/0!</v>
      </c>
      <c r="M52" s="355" t="e">
        <f t="shared" si="14"/>
        <v>#DIV/0!</v>
      </c>
      <c r="N52" s="355" t="e">
        <f t="shared" si="14"/>
        <v>#DIV/0!</v>
      </c>
      <c r="O52" s="355" t="e">
        <f t="shared" si="14"/>
        <v>#DIV/0!</v>
      </c>
      <c r="P52" s="355" t="e">
        <f t="shared" si="14"/>
        <v>#DIV/0!</v>
      </c>
      <c r="Q52" s="355" t="e">
        <f t="shared" si="14"/>
        <v>#DIV/0!</v>
      </c>
      <c r="R52" s="301" t="e">
        <f t="shared" si="3"/>
        <v>#DIV/0!</v>
      </c>
      <c r="S52" s="301" t="e">
        <f t="shared" si="4"/>
        <v>#DIV/0!</v>
      </c>
      <c r="T52" s="301" t="e">
        <f t="shared" si="5"/>
        <v>#DIV/0!</v>
      </c>
      <c r="U52" s="301" t="e">
        <f t="shared" si="6"/>
        <v>#DIV/0!</v>
      </c>
      <c r="V52" s="301" t="e">
        <f t="shared" si="7"/>
        <v>#DIV/0!</v>
      </c>
      <c r="W52" s="301" t="e">
        <f t="shared" si="8"/>
        <v>#DIV/0!</v>
      </c>
      <c r="X52" s="304" t="e">
        <f t="shared" si="12"/>
        <v>#DIV/0!</v>
      </c>
    </row>
    <row r="53" spans="1:24" ht="16.5">
      <c r="A53" s="132">
        <v>46072</v>
      </c>
      <c r="B53" s="290">
        <f t="shared" si="13"/>
        <v>0</v>
      </c>
      <c r="C53" s="379">
        <f t="shared" si="13"/>
        <v>0</v>
      </c>
      <c r="D53" s="475">
        <f t="shared" si="13"/>
        <v>0</v>
      </c>
      <c r="E53" s="372" t="e">
        <f t="shared" si="1"/>
        <v>#DIV/0!</v>
      </c>
      <c r="F53" s="354" t="e">
        <f t="shared" si="11"/>
        <v>#DIV/0!</v>
      </c>
      <c r="G53" s="355" t="e">
        <f t="shared" si="11"/>
        <v>#DIV/0!</v>
      </c>
      <c r="H53" s="355" t="e">
        <f t="shared" si="11"/>
        <v>#DIV/0!</v>
      </c>
      <c r="I53" s="355" t="e">
        <f t="shared" si="11"/>
        <v>#DIV/0!</v>
      </c>
      <c r="J53" s="355" t="e">
        <f t="shared" si="11"/>
        <v>#DIV/0!</v>
      </c>
      <c r="K53" s="355" t="e">
        <f t="shared" si="11"/>
        <v>#DIV/0!</v>
      </c>
      <c r="L53" s="355" t="e">
        <f t="shared" si="14"/>
        <v>#DIV/0!</v>
      </c>
      <c r="M53" s="355" t="e">
        <f t="shared" si="14"/>
        <v>#DIV/0!</v>
      </c>
      <c r="N53" s="355" t="e">
        <f t="shared" si="14"/>
        <v>#DIV/0!</v>
      </c>
      <c r="O53" s="355" t="e">
        <f t="shared" si="14"/>
        <v>#DIV/0!</v>
      </c>
      <c r="P53" s="355" t="e">
        <f t="shared" si="14"/>
        <v>#DIV/0!</v>
      </c>
      <c r="Q53" s="355" t="e">
        <f t="shared" si="14"/>
        <v>#DIV/0!</v>
      </c>
      <c r="R53" s="301" t="e">
        <f t="shared" si="3"/>
        <v>#DIV/0!</v>
      </c>
      <c r="S53" s="301" t="e">
        <f t="shared" si="4"/>
        <v>#DIV/0!</v>
      </c>
      <c r="T53" s="301" t="e">
        <f t="shared" si="5"/>
        <v>#DIV/0!</v>
      </c>
      <c r="U53" s="301" t="e">
        <f t="shared" si="6"/>
        <v>#DIV/0!</v>
      </c>
      <c r="V53" s="301" t="e">
        <f t="shared" si="7"/>
        <v>#DIV/0!</v>
      </c>
      <c r="W53" s="301" t="e">
        <f t="shared" si="8"/>
        <v>#DIV/0!</v>
      </c>
      <c r="X53" s="304" t="e">
        <f t="shared" si="12"/>
        <v>#DIV/0!</v>
      </c>
    </row>
    <row r="54" spans="1:24" ht="16.5">
      <c r="A54" s="132">
        <v>46073</v>
      </c>
      <c r="B54" s="290">
        <f t="shared" si="13"/>
        <v>0</v>
      </c>
      <c r="C54" s="379">
        <f t="shared" si="13"/>
        <v>0</v>
      </c>
      <c r="D54" s="475">
        <f t="shared" si="13"/>
        <v>0</v>
      </c>
      <c r="E54" s="372" t="e">
        <f t="shared" si="1"/>
        <v>#DIV/0!</v>
      </c>
      <c r="F54" s="354" t="e">
        <f t="shared" si="11"/>
        <v>#DIV/0!</v>
      </c>
      <c r="G54" s="355" t="e">
        <f t="shared" si="11"/>
        <v>#DIV/0!</v>
      </c>
      <c r="H54" s="355" t="e">
        <f t="shared" si="11"/>
        <v>#DIV/0!</v>
      </c>
      <c r="I54" s="355" t="e">
        <f t="shared" si="11"/>
        <v>#DIV/0!</v>
      </c>
      <c r="J54" s="355" t="e">
        <f t="shared" si="11"/>
        <v>#DIV/0!</v>
      </c>
      <c r="K54" s="355" t="e">
        <f t="shared" si="11"/>
        <v>#DIV/0!</v>
      </c>
      <c r="L54" s="355" t="e">
        <f t="shared" si="14"/>
        <v>#DIV/0!</v>
      </c>
      <c r="M54" s="355" t="e">
        <f t="shared" si="14"/>
        <v>#DIV/0!</v>
      </c>
      <c r="N54" s="355" t="e">
        <f t="shared" si="14"/>
        <v>#DIV/0!</v>
      </c>
      <c r="O54" s="355" t="e">
        <f t="shared" si="14"/>
        <v>#DIV/0!</v>
      </c>
      <c r="P54" s="355" t="e">
        <f t="shared" si="14"/>
        <v>#DIV/0!</v>
      </c>
      <c r="Q54" s="355" t="e">
        <f t="shared" si="14"/>
        <v>#DIV/0!</v>
      </c>
      <c r="R54" s="301" t="e">
        <f t="shared" si="3"/>
        <v>#DIV/0!</v>
      </c>
      <c r="S54" s="301" t="e">
        <f t="shared" si="4"/>
        <v>#DIV/0!</v>
      </c>
      <c r="T54" s="301" t="e">
        <f t="shared" si="5"/>
        <v>#DIV/0!</v>
      </c>
      <c r="U54" s="301" t="e">
        <f t="shared" si="6"/>
        <v>#DIV/0!</v>
      </c>
      <c r="V54" s="301" t="e">
        <f t="shared" si="7"/>
        <v>#DIV/0!</v>
      </c>
      <c r="W54" s="301" t="e">
        <f t="shared" si="8"/>
        <v>#DIV/0!</v>
      </c>
      <c r="X54" s="304" t="e">
        <f t="shared" si="12"/>
        <v>#DIV/0!</v>
      </c>
    </row>
    <row r="55" spans="1:24" ht="16.5">
      <c r="A55" s="132">
        <v>46074</v>
      </c>
      <c r="B55" s="290">
        <f t="shared" si="13"/>
        <v>0</v>
      </c>
      <c r="C55" s="379">
        <f t="shared" si="13"/>
        <v>0</v>
      </c>
      <c r="D55" s="475">
        <f t="shared" si="13"/>
        <v>0</v>
      </c>
      <c r="E55" s="372" t="e">
        <f t="shared" si="1"/>
        <v>#DIV/0!</v>
      </c>
      <c r="F55" s="354" t="e">
        <f t="shared" si="11"/>
        <v>#DIV/0!</v>
      </c>
      <c r="G55" s="355" t="e">
        <f t="shared" si="11"/>
        <v>#DIV/0!</v>
      </c>
      <c r="H55" s="355" t="e">
        <f t="shared" si="11"/>
        <v>#DIV/0!</v>
      </c>
      <c r="I55" s="355" t="e">
        <f t="shared" si="11"/>
        <v>#DIV/0!</v>
      </c>
      <c r="J55" s="355" t="e">
        <f t="shared" si="11"/>
        <v>#DIV/0!</v>
      </c>
      <c r="K55" s="355" t="e">
        <f t="shared" si="11"/>
        <v>#DIV/0!</v>
      </c>
      <c r="L55" s="355" t="e">
        <f t="shared" si="14"/>
        <v>#DIV/0!</v>
      </c>
      <c r="M55" s="355" t="e">
        <f t="shared" si="14"/>
        <v>#DIV/0!</v>
      </c>
      <c r="N55" s="355" t="e">
        <f t="shared" si="14"/>
        <v>#DIV/0!</v>
      </c>
      <c r="O55" s="355" t="e">
        <f t="shared" si="14"/>
        <v>#DIV/0!</v>
      </c>
      <c r="P55" s="355" t="e">
        <f t="shared" si="14"/>
        <v>#DIV/0!</v>
      </c>
      <c r="Q55" s="355" t="e">
        <f t="shared" si="14"/>
        <v>#DIV/0!</v>
      </c>
      <c r="R55" s="301" t="e">
        <f t="shared" si="3"/>
        <v>#DIV/0!</v>
      </c>
      <c r="S55" s="301" t="e">
        <f t="shared" si="4"/>
        <v>#DIV/0!</v>
      </c>
      <c r="T55" s="301" t="e">
        <f t="shared" si="5"/>
        <v>#DIV/0!</v>
      </c>
      <c r="U55" s="301" t="e">
        <f t="shared" si="6"/>
        <v>#DIV/0!</v>
      </c>
      <c r="V55" s="301" t="e">
        <f t="shared" si="7"/>
        <v>#DIV/0!</v>
      </c>
      <c r="W55" s="301" t="e">
        <f t="shared" si="8"/>
        <v>#DIV/0!</v>
      </c>
      <c r="X55" s="304" t="e">
        <f t="shared" si="12"/>
        <v>#DIV/0!</v>
      </c>
    </row>
    <row r="56" spans="1:24" ht="16.5">
      <c r="A56" s="132">
        <v>46075</v>
      </c>
      <c r="B56" s="290">
        <f t="shared" si="13"/>
        <v>0</v>
      </c>
      <c r="C56" s="379">
        <f t="shared" si="13"/>
        <v>0</v>
      </c>
      <c r="D56" s="475">
        <f t="shared" si="13"/>
        <v>0</v>
      </c>
      <c r="E56" s="372" t="e">
        <f t="shared" si="1"/>
        <v>#DIV/0!</v>
      </c>
      <c r="F56" s="354" t="e">
        <f t="shared" ref="F56:O83" si="15">(AF56*$AC56+BF56*$BC56)/$C56</f>
        <v>#DIV/0!</v>
      </c>
      <c r="G56" s="355" t="e">
        <f t="shared" si="15"/>
        <v>#DIV/0!</v>
      </c>
      <c r="H56" s="355" t="e">
        <f t="shared" si="15"/>
        <v>#DIV/0!</v>
      </c>
      <c r="I56" s="355" t="e">
        <f t="shared" si="15"/>
        <v>#DIV/0!</v>
      </c>
      <c r="J56" s="355" t="e">
        <f t="shared" si="15"/>
        <v>#DIV/0!</v>
      </c>
      <c r="K56" s="355" t="e">
        <f t="shared" si="15"/>
        <v>#DIV/0!</v>
      </c>
      <c r="L56" s="355" t="e">
        <f t="shared" si="14"/>
        <v>#DIV/0!</v>
      </c>
      <c r="M56" s="355" t="e">
        <f t="shared" si="14"/>
        <v>#DIV/0!</v>
      </c>
      <c r="N56" s="355" t="e">
        <f t="shared" si="14"/>
        <v>#DIV/0!</v>
      </c>
      <c r="O56" s="355" t="e">
        <f t="shared" si="14"/>
        <v>#DIV/0!</v>
      </c>
      <c r="P56" s="355" t="e">
        <f t="shared" si="14"/>
        <v>#DIV/0!</v>
      </c>
      <c r="Q56" s="355" t="e">
        <f t="shared" si="14"/>
        <v>#DIV/0!</v>
      </c>
      <c r="R56" s="301" t="e">
        <f t="shared" si="3"/>
        <v>#DIV/0!</v>
      </c>
      <c r="S56" s="301" t="e">
        <f t="shared" si="4"/>
        <v>#DIV/0!</v>
      </c>
      <c r="T56" s="301" t="e">
        <f t="shared" si="5"/>
        <v>#DIV/0!</v>
      </c>
      <c r="U56" s="301" t="e">
        <f t="shared" si="6"/>
        <v>#DIV/0!</v>
      </c>
      <c r="V56" s="301" t="e">
        <f t="shared" si="7"/>
        <v>#DIV/0!</v>
      </c>
      <c r="W56" s="301" t="e">
        <f t="shared" si="8"/>
        <v>#DIV/0!</v>
      </c>
      <c r="X56" s="304" t="e">
        <f t="shared" si="12"/>
        <v>#DIV/0!</v>
      </c>
    </row>
    <row r="57" spans="1:24" ht="16.5">
      <c r="A57" s="132">
        <v>46076</v>
      </c>
      <c r="B57" s="290">
        <f t="shared" si="13"/>
        <v>0</v>
      </c>
      <c r="C57" s="379">
        <f t="shared" si="13"/>
        <v>0</v>
      </c>
      <c r="D57" s="475">
        <f t="shared" si="13"/>
        <v>0</v>
      </c>
      <c r="E57" s="372" t="e">
        <f t="shared" si="1"/>
        <v>#DIV/0!</v>
      </c>
      <c r="F57" s="354" t="e">
        <f t="shared" si="15"/>
        <v>#DIV/0!</v>
      </c>
      <c r="G57" s="355" t="e">
        <f t="shared" si="15"/>
        <v>#DIV/0!</v>
      </c>
      <c r="H57" s="355" t="e">
        <f t="shared" si="15"/>
        <v>#DIV/0!</v>
      </c>
      <c r="I57" s="355" t="e">
        <f t="shared" si="15"/>
        <v>#DIV/0!</v>
      </c>
      <c r="J57" s="355" t="e">
        <f t="shared" si="15"/>
        <v>#DIV/0!</v>
      </c>
      <c r="K57" s="355" t="e">
        <f t="shared" si="15"/>
        <v>#DIV/0!</v>
      </c>
      <c r="L57" s="355" t="e">
        <f t="shared" si="14"/>
        <v>#DIV/0!</v>
      </c>
      <c r="M57" s="355" t="e">
        <f t="shared" si="14"/>
        <v>#DIV/0!</v>
      </c>
      <c r="N57" s="355" t="e">
        <f t="shared" si="14"/>
        <v>#DIV/0!</v>
      </c>
      <c r="O57" s="355" t="e">
        <f t="shared" si="14"/>
        <v>#DIV/0!</v>
      </c>
      <c r="P57" s="355" t="e">
        <f t="shared" si="14"/>
        <v>#DIV/0!</v>
      </c>
      <c r="Q57" s="355" t="e">
        <f t="shared" si="14"/>
        <v>#DIV/0!</v>
      </c>
      <c r="R57" s="301" t="e">
        <f t="shared" si="3"/>
        <v>#DIV/0!</v>
      </c>
      <c r="S57" s="301" t="e">
        <f t="shared" si="4"/>
        <v>#DIV/0!</v>
      </c>
      <c r="T57" s="301" t="e">
        <f t="shared" si="5"/>
        <v>#DIV/0!</v>
      </c>
      <c r="U57" s="301" t="e">
        <f t="shared" si="6"/>
        <v>#DIV/0!</v>
      </c>
      <c r="V57" s="301" t="e">
        <f t="shared" si="7"/>
        <v>#DIV/0!</v>
      </c>
      <c r="W57" s="301" t="e">
        <f t="shared" si="8"/>
        <v>#DIV/0!</v>
      </c>
      <c r="X57" s="304" t="e">
        <f t="shared" si="12"/>
        <v>#DIV/0!</v>
      </c>
    </row>
    <row r="58" spans="1:24" ht="16.5">
      <c r="A58" s="132">
        <v>46077</v>
      </c>
      <c r="B58" s="290">
        <f t="shared" si="13"/>
        <v>0</v>
      </c>
      <c r="C58" s="379">
        <f t="shared" si="13"/>
        <v>0</v>
      </c>
      <c r="D58" s="475">
        <f t="shared" si="13"/>
        <v>0</v>
      </c>
      <c r="E58" s="372" t="e">
        <f t="shared" si="1"/>
        <v>#DIV/0!</v>
      </c>
      <c r="F58" s="354" t="e">
        <f t="shared" si="15"/>
        <v>#DIV/0!</v>
      </c>
      <c r="G58" s="355" t="e">
        <f t="shared" si="15"/>
        <v>#DIV/0!</v>
      </c>
      <c r="H58" s="355" t="e">
        <f t="shared" si="15"/>
        <v>#DIV/0!</v>
      </c>
      <c r="I58" s="355" t="e">
        <f t="shared" si="15"/>
        <v>#DIV/0!</v>
      </c>
      <c r="J58" s="355" t="e">
        <f t="shared" si="15"/>
        <v>#DIV/0!</v>
      </c>
      <c r="K58" s="355" t="e">
        <f t="shared" si="15"/>
        <v>#DIV/0!</v>
      </c>
      <c r="L58" s="355" t="e">
        <f t="shared" si="14"/>
        <v>#DIV/0!</v>
      </c>
      <c r="M58" s="355" t="e">
        <f t="shared" si="14"/>
        <v>#DIV/0!</v>
      </c>
      <c r="N58" s="355" t="e">
        <f t="shared" si="14"/>
        <v>#DIV/0!</v>
      </c>
      <c r="O58" s="355" t="e">
        <f t="shared" si="14"/>
        <v>#DIV/0!</v>
      </c>
      <c r="P58" s="355" t="e">
        <f t="shared" si="14"/>
        <v>#DIV/0!</v>
      </c>
      <c r="Q58" s="355" t="e">
        <f t="shared" si="14"/>
        <v>#DIV/0!</v>
      </c>
      <c r="R58" s="301" t="e">
        <f t="shared" si="3"/>
        <v>#DIV/0!</v>
      </c>
      <c r="S58" s="301" t="e">
        <f t="shared" si="4"/>
        <v>#DIV/0!</v>
      </c>
      <c r="T58" s="301" t="e">
        <f t="shared" si="5"/>
        <v>#DIV/0!</v>
      </c>
      <c r="U58" s="301" t="e">
        <f t="shared" si="6"/>
        <v>#DIV/0!</v>
      </c>
      <c r="V58" s="301" t="e">
        <f t="shared" si="7"/>
        <v>#DIV/0!</v>
      </c>
      <c r="W58" s="301" t="e">
        <f t="shared" si="8"/>
        <v>#DIV/0!</v>
      </c>
      <c r="X58" s="304" t="e">
        <f t="shared" si="12"/>
        <v>#DIV/0!</v>
      </c>
    </row>
    <row r="59" spans="1:24" ht="17.25" thickBot="1">
      <c r="A59" s="132">
        <v>46078</v>
      </c>
      <c r="B59" s="290">
        <f t="shared" si="13"/>
        <v>0</v>
      </c>
      <c r="C59" s="379">
        <f t="shared" si="13"/>
        <v>0</v>
      </c>
      <c r="D59" s="475">
        <f t="shared" si="13"/>
        <v>0</v>
      </c>
      <c r="E59" s="372" t="e">
        <f t="shared" si="1"/>
        <v>#DIV/0!</v>
      </c>
      <c r="F59" s="354" t="e">
        <f t="shared" si="15"/>
        <v>#DIV/0!</v>
      </c>
      <c r="G59" s="355" t="e">
        <f t="shared" si="15"/>
        <v>#DIV/0!</v>
      </c>
      <c r="H59" s="355" t="e">
        <f t="shared" si="15"/>
        <v>#DIV/0!</v>
      </c>
      <c r="I59" s="355" t="e">
        <f t="shared" si="15"/>
        <v>#DIV/0!</v>
      </c>
      <c r="J59" s="355" t="e">
        <f t="shared" si="15"/>
        <v>#DIV/0!</v>
      </c>
      <c r="K59" s="355" t="e">
        <f t="shared" si="15"/>
        <v>#DIV/0!</v>
      </c>
      <c r="L59" s="355" t="e">
        <f t="shared" si="14"/>
        <v>#DIV/0!</v>
      </c>
      <c r="M59" s="355" t="e">
        <f t="shared" si="14"/>
        <v>#DIV/0!</v>
      </c>
      <c r="N59" s="355" t="e">
        <f t="shared" si="14"/>
        <v>#DIV/0!</v>
      </c>
      <c r="O59" s="355" t="e">
        <f t="shared" si="14"/>
        <v>#DIV/0!</v>
      </c>
      <c r="P59" s="355" t="e">
        <f t="shared" si="14"/>
        <v>#DIV/0!</v>
      </c>
      <c r="Q59" s="355" t="e">
        <f t="shared" si="14"/>
        <v>#DIV/0!</v>
      </c>
      <c r="R59" s="301" t="e">
        <f t="shared" si="3"/>
        <v>#DIV/0!</v>
      </c>
      <c r="S59" s="301" t="e">
        <f t="shared" si="4"/>
        <v>#DIV/0!</v>
      </c>
      <c r="T59" s="301" t="e">
        <f t="shared" si="5"/>
        <v>#DIV/0!</v>
      </c>
      <c r="U59" s="301" t="e">
        <f t="shared" si="6"/>
        <v>#DIV/0!</v>
      </c>
      <c r="V59" s="301" t="e">
        <f t="shared" si="7"/>
        <v>#DIV/0!</v>
      </c>
      <c r="W59" s="301" t="e">
        <f t="shared" si="8"/>
        <v>#DIV/0!</v>
      </c>
      <c r="X59" s="304" t="e">
        <f t="shared" si="12"/>
        <v>#DIV/0!</v>
      </c>
    </row>
    <row r="60" spans="1:24" ht="16.5">
      <c r="A60" s="452">
        <v>46079</v>
      </c>
      <c r="B60" s="278">
        <f t="shared" si="13"/>
        <v>0</v>
      </c>
      <c r="C60" s="465">
        <f t="shared" si="13"/>
        <v>0</v>
      </c>
      <c r="D60" s="470">
        <f t="shared" si="13"/>
        <v>0</v>
      </c>
      <c r="E60" s="282" t="e">
        <f t="shared" si="1"/>
        <v>#DIV/0!</v>
      </c>
      <c r="F60" s="456" t="e">
        <f t="shared" si="15"/>
        <v>#DIV/0!</v>
      </c>
      <c r="G60" s="455" t="e">
        <f t="shared" si="15"/>
        <v>#DIV/0!</v>
      </c>
      <c r="H60" s="455" t="e">
        <f t="shared" si="15"/>
        <v>#DIV/0!</v>
      </c>
      <c r="I60" s="455" t="e">
        <f t="shared" si="15"/>
        <v>#DIV/0!</v>
      </c>
      <c r="J60" s="455" t="e">
        <f t="shared" si="15"/>
        <v>#DIV/0!</v>
      </c>
      <c r="K60" s="455" t="e">
        <f t="shared" si="15"/>
        <v>#DIV/0!</v>
      </c>
      <c r="L60" s="455" t="e">
        <f t="shared" si="14"/>
        <v>#DIV/0!</v>
      </c>
      <c r="M60" s="455" t="e">
        <f t="shared" si="14"/>
        <v>#DIV/0!</v>
      </c>
      <c r="N60" s="455" t="e">
        <f t="shared" si="14"/>
        <v>#DIV/0!</v>
      </c>
      <c r="O60" s="455" t="e">
        <f t="shared" si="14"/>
        <v>#DIV/0!</v>
      </c>
      <c r="P60" s="355" t="e">
        <f t="shared" si="14"/>
        <v>#DIV/0!</v>
      </c>
      <c r="Q60" s="355" t="e">
        <f t="shared" si="14"/>
        <v>#DIV/0!</v>
      </c>
      <c r="R60" s="285" t="e">
        <f t="shared" si="3"/>
        <v>#DIV/0!</v>
      </c>
      <c r="S60" s="285" t="e">
        <f t="shared" si="4"/>
        <v>#DIV/0!</v>
      </c>
      <c r="T60" s="285" t="e">
        <f t="shared" si="5"/>
        <v>#DIV/0!</v>
      </c>
      <c r="U60" s="285" t="e">
        <f t="shared" si="6"/>
        <v>#DIV/0!</v>
      </c>
      <c r="V60" s="285" t="e">
        <f t="shared" si="7"/>
        <v>#DIV/0!</v>
      </c>
      <c r="W60" s="285" t="e">
        <f t="shared" si="8"/>
        <v>#DIV/0!</v>
      </c>
      <c r="X60" s="292" t="e">
        <f t="shared" si="12"/>
        <v>#DIV/0!</v>
      </c>
    </row>
    <row r="61" spans="1:24" ht="16.5">
      <c r="A61" s="271">
        <v>46080</v>
      </c>
      <c r="B61" s="290">
        <f t="shared" si="13"/>
        <v>0</v>
      </c>
      <c r="C61" s="379">
        <f t="shared" si="13"/>
        <v>0</v>
      </c>
      <c r="D61" s="475">
        <f t="shared" si="13"/>
        <v>0</v>
      </c>
      <c r="E61" s="372" t="e">
        <f t="shared" si="1"/>
        <v>#DIV/0!</v>
      </c>
      <c r="F61" s="354" t="e">
        <f t="shared" si="15"/>
        <v>#DIV/0!</v>
      </c>
      <c r="G61" s="355" t="e">
        <f t="shared" si="15"/>
        <v>#DIV/0!</v>
      </c>
      <c r="H61" s="355" t="e">
        <f t="shared" si="15"/>
        <v>#DIV/0!</v>
      </c>
      <c r="I61" s="355" t="e">
        <f t="shared" si="15"/>
        <v>#DIV/0!</v>
      </c>
      <c r="J61" s="355" t="e">
        <f t="shared" si="15"/>
        <v>#DIV/0!</v>
      </c>
      <c r="K61" s="355" t="e">
        <f t="shared" si="15"/>
        <v>#DIV/0!</v>
      </c>
      <c r="L61" s="355" t="e">
        <f t="shared" si="14"/>
        <v>#DIV/0!</v>
      </c>
      <c r="M61" s="355" t="e">
        <f t="shared" si="14"/>
        <v>#DIV/0!</v>
      </c>
      <c r="N61" s="355" t="e">
        <f t="shared" si="14"/>
        <v>#DIV/0!</v>
      </c>
      <c r="O61" s="355" t="e">
        <f t="shared" si="14"/>
        <v>#DIV/0!</v>
      </c>
      <c r="P61" s="355" t="e">
        <f t="shared" si="14"/>
        <v>#DIV/0!</v>
      </c>
      <c r="Q61" s="355" t="e">
        <f t="shared" si="14"/>
        <v>#DIV/0!</v>
      </c>
      <c r="R61" s="301" t="e">
        <f t="shared" si="3"/>
        <v>#DIV/0!</v>
      </c>
      <c r="S61" s="301" t="e">
        <f t="shared" si="4"/>
        <v>#DIV/0!</v>
      </c>
      <c r="T61" s="301" t="e">
        <f t="shared" si="5"/>
        <v>#DIV/0!</v>
      </c>
      <c r="U61" s="301" t="e">
        <f t="shared" si="6"/>
        <v>#DIV/0!</v>
      </c>
      <c r="V61" s="301" t="e">
        <f t="shared" si="7"/>
        <v>#DIV/0!</v>
      </c>
      <c r="W61" s="301" t="e">
        <f t="shared" si="8"/>
        <v>#DIV/0!</v>
      </c>
      <c r="X61" s="304" t="e">
        <f t="shared" si="12"/>
        <v>#DIV/0!</v>
      </c>
    </row>
    <row r="62" spans="1:24" ht="16.5">
      <c r="A62" s="254">
        <v>46081</v>
      </c>
      <c r="B62" s="290">
        <f t="shared" si="13"/>
        <v>0</v>
      </c>
      <c r="C62" s="379">
        <f t="shared" si="13"/>
        <v>0</v>
      </c>
      <c r="D62" s="475">
        <f t="shared" si="13"/>
        <v>0</v>
      </c>
      <c r="E62" s="372" t="e">
        <f t="shared" si="1"/>
        <v>#DIV/0!</v>
      </c>
      <c r="F62" s="354" t="e">
        <f t="shared" si="15"/>
        <v>#DIV/0!</v>
      </c>
      <c r="G62" s="355" t="e">
        <f t="shared" si="15"/>
        <v>#DIV/0!</v>
      </c>
      <c r="H62" s="355" t="e">
        <f t="shared" si="15"/>
        <v>#DIV/0!</v>
      </c>
      <c r="I62" s="355" t="e">
        <f t="shared" si="15"/>
        <v>#DIV/0!</v>
      </c>
      <c r="J62" s="355" t="e">
        <f t="shared" si="15"/>
        <v>#DIV/0!</v>
      </c>
      <c r="K62" s="355" t="e">
        <f t="shared" si="15"/>
        <v>#DIV/0!</v>
      </c>
      <c r="L62" s="355" t="e">
        <f t="shared" si="14"/>
        <v>#DIV/0!</v>
      </c>
      <c r="M62" s="355" t="e">
        <f t="shared" si="14"/>
        <v>#DIV/0!</v>
      </c>
      <c r="N62" s="355" t="e">
        <f t="shared" si="14"/>
        <v>#DIV/0!</v>
      </c>
      <c r="O62" s="355" t="e">
        <f t="shared" si="14"/>
        <v>#DIV/0!</v>
      </c>
      <c r="P62" s="355" t="e">
        <f t="shared" si="14"/>
        <v>#DIV/0!</v>
      </c>
      <c r="Q62" s="355" t="s">
        <v>102</v>
      </c>
      <c r="R62" s="301" t="e">
        <f t="shared" si="3"/>
        <v>#DIV/0!</v>
      </c>
      <c r="S62" s="301" t="e">
        <f t="shared" si="4"/>
        <v>#DIV/0!</v>
      </c>
      <c r="T62" s="301" t="e">
        <f t="shared" si="5"/>
        <v>#DIV/0!</v>
      </c>
      <c r="U62" s="301" t="e">
        <f t="shared" si="6"/>
        <v>#DIV/0!</v>
      </c>
      <c r="V62" s="301" t="e">
        <f t="shared" si="7"/>
        <v>#DIV/0!</v>
      </c>
      <c r="W62" s="301" t="e">
        <f t="shared" si="8"/>
        <v>#DIV/0!</v>
      </c>
      <c r="X62" s="304" t="s">
        <v>102</v>
      </c>
    </row>
    <row r="63" spans="1:24" ht="16.5">
      <c r="A63" s="254">
        <v>46082</v>
      </c>
      <c r="B63" s="290">
        <f t="shared" si="13"/>
        <v>0</v>
      </c>
      <c r="C63" s="379">
        <f t="shared" si="13"/>
        <v>0</v>
      </c>
      <c r="D63" s="475">
        <f t="shared" si="13"/>
        <v>0</v>
      </c>
      <c r="E63" s="372" t="e">
        <f t="shared" si="1"/>
        <v>#DIV/0!</v>
      </c>
      <c r="F63" s="354" t="e">
        <f t="shared" si="15"/>
        <v>#DIV/0!</v>
      </c>
      <c r="G63" s="355" t="e">
        <f t="shared" si="15"/>
        <v>#DIV/0!</v>
      </c>
      <c r="H63" s="355" t="e">
        <f t="shared" si="15"/>
        <v>#DIV/0!</v>
      </c>
      <c r="I63" s="355" t="e">
        <f t="shared" si="15"/>
        <v>#DIV/0!</v>
      </c>
      <c r="J63" s="355" t="e">
        <f t="shared" si="15"/>
        <v>#DIV/0!</v>
      </c>
      <c r="K63" s="355" t="e">
        <f t="shared" si="15"/>
        <v>#DIV/0!</v>
      </c>
      <c r="L63" s="355" t="e">
        <f t="shared" si="14"/>
        <v>#DIV/0!</v>
      </c>
      <c r="M63" s="355" t="e">
        <f t="shared" si="14"/>
        <v>#DIV/0!</v>
      </c>
      <c r="N63" s="355" t="e">
        <f t="shared" si="14"/>
        <v>#DIV/0!</v>
      </c>
      <c r="O63" s="355" t="e">
        <f t="shared" si="14"/>
        <v>#DIV/0!</v>
      </c>
      <c r="P63" s="355" t="e">
        <f t="shared" si="14"/>
        <v>#DIV/0!</v>
      </c>
      <c r="Q63" s="355" t="s">
        <v>102</v>
      </c>
      <c r="R63" s="301" t="e">
        <f t="shared" si="3"/>
        <v>#DIV/0!</v>
      </c>
      <c r="S63" s="301" t="e">
        <f t="shared" si="4"/>
        <v>#DIV/0!</v>
      </c>
      <c r="T63" s="301" t="e">
        <f t="shared" si="5"/>
        <v>#DIV/0!</v>
      </c>
      <c r="U63" s="301" t="e">
        <f t="shared" si="6"/>
        <v>#DIV/0!</v>
      </c>
      <c r="V63" s="301" t="e">
        <f t="shared" si="7"/>
        <v>#DIV/0!</v>
      </c>
      <c r="W63" s="301" t="e">
        <f t="shared" si="8"/>
        <v>#DIV/0!</v>
      </c>
      <c r="X63" s="304" t="s">
        <v>102</v>
      </c>
    </row>
    <row r="64" spans="1:24" ht="16.5">
      <c r="A64" s="254">
        <v>46083</v>
      </c>
      <c r="B64" s="290">
        <f t="shared" si="13"/>
        <v>0</v>
      </c>
      <c r="C64" s="379">
        <f t="shared" si="13"/>
        <v>0</v>
      </c>
      <c r="D64" s="475">
        <f t="shared" si="13"/>
        <v>0</v>
      </c>
      <c r="E64" s="372" t="e">
        <f t="shared" si="1"/>
        <v>#DIV/0!</v>
      </c>
      <c r="F64" s="354" t="e">
        <f t="shared" si="15"/>
        <v>#DIV/0!</v>
      </c>
      <c r="G64" s="355" t="e">
        <f t="shared" si="15"/>
        <v>#DIV/0!</v>
      </c>
      <c r="H64" s="355" t="e">
        <f t="shared" si="15"/>
        <v>#DIV/0!</v>
      </c>
      <c r="I64" s="355" t="e">
        <f t="shared" si="15"/>
        <v>#DIV/0!</v>
      </c>
      <c r="J64" s="355" t="e">
        <f t="shared" si="15"/>
        <v>#DIV/0!</v>
      </c>
      <c r="K64" s="355" t="e">
        <f t="shared" si="15"/>
        <v>#DIV/0!</v>
      </c>
      <c r="L64" s="355" t="e">
        <f t="shared" si="14"/>
        <v>#DIV/0!</v>
      </c>
      <c r="M64" s="355" t="e">
        <f t="shared" si="14"/>
        <v>#DIV/0!</v>
      </c>
      <c r="N64" s="355" t="e">
        <f t="shared" si="14"/>
        <v>#DIV/0!</v>
      </c>
      <c r="O64" s="355" t="e">
        <f t="shared" si="14"/>
        <v>#DIV/0!</v>
      </c>
      <c r="P64" s="355" t="e">
        <f t="shared" si="14"/>
        <v>#DIV/0!</v>
      </c>
      <c r="Q64" s="355" t="s">
        <v>102</v>
      </c>
      <c r="R64" s="301" t="e">
        <f t="shared" si="3"/>
        <v>#DIV/0!</v>
      </c>
      <c r="S64" s="301" t="e">
        <f t="shared" si="4"/>
        <v>#DIV/0!</v>
      </c>
      <c r="T64" s="301" t="e">
        <f t="shared" si="5"/>
        <v>#DIV/0!</v>
      </c>
      <c r="U64" s="301" t="e">
        <f t="shared" si="6"/>
        <v>#DIV/0!</v>
      </c>
      <c r="V64" s="301" t="e">
        <f t="shared" si="7"/>
        <v>#DIV/0!</v>
      </c>
      <c r="W64" s="301" t="e">
        <f t="shared" si="8"/>
        <v>#DIV/0!</v>
      </c>
      <c r="X64" s="304" t="s">
        <v>102</v>
      </c>
    </row>
    <row r="65" spans="1:24" ht="16.5">
      <c r="A65" s="312">
        <v>46084</v>
      </c>
      <c r="B65" s="290">
        <f t="shared" si="13"/>
        <v>0</v>
      </c>
      <c r="C65" s="379">
        <f t="shared" si="13"/>
        <v>0</v>
      </c>
      <c r="D65" s="475">
        <f t="shared" si="13"/>
        <v>0</v>
      </c>
      <c r="E65" s="372" t="e">
        <f t="shared" si="1"/>
        <v>#DIV/0!</v>
      </c>
      <c r="F65" s="354" t="e">
        <f t="shared" si="15"/>
        <v>#DIV/0!</v>
      </c>
      <c r="G65" s="355" t="e">
        <f t="shared" si="15"/>
        <v>#DIV/0!</v>
      </c>
      <c r="H65" s="355" t="e">
        <f t="shared" si="15"/>
        <v>#DIV/0!</v>
      </c>
      <c r="I65" s="355" t="e">
        <f t="shared" si="15"/>
        <v>#DIV/0!</v>
      </c>
      <c r="J65" s="355" t="e">
        <f t="shared" si="15"/>
        <v>#DIV/0!</v>
      </c>
      <c r="K65" s="355" t="e">
        <f t="shared" si="15"/>
        <v>#DIV/0!</v>
      </c>
      <c r="L65" s="355" t="e">
        <f t="shared" si="14"/>
        <v>#DIV/0!</v>
      </c>
      <c r="M65" s="355" t="e">
        <f t="shared" si="14"/>
        <v>#DIV/0!</v>
      </c>
      <c r="N65" s="355" t="e">
        <f t="shared" si="14"/>
        <v>#DIV/0!</v>
      </c>
      <c r="O65" s="355" t="e">
        <f t="shared" si="14"/>
        <v>#DIV/0!</v>
      </c>
      <c r="P65" s="355" t="e">
        <f t="shared" si="14"/>
        <v>#DIV/0!</v>
      </c>
      <c r="Q65" s="355" t="s">
        <v>102</v>
      </c>
      <c r="R65" s="301" t="e">
        <f t="shared" si="3"/>
        <v>#DIV/0!</v>
      </c>
      <c r="S65" s="301" t="e">
        <f t="shared" si="4"/>
        <v>#DIV/0!</v>
      </c>
      <c r="T65" s="301" t="e">
        <f t="shared" si="5"/>
        <v>#DIV/0!</v>
      </c>
      <c r="U65" s="301" t="e">
        <f t="shared" si="6"/>
        <v>#DIV/0!</v>
      </c>
      <c r="V65" s="301" t="e">
        <f t="shared" si="7"/>
        <v>#DIV/0!</v>
      </c>
      <c r="W65" s="301" t="e">
        <f t="shared" si="8"/>
        <v>#DIV/0!</v>
      </c>
      <c r="X65" s="304" t="s">
        <v>102</v>
      </c>
    </row>
    <row r="66" spans="1:24" ht="16.5">
      <c r="A66" s="312">
        <v>46085</v>
      </c>
      <c r="B66" s="290">
        <f t="shared" ref="B66:D97" si="16">AB66+BB66</f>
        <v>0</v>
      </c>
      <c r="C66" s="379">
        <f t="shared" si="16"/>
        <v>0</v>
      </c>
      <c r="D66" s="475">
        <f t="shared" si="16"/>
        <v>0</v>
      </c>
      <c r="E66" s="372" t="e">
        <f t="shared" ref="E66:E124" si="17">D66/B66</f>
        <v>#DIV/0!</v>
      </c>
      <c r="F66" s="354" t="e">
        <f t="shared" si="15"/>
        <v>#DIV/0!</v>
      </c>
      <c r="G66" s="355" t="e">
        <f t="shared" si="15"/>
        <v>#DIV/0!</v>
      </c>
      <c r="H66" s="355" t="e">
        <f t="shared" si="15"/>
        <v>#DIV/0!</v>
      </c>
      <c r="I66" s="355" t="e">
        <f t="shared" si="15"/>
        <v>#DIV/0!</v>
      </c>
      <c r="J66" s="355" t="e">
        <f t="shared" si="15"/>
        <v>#DIV/0!</v>
      </c>
      <c r="K66" s="355" t="e">
        <f t="shared" si="15"/>
        <v>#DIV/0!</v>
      </c>
      <c r="L66" s="355" t="e">
        <f t="shared" si="14"/>
        <v>#DIV/0!</v>
      </c>
      <c r="M66" s="355" t="e">
        <f t="shared" si="14"/>
        <v>#DIV/0!</v>
      </c>
      <c r="N66" s="355" t="e">
        <f t="shared" si="14"/>
        <v>#DIV/0!</v>
      </c>
      <c r="O66" s="355" t="e">
        <f t="shared" si="14"/>
        <v>#DIV/0!</v>
      </c>
      <c r="P66" s="355" t="e">
        <f t="shared" si="14"/>
        <v>#DIV/0!</v>
      </c>
      <c r="Q66" s="355" t="s">
        <v>102</v>
      </c>
      <c r="R66" s="301" t="e">
        <f t="shared" ref="R66:R118" si="18">H66/F66</f>
        <v>#DIV/0!</v>
      </c>
      <c r="S66" s="301" t="e">
        <f t="shared" ref="S66:S114" si="19">L66/F66</f>
        <v>#DIV/0!</v>
      </c>
      <c r="T66" s="301" t="e">
        <f t="shared" ref="T66:T107" si="20">M66/F66</f>
        <v>#DIV/0!</v>
      </c>
      <c r="U66" s="301" t="e">
        <f t="shared" ref="U66:U100" si="21">N66/F66</f>
        <v>#DIV/0!</v>
      </c>
      <c r="V66" s="301" t="e">
        <f t="shared" ref="V66:V91" si="22">O66/F66</f>
        <v>#DIV/0!</v>
      </c>
      <c r="W66" s="301" t="e">
        <f t="shared" ref="W66:W76" si="23">P66/F66</f>
        <v>#DIV/0!</v>
      </c>
      <c r="X66" s="304" t="s">
        <v>102</v>
      </c>
    </row>
    <row r="67" spans="1:24" ht="16.5">
      <c r="A67" s="312">
        <v>46086</v>
      </c>
      <c r="B67" s="290">
        <f t="shared" si="16"/>
        <v>0</v>
      </c>
      <c r="C67" s="379">
        <f t="shared" si="16"/>
        <v>0</v>
      </c>
      <c r="D67" s="475">
        <f t="shared" si="16"/>
        <v>0</v>
      </c>
      <c r="E67" s="372" t="e">
        <f t="shared" si="17"/>
        <v>#DIV/0!</v>
      </c>
      <c r="F67" s="354" t="e">
        <f t="shared" si="15"/>
        <v>#DIV/0!</v>
      </c>
      <c r="G67" s="355" t="e">
        <f t="shared" si="15"/>
        <v>#DIV/0!</v>
      </c>
      <c r="H67" s="355" t="e">
        <f t="shared" si="15"/>
        <v>#DIV/0!</v>
      </c>
      <c r="I67" s="355" t="e">
        <f t="shared" si="15"/>
        <v>#DIV/0!</v>
      </c>
      <c r="J67" s="355" t="e">
        <f t="shared" si="15"/>
        <v>#DIV/0!</v>
      </c>
      <c r="K67" s="355" t="e">
        <f t="shared" si="15"/>
        <v>#DIV/0!</v>
      </c>
      <c r="L67" s="355" t="e">
        <f t="shared" si="14"/>
        <v>#DIV/0!</v>
      </c>
      <c r="M67" s="355" t="e">
        <f t="shared" si="14"/>
        <v>#DIV/0!</v>
      </c>
      <c r="N67" s="355" t="e">
        <f t="shared" si="14"/>
        <v>#DIV/0!</v>
      </c>
      <c r="O67" s="355" t="e">
        <f t="shared" si="14"/>
        <v>#DIV/0!</v>
      </c>
      <c r="P67" s="355" t="e">
        <f t="shared" si="14"/>
        <v>#DIV/0!</v>
      </c>
      <c r="Q67" s="355" t="s">
        <v>102</v>
      </c>
      <c r="R67" s="301" t="e">
        <f t="shared" si="18"/>
        <v>#DIV/0!</v>
      </c>
      <c r="S67" s="301" t="e">
        <f t="shared" si="19"/>
        <v>#DIV/0!</v>
      </c>
      <c r="T67" s="301" t="e">
        <f t="shared" si="20"/>
        <v>#DIV/0!</v>
      </c>
      <c r="U67" s="301" t="e">
        <f t="shared" si="21"/>
        <v>#DIV/0!</v>
      </c>
      <c r="V67" s="301" t="e">
        <f t="shared" si="22"/>
        <v>#DIV/0!</v>
      </c>
      <c r="W67" s="301" t="e">
        <f t="shared" si="23"/>
        <v>#DIV/0!</v>
      </c>
      <c r="X67" s="304" t="s">
        <v>102</v>
      </c>
    </row>
    <row r="68" spans="1:24" ht="16.5">
      <c r="A68" s="271">
        <v>46087</v>
      </c>
      <c r="B68" s="290">
        <f t="shared" si="16"/>
        <v>0</v>
      </c>
      <c r="C68" s="379">
        <f t="shared" si="16"/>
        <v>0</v>
      </c>
      <c r="D68" s="475">
        <f t="shared" si="16"/>
        <v>0</v>
      </c>
      <c r="E68" s="372" t="e">
        <f t="shared" si="17"/>
        <v>#DIV/0!</v>
      </c>
      <c r="F68" s="354" t="e">
        <f t="shared" si="15"/>
        <v>#DIV/0!</v>
      </c>
      <c r="G68" s="355" t="e">
        <f t="shared" si="15"/>
        <v>#DIV/0!</v>
      </c>
      <c r="H68" s="355" t="e">
        <f t="shared" si="15"/>
        <v>#DIV/0!</v>
      </c>
      <c r="I68" s="355" t="e">
        <f t="shared" si="15"/>
        <v>#DIV/0!</v>
      </c>
      <c r="J68" s="355" t="e">
        <f t="shared" si="15"/>
        <v>#DIV/0!</v>
      </c>
      <c r="K68" s="355" t="e">
        <f t="shared" si="15"/>
        <v>#DIV/0!</v>
      </c>
      <c r="L68" s="355" t="e">
        <f t="shared" si="14"/>
        <v>#DIV/0!</v>
      </c>
      <c r="M68" s="355" t="e">
        <f t="shared" si="14"/>
        <v>#DIV/0!</v>
      </c>
      <c r="N68" s="355" t="e">
        <f t="shared" si="14"/>
        <v>#DIV/0!</v>
      </c>
      <c r="O68" s="355" t="e">
        <f t="shared" si="14"/>
        <v>#DIV/0!</v>
      </c>
      <c r="P68" s="355" t="e">
        <f t="shared" si="14"/>
        <v>#DIV/0!</v>
      </c>
      <c r="Q68" s="355" t="s">
        <v>102</v>
      </c>
      <c r="R68" s="301" t="e">
        <f t="shared" si="18"/>
        <v>#DIV/0!</v>
      </c>
      <c r="S68" s="301" t="e">
        <f t="shared" si="19"/>
        <v>#DIV/0!</v>
      </c>
      <c r="T68" s="301" t="e">
        <f t="shared" si="20"/>
        <v>#DIV/0!</v>
      </c>
      <c r="U68" s="301" t="e">
        <f t="shared" si="21"/>
        <v>#DIV/0!</v>
      </c>
      <c r="V68" s="301" t="e">
        <f t="shared" si="22"/>
        <v>#DIV/0!</v>
      </c>
      <c r="W68" s="301" t="e">
        <f t="shared" si="23"/>
        <v>#DIV/0!</v>
      </c>
      <c r="X68" s="304" t="s">
        <v>102</v>
      </c>
    </row>
    <row r="69" spans="1:24" ht="16.5">
      <c r="A69" s="271">
        <v>46088</v>
      </c>
      <c r="B69" s="290">
        <f t="shared" si="16"/>
        <v>0</v>
      </c>
      <c r="C69" s="379">
        <f t="shared" si="16"/>
        <v>0</v>
      </c>
      <c r="D69" s="475">
        <f t="shared" si="16"/>
        <v>0</v>
      </c>
      <c r="E69" s="372" t="e">
        <f t="shared" si="17"/>
        <v>#DIV/0!</v>
      </c>
      <c r="F69" s="354" t="e">
        <f t="shared" si="15"/>
        <v>#DIV/0!</v>
      </c>
      <c r="G69" s="355" t="e">
        <f t="shared" si="15"/>
        <v>#DIV/0!</v>
      </c>
      <c r="H69" s="355" t="e">
        <f t="shared" si="15"/>
        <v>#DIV/0!</v>
      </c>
      <c r="I69" s="355" t="e">
        <f t="shared" si="15"/>
        <v>#DIV/0!</v>
      </c>
      <c r="J69" s="355" t="e">
        <f t="shared" si="15"/>
        <v>#DIV/0!</v>
      </c>
      <c r="K69" s="355" t="e">
        <f t="shared" si="15"/>
        <v>#DIV/0!</v>
      </c>
      <c r="L69" s="355" t="e">
        <f t="shared" si="14"/>
        <v>#DIV/0!</v>
      </c>
      <c r="M69" s="355" t="e">
        <f t="shared" si="14"/>
        <v>#DIV/0!</v>
      </c>
      <c r="N69" s="355" t="e">
        <f t="shared" si="14"/>
        <v>#DIV/0!</v>
      </c>
      <c r="O69" s="355" t="e">
        <f t="shared" si="14"/>
        <v>#DIV/0!</v>
      </c>
      <c r="P69" s="355" t="e">
        <f t="shared" si="14"/>
        <v>#DIV/0!</v>
      </c>
      <c r="Q69" s="355" t="s">
        <v>102</v>
      </c>
      <c r="R69" s="301" t="e">
        <f t="shared" si="18"/>
        <v>#DIV/0!</v>
      </c>
      <c r="S69" s="301" t="e">
        <f t="shared" si="19"/>
        <v>#DIV/0!</v>
      </c>
      <c r="T69" s="301" t="e">
        <f t="shared" si="20"/>
        <v>#DIV/0!</v>
      </c>
      <c r="U69" s="301" t="e">
        <f t="shared" si="21"/>
        <v>#DIV/0!</v>
      </c>
      <c r="V69" s="301" t="e">
        <f t="shared" si="22"/>
        <v>#DIV/0!</v>
      </c>
      <c r="W69" s="301" t="e">
        <f t="shared" si="23"/>
        <v>#DIV/0!</v>
      </c>
      <c r="X69" s="304" t="s">
        <v>102</v>
      </c>
    </row>
    <row r="70" spans="1:24" ht="16.5">
      <c r="A70" s="254">
        <v>46089</v>
      </c>
      <c r="B70" s="290">
        <f t="shared" si="16"/>
        <v>0</v>
      </c>
      <c r="C70" s="379">
        <f t="shared" si="16"/>
        <v>0</v>
      </c>
      <c r="D70" s="475">
        <f t="shared" si="16"/>
        <v>0</v>
      </c>
      <c r="E70" s="372" t="e">
        <f t="shared" si="17"/>
        <v>#DIV/0!</v>
      </c>
      <c r="F70" s="354" t="e">
        <f t="shared" si="15"/>
        <v>#DIV/0!</v>
      </c>
      <c r="G70" s="355" t="e">
        <f t="shared" si="15"/>
        <v>#DIV/0!</v>
      </c>
      <c r="H70" s="355" t="e">
        <f t="shared" si="15"/>
        <v>#DIV/0!</v>
      </c>
      <c r="I70" s="355" t="e">
        <f t="shared" si="15"/>
        <v>#DIV/0!</v>
      </c>
      <c r="J70" s="355" t="e">
        <f t="shared" si="15"/>
        <v>#DIV/0!</v>
      </c>
      <c r="K70" s="355" t="e">
        <f t="shared" si="15"/>
        <v>#DIV/0!</v>
      </c>
      <c r="L70" s="355" t="e">
        <f t="shared" si="14"/>
        <v>#DIV/0!</v>
      </c>
      <c r="M70" s="355" t="e">
        <f t="shared" si="14"/>
        <v>#DIV/0!</v>
      </c>
      <c r="N70" s="355" t="e">
        <f t="shared" si="14"/>
        <v>#DIV/0!</v>
      </c>
      <c r="O70" s="355" t="e">
        <f t="shared" si="14"/>
        <v>#DIV/0!</v>
      </c>
      <c r="P70" s="355" t="e">
        <f t="shared" si="14"/>
        <v>#DIV/0!</v>
      </c>
      <c r="Q70" s="355" t="s">
        <v>102</v>
      </c>
      <c r="R70" s="301" t="e">
        <f t="shared" si="18"/>
        <v>#DIV/0!</v>
      </c>
      <c r="S70" s="301" t="e">
        <f t="shared" si="19"/>
        <v>#DIV/0!</v>
      </c>
      <c r="T70" s="301" t="e">
        <f t="shared" si="20"/>
        <v>#DIV/0!</v>
      </c>
      <c r="U70" s="301" t="e">
        <f t="shared" si="21"/>
        <v>#DIV/0!</v>
      </c>
      <c r="V70" s="301" t="e">
        <f t="shared" si="22"/>
        <v>#DIV/0!</v>
      </c>
      <c r="W70" s="301" t="e">
        <f t="shared" si="23"/>
        <v>#DIV/0!</v>
      </c>
      <c r="X70" s="304" t="s">
        <v>102</v>
      </c>
    </row>
    <row r="71" spans="1:24" ht="16.5">
      <c r="A71" s="254">
        <v>46090</v>
      </c>
      <c r="B71" s="290">
        <f t="shared" si="16"/>
        <v>0</v>
      </c>
      <c r="C71" s="379">
        <f t="shared" si="16"/>
        <v>0</v>
      </c>
      <c r="D71" s="475">
        <f t="shared" si="16"/>
        <v>0</v>
      </c>
      <c r="E71" s="372" t="e">
        <f t="shared" si="17"/>
        <v>#DIV/0!</v>
      </c>
      <c r="F71" s="354" t="e">
        <f t="shared" si="15"/>
        <v>#DIV/0!</v>
      </c>
      <c r="G71" s="355" t="e">
        <f t="shared" si="15"/>
        <v>#DIV/0!</v>
      </c>
      <c r="H71" s="355" t="e">
        <f t="shared" si="15"/>
        <v>#DIV/0!</v>
      </c>
      <c r="I71" s="355" t="e">
        <f t="shared" si="15"/>
        <v>#DIV/0!</v>
      </c>
      <c r="J71" s="355" t="e">
        <f t="shared" si="15"/>
        <v>#DIV/0!</v>
      </c>
      <c r="K71" s="355" t="e">
        <f t="shared" si="15"/>
        <v>#DIV/0!</v>
      </c>
      <c r="L71" s="355" t="e">
        <f t="shared" si="14"/>
        <v>#DIV/0!</v>
      </c>
      <c r="M71" s="355" t="e">
        <f t="shared" si="14"/>
        <v>#DIV/0!</v>
      </c>
      <c r="N71" s="355" t="e">
        <f t="shared" si="14"/>
        <v>#DIV/0!</v>
      </c>
      <c r="O71" s="355" t="e">
        <f t="shared" si="14"/>
        <v>#DIV/0!</v>
      </c>
      <c r="P71" s="355" t="e">
        <f t="shared" si="14"/>
        <v>#DIV/0!</v>
      </c>
      <c r="Q71" s="355" t="s">
        <v>102</v>
      </c>
      <c r="R71" s="301" t="e">
        <f t="shared" si="18"/>
        <v>#DIV/0!</v>
      </c>
      <c r="S71" s="301" t="e">
        <f t="shared" si="19"/>
        <v>#DIV/0!</v>
      </c>
      <c r="T71" s="301" t="e">
        <f t="shared" si="20"/>
        <v>#DIV/0!</v>
      </c>
      <c r="U71" s="301" t="e">
        <f t="shared" si="21"/>
        <v>#DIV/0!</v>
      </c>
      <c r="V71" s="301" t="e">
        <f t="shared" si="22"/>
        <v>#DIV/0!</v>
      </c>
      <c r="W71" s="301" t="e">
        <f t="shared" si="23"/>
        <v>#DIV/0!</v>
      </c>
      <c r="X71" s="304" t="s">
        <v>102</v>
      </c>
    </row>
    <row r="72" spans="1:24" ht="16.5">
      <c r="A72" s="271">
        <v>46091</v>
      </c>
      <c r="B72" s="290">
        <f t="shared" si="16"/>
        <v>0</v>
      </c>
      <c r="C72" s="379">
        <f t="shared" si="16"/>
        <v>0</v>
      </c>
      <c r="D72" s="475">
        <f t="shared" si="16"/>
        <v>0</v>
      </c>
      <c r="E72" s="372" t="e">
        <f t="shared" si="17"/>
        <v>#DIV/0!</v>
      </c>
      <c r="F72" s="354" t="e">
        <f t="shared" si="15"/>
        <v>#DIV/0!</v>
      </c>
      <c r="G72" s="355" t="e">
        <f t="shared" si="15"/>
        <v>#DIV/0!</v>
      </c>
      <c r="H72" s="355" t="e">
        <f t="shared" si="15"/>
        <v>#DIV/0!</v>
      </c>
      <c r="I72" s="355" t="e">
        <f t="shared" si="15"/>
        <v>#DIV/0!</v>
      </c>
      <c r="J72" s="355" t="e">
        <f t="shared" si="15"/>
        <v>#DIV/0!</v>
      </c>
      <c r="K72" s="355" t="e">
        <f t="shared" si="15"/>
        <v>#DIV/0!</v>
      </c>
      <c r="L72" s="355" t="e">
        <f t="shared" si="14"/>
        <v>#DIV/0!</v>
      </c>
      <c r="M72" s="355" t="e">
        <f t="shared" si="14"/>
        <v>#DIV/0!</v>
      </c>
      <c r="N72" s="355" t="e">
        <f t="shared" si="14"/>
        <v>#DIV/0!</v>
      </c>
      <c r="O72" s="355" t="e">
        <f t="shared" si="14"/>
        <v>#DIV/0!</v>
      </c>
      <c r="P72" s="355" t="e">
        <f t="shared" si="14"/>
        <v>#DIV/0!</v>
      </c>
      <c r="Q72" s="355" t="s">
        <v>102</v>
      </c>
      <c r="R72" s="301" t="e">
        <f t="shared" si="18"/>
        <v>#DIV/0!</v>
      </c>
      <c r="S72" s="301" t="e">
        <f t="shared" si="19"/>
        <v>#DIV/0!</v>
      </c>
      <c r="T72" s="301" t="e">
        <f t="shared" si="20"/>
        <v>#DIV/0!</v>
      </c>
      <c r="U72" s="301" t="e">
        <f t="shared" si="21"/>
        <v>#DIV/0!</v>
      </c>
      <c r="V72" s="301" t="e">
        <f t="shared" si="22"/>
        <v>#DIV/0!</v>
      </c>
      <c r="W72" s="301" t="e">
        <f t="shared" si="23"/>
        <v>#DIV/0!</v>
      </c>
      <c r="X72" s="304" t="s">
        <v>102</v>
      </c>
    </row>
    <row r="73" spans="1:24" ht="16.5">
      <c r="A73" s="271">
        <v>46092</v>
      </c>
      <c r="B73" s="290">
        <f t="shared" si="16"/>
        <v>0</v>
      </c>
      <c r="C73" s="379">
        <f t="shared" si="16"/>
        <v>0</v>
      </c>
      <c r="D73" s="475">
        <f t="shared" si="16"/>
        <v>0</v>
      </c>
      <c r="E73" s="372" t="e">
        <f t="shared" si="17"/>
        <v>#DIV/0!</v>
      </c>
      <c r="F73" s="354" t="e">
        <f t="shared" si="15"/>
        <v>#DIV/0!</v>
      </c>
      <c r="G73" s="355" t="e">
        <f t="shared" si="15"/>
        <v>#DIV/0!</v>
      </c>
      <c r="H73" s="355" t="e">
        <f t="shared" si="15"/>
        <v>#DIV/0!</v>
      </c>
      <c r="I73" s="355" t="e">
        <f t="shared" si="15"/>
        <v>#DIV/0!</v>
      </c>
      <c r="J73" s="355" t="e">
        <f t="shared" si="15"/>
        <v>#DIV/0!</v>
      </c>
      <c r="K73" s="355" t="e">
        <f t="shared" si="15"/>
        <v>#DIV/0!</v>
      </c>
      <c r="L73" s="355" t="e">
        <f t="shared" si="14"/>
        <v>#DIV/0!</v>
      </c>
      <c r="M73" s="355" t="e">
        <f t="shared" si="14"/>
        <v>#DIV/0!</v>
      </c>
      <c r="N73" s="355" t="e">
        <f t="shared" si="14"/>
        <v>#DIV/0!</v>
      </c>
      <c r="O73" s="355" t="e">
        <f t="shared" si="14"/>
        <v>#DIV/0!</v>
      </c>
      <c r="P73" s="355" t="e">
        <f t="shared" si="14"/>
        <v>#DIV/0!</v>
      </c>
      <c r="Q73" s="355" t="s">
        <v>102</v>
      </c>
      <c r="R73" s="301" t="e">
        <f t="shared" si="18"/>
        <v>#DIV/0!</v>
      </c>
      <c r="S73" s="301" t="e">
        <f t="shared" si="19"/>
        <v>#DIV/0!</v>
      </c>
      <c r="T73" s="301" t="e">
        <f t="shared" si="20"/>
        <v>#DIV/0!</v>
      </c>
      <c r="U73" s="301" t="e">
        <f t="shared" si="21"/>
        <v>#DIV/0!</v>
      </c>
      <c r="V73" s="301" t="e">
        <f t="shared" si="22"/>
        <v>#DIV/0!</v>
      </c>
      <c r="W73" s="301" t="e">
        <f t="shared" si="23"/>
        <v>#DIV/0!</v>
      </c>
      <c r="X73" s="304" t="s">
        <v>102</v>
      </c>
    </row>
    <row r="74" spans="1:24" ht="16.5">
      <c r="A74" s="271">
        <v>46093</v>
      </c>
      <c r="B74" s="290">
        <f t="shared" si="16"/>
        <v>0</v>
      </c>
      <c r="C74" s="379">
        <f t="shared" si="16"/>
        <v>0</v>
      </c>
      <c r="D74" s="475">
        <f t="shared" si="16"/>
        <v>0</v>
      </c>
      <c r="E74" s="372" t="e">
        <f t="shared" si="17"/>
        <v>#DIV/0!</v>
      </c>
      <c r="F74" s="354" t="e">
        <f t="shared" si="15"/>
        <v>#DIV/0!</v>
      </c>
      <c r="G74" s="355" t="e">
        <f t="shared" si="15"/>
        <v>#DIV/0!</v>
      </c>
      <c r="H74" s="355" t="e">
        <f t="shared" si="15"/>
        <v>#DIV/0!</v>
      </c>
      <c r="I74" s="355" t="e">
        <f t="shared" si="15"/>
        <v>#DIV/0!</v>
      </c>
      <c r="J74" s="355" t="e">
        <f t="shared" si="15"/>
        <v>#DIV/0!</v>
      </c>
      <c r="K74" s="355" t="e">
        <f t="shared" si="15"/>
        <v>#DIV/0!</v>
      </c>
      <c r="L74" s="355" t="e">
        <f t="shared" si="14"/>
        <v>#DIV/0!</v>
      </c>
      <c r="M74" s="355" t="e">
        <f t="shared" si="14"/>
        <v>#DIV/0!</v>
      </c>
      <c r="N74" s="355" t="e">
        <f t="shared" si="14"/>
        <v>#DIV/0!</v>
      </c>
      <c r="O74" s="355" t="e">
        <f t="shared" si="14"/>
        <v>#DIV/0!</v>
      </c>
      <c r="P74" s="355" t="e">
        <f t="shared" si="14"/>
        <v>#DIV/0!</v>
      </c>
      <c r="Q74" s="355" t="s">
        <v>102</v>
      </c>
      <c r="R74" s="301" t="e">
        <f t="shared" si="18"/>
        <v>#DIV/0!</v>
      </c>
      <c r="S74" s="301" t="e">
        <f t="shared" si="19"/>
        <v>#DIV/0!</v>
      </c>
      <c r="T74" s="301" t="e">
        <f t="shared" si="20"/>
        <v>#DIV/0!</v>
      </c>
      <c r="U74" s="301" t="e">
        <f t="shared" si="21"/>
        <v>#DIV/0!</v>
      </c>
      <c r="V74" s="301" t="e">
        <f t="shared" si="22"/>
        <v>#DIV/0!</v>
      </c>
      <c r="W74" s="301" t="e">
        <f t="shared" si="23"/>
        <v>#DIV/0!</v>
      </c>
      <c r="X74" s="304" t="s">
        <v>102</v>
      </c>
    </row>
    <row r="75" spans="1:24" ht="16.5">
      <c r="A75" s="321">
        <v>46094</v>
      </c>
      <c r="B75" s="290">
        <f t="shared" si="16"/>
        <v>0</v>
      </c>
      <c r="C75" s="379">
        <f t="shared" si="16"/>
        <v>0</v>
      </c>
      <c r="D75" s="475">
        <f t="shared" si="16"/>
        <v>0</v>
      </c>
      <c r="E75" s="372" t="e">
        <f t="shared" si="17"/>
        <v>#DIV/0!</v>
      </c>
      <c r="F75" s="354" t="e">
        <f t="shared" si="15"/>
        <v>#DIV/0!</v>
      </c>
      <c r="G75" s="355" t="e">
        <f t="shared" si="15"/>
        <v>#DIV/0!</v>
      </c>
      <c r="H75" s="355" t="e">
        <f t="shared" si="15"/>
        <v>#DIV/0!</v>
      </c>
      <c r="I75" s="355" t="e">
        <f t="shared" si="15"/>
        <v>#DIV/0!</v>
      </c>
      <c r="J75" s="355" t="e">
        <f t="shared" si="15"/>
        <v>#DIV/0!</v>
      </c>
      <c r="K75" s="355" t="e">
        <f t="shared" si="15"/>
        <v>#DIV/0!</v>
      </c>
      <c r="L75" s="355" t="e">
        <f t="shared" si="14"/>
        <v>#DIV/0!</v>
      </c>
      <c r="M75" s="355" t="e">
        <f t="shared" si="14"/>
        <v>#DIV/0!</v>
      </c>
      <c r="N75" s="355" t="e">
        <f t="shared" si="14"/>
        <v>#DIV/0!</v>
      </c>
      <c r="O75" s="355" t="e">
        <f t="shared" si="14"/>
        <v>#DIV/0!</v>
      </c>
      <c r="P75" s="355" t="e">
        <f t="shared" si="14"/>
        <v>#DIV/0!</v>
      </c>
      <c r="Q75" s="355" t="s">
        <v>102</v>
      </c>
      <c r="R75" s="301" t="e">
        <f t="shared" si="18"/>
        <v>#DIV/0!</v>
      </c>
      <c r="S75" s="301" t="e">
        <f t="shared" si="19"/>
        <v>#DIV/0!</v>
      </c>
      <c r="T75" s="301" t="e">
        <f t="shared" si="20"/>
        <v>#DIV/0!</v>
      </c>
      <c r="U75" s="301" t="e">
        <f t="shared" si="21"/>
        <v>#DIV/0!</v>
      </c>
      <c r="V75" s="301" t="e">
        <f t="shared" si="22"/>
        <v>#DIV/0!</v>
      </c>
      <c r="W75" s="301" t="e">
        <f t="shared" si="23"/>
        <v>#DIV/0!</v>
      </c>
      <c r="X75" s="304" t="s">
        <v>102</v>
      </c>
    </row>
    <row r="76" spans="1:24" ht="16.5">
      <c r="A76" s="321">
        <v>46095</v>
      </c>
      <c r="B76" s="290">
        <f t="shared" si="16"/>
        <v>0</v>
      </c>
      <c r="C76" s="379">
        <f t="shared" si="16"/>
        <v>0</v>
      </c>
      <c r="D76" s="475">
        <f t="shared" si="16"/>
        <v>0</v>
      </c>
      <c r="E76" s="372" t="e">
        <f t="shared" si="17"/>
        <v>#DIV/0!</v>
      </c>
      <c r="F76" s="354" t="e">
        <f t="shared" si="15"/>
        <v>#DIV/0!</v>
      </c>
      <c r="G76" s="355" t="e">
        <f t="shared" si="15"/>
        <v>#DIV/0!</v>
      </c>
      <c r="H76" s="355" t="e">
        <f t="shared" si="15"/>
        <v>#DIV/0!</v>
      </c>
      <c r="I76" s="355" t="e">
        <f t="shared" si="15"/>
        <v>#DIV/0!</v>
      </c>
      <c r="J76" s="355" t="e">
        <f t="shared" si="15"/>
        <v>#DIV/0!</v>
      </c>
      <c r="K76" s="355" t="e">
        <f t="shared" si="15"/>
        <v>#DIV/0!</v>
      </c>
      <c r="L76" s="355" t="e">
        <f t="shared" si="14"/>
        <v>#DIV/0!</v>
      </c>
      <c r="M76" s="355" t="e">
        <f t="shared" si="14"/>
        <v>#DIV/0!</v>
      </c>
      <c r="N76" s="355" t="e">
        <f t="shared" si="14"/>
        <v>#DIV/0!</v>
      </c>
      <c r="O76" s="355" t="e">
        <f t="shared" si="14"/>
        <v>#DIV/0!</v>
      </c>
      <c r="P76" s="355" t="e">
        <f t="shared" si="14"/>
        <v>#DIV/0!</v>
      </c>
      <c r="Q76" s="355" t="s">
        <v>102</v>
      </c>
      <c r="R76" s="301" t="e">
        <f t="shared" si="18"/>
        <v>#DIV/0!</v>
      </c>
      <c r="S76" s="301" t="e">
        <f t="shared" si="19"/>
        <v>#DIV/0!</v>
      </c>
      <c r="T76" s="301" t="e">
        <f t="shared" si="20"/>
        <v>#DIV/0!</v>
      </c>
      <c r="U76" s="301" t="e">
        <f t="shared" si="21"/>
        <v>#DIV/0!</v>
      </c>
      <c r="V76" s="301" t="e">
        <f t="shared" si="22"/>
        <v>#DIV/0!</v>
      </c>
      <c r="W76" s="301" t="e">
        <f t="shared" si="23"/>
        <v>#DIV/0!</v>
      </c>
      <c r="X76" s="304" t="s">
        <v>102</v>
      </c>
    </row>
    <row r="77" spans="1:24" ht="16.5">
      <c r="A77" s="321">
        <v>46096</v>
      </c>
      <c r="B77" s="290">
        <f t="shared" si="16"/>
        <v>0</v>
      </c>
      <c r="C77" s="379">
        <f t="shared" si="16"/>
        <v>0</v>
      </c>
      <c r="D77" s="475">
        <f t="shared" si="16"/>
        <v>0</v>
      </c>
      <c r="E77" s="372" t="e">
        <f t="shared" si="17"/>
        <v>#DIV/0!</v>
      </c>
      <c r="F77" s="354" t="e">
        <f t="shared" si="15"/>
        <v>#DIV/0!</v>
      </c>
      <c r="G77" s="355" t="e">
        <f t="shared" si="15"/>
        <v>#DIV/0!</v>
      </c>
      <c r="H77" s="355" t="e">
        <f t="shared" si="15"/>
        <v>#DIV/0!</v>
      </c>
      <c r="I77" s="355" t="e">
        <f t="shared" si="15"/>
        <v>#DIV/0!</v>
      </c>
      <c r="J77" s="355" t="e">
        <f t="shared" si="15"/>
        <v>#DIV/0!</v>
      </c>
      <c r="K77" s="355" t="e">
        <f t="shared" si="15"/>
        <v>#DIV/0!</v>
      </c>
      <c r="L77" s="355" t="e">
        <f t="shared" si="14"/>
        <v>#DIV/0!</v>
      </c>
      <c r="M77" s="355" t="e">
        <f t="shared" si="14"/>
        <v>#DIV/0!</v>
      </c>
      <c r="N77" s="355" t="e">
        <f t="shared" si="14"/>
        <v>#DIV/0!</v>
      </c>
      <c r="O77" s="355" t="e">
        <f t="shared" si="14"/>
        <v>#DIV/0!</v>
      </c>
      <c r="P77" s="355" t="s">
        <v>102</v>
      </c>
      <c r="Q77" s="355" t="s">
        <v>102</v>
      </c>
      <c r="R77" s="301" t="e">
        <f t="shared" si="18"/>
        <v>#DIV/0!</v>
      </c>
      <c r="S77" s="301" t="e">
        <f t="shared" si="19"/>
        <v>#DIV/0!</v>
      </c>
      <c r="T77" s="301" t="e">
        <f t="shared" si="20"/>
        <v>#DIV/0!</v>
      </c>
      <c r="U77" s="301" t="e">
        <f t="shared" si="21"/>
        <v>#DIV/0!</v>
      </c>
      <c r="V77" s="301" t="e">
        <f t="shared" si="22"/>
        <v>#DIV/0!</v>
      </c>
      <c r="W77" s="301" t="s">
        <v>102</v>
      </c>
      <c r="X77" s="304" t="s">
        <v>102</v>
      </c>
    </row>
    <row r="78" spans="1:24" ht="16.5">
      <c r="A78" s="321">
        <v>46097</v>
      </c>
      <c r="B78" s="290">
        <f t="shared" si="16"/>
        <v>0</v>
      </c>
      <c r="C78" s="379">
        <f t="shared" si="16"/>
        <v>0</v>
      </c>
      <c r="D78" s="475">
        <f t="shared" si="16"/>
        <v>0</v>
      </c>
      <c r="E78" s="372" t="e">
        <f t="shared" si="17"/>
        <v>#DIV/0!</v>
      </c>
      <c r="F78" s="354" t="e">
        <f t="shared" si="15"/>
        <v>#DIV/0!</v>
      </c>
      <c r="G78" s="355" t="e">
        <f t="shared" si="15"/>
        <v>#DIV/0!</v>
      </c>
      <c r="H78" s="355" t="e">
        <f t="shared" si="15"/>
        <v>#DIV/0!</v>
      </c>
      <c r="I78" s="355" t="e">
        <f t="shared" si="15"/>
        <v>#DIV/0!</v>
      </c>
      <c r="J78" s="355" t="e">
        <f t="shared" si="15"/>
        <v>#DIV/0!</v>
      </c>
      <c r="K78" s="355" t="e">
        <f t="shared" si="15"/>
        <v>#DIV/0!</v>
      </c>
      <c r="L78" s="355" t="e">
        <f t="shared" si="14"/>
        <v>#DIV/0!</v>
      </c>
      <c r="M78" s="355" t="e">
        <f t="shared" si="14"/>
        <v>#DIV/0!</v>
      </c>
      <c r="N78" s="355" t="e">
        <f t="shared" si="14"/>
        <v>#DIV/0!</v>
      </c>
      <c r="O78" s="355" t="e">
        <f t="shared" si="14"/>
        <v>#DIV/0!</v>
      </c>
      <c r="P78" s="355" t="s">
        <v>102</v>
      </c>
      <c r="Q78" s="355" t="s">
        <v>102</v>
      </c>
      <c r="R78" s="301" t="e">
        <f t="shared" si="18"/>
        <v>#DIV/0!</v>
      </c>
      <c r="S78" s="301" t="e">
        <f t="shared" si="19"/>
        <v>#DIV/0!</v>
      </c>
      <c r="T78" s="301" t="e">
        <f t="shared" si="20"/>
        <v>#DIV/0!</v>
      </c>
      <c r="U78" s="301" t="e">
        <f t="shared" si="21"/>
        <v>#DIV/0!</v>
      </c>
      <c r="V78" s="301" t="e">
        <f t="shared" si="22"/>
        <v>#DIV/0!</v>
      </c>
      <c r="W78" s="301" t="s">
        <v>102</v>
      </c>
      <c r="X78" s="304" t="s">
        <v>102</v>
      </c>
    </row>
    <row r="79" spans="1:24" ht="16.5">
      <c r="A79" s="321">
        <v>46098</v>
      </c>
      <c r="B79" s="290">
        <f t="shared" si="16"/>
        <v>0</v>
      </c>
      <c r="C79" s="379">
        <f t="shared" si="16"/>
        <v>0</v>
      </c>
      <c r="D79" s="475">
        <f t="shared" si="16"/>
        <v>0</v>
      </c>
      <c r="E79" s="372" t="e">
        <f t="shared" si="17"/>
        <v>#DIV/0!</v>
      </c>
      <c r="F79" s="354" t="e">
        <f t="shared" si="15"/>
        <v>#DIV/0!</v>
      </c>
      <c r="G79" s="355" t="e">
        <f t="shared" si="15"/>
        <v>#DIV/0!</v>
      </c>
      <c r="H79" s="355" t="e">
        <f t="shared" si="15"/>
        <v>#DIV/0!</v>
      </c>
      <c r="I79" s="355" t="e">
        <f t="shared" si="15"/>
        <v>#DIV/0!</v>
      </c>
      <c r="J79" s="355" t="e">
        <f t="shared" si="15"/>
        <v>#DIV/0!</v>
      </c>
      <c r="K79" s="355" t="e">
        <f t="shared" si="15"/>
        <v>#DIV/0!</v>
      </c>
      <c r="L79" s="355" t="e">
        <f t="shared" si="15"/>
        <v>#DIV/0!</v>
      </c>
      <c r="M79" s="355" t="e">
        <f t="shared" si="15"/>
        <v>#DIV/0!</v>
      </c>
      <c r="N79" s="355" t="e">
        <f t="shared" si="15"/>
        <v>#DIV/0!</v>
      </c>
      <c r="O79" s="355" t="e">
        <f t="shared" si="15"/>
        <v>#DIV/0!</v>
      </c>
      <c r="P79" s="355" t="s">
        <v>102</v>
      </c>
      <c r="Q79" s="355" t="s">
        <v>102</v>
      </c>
      <c r="R79" s="301" t="e">
        <f t="shared" si="18"/>
        <v>#DIV/0!</v>
      </c>
      <c r="S79" s="301" t="e">
        <f t="shared" si="19"/>
        <v>#DIV/0!</v>
      </c>
      <c r="T79" s="301" t="e">
        <f t="shared" si="20"/>
        <v>#DIV/0!</v>
      </c>
      <c r="U79" s="301" t="e">
        <f t="shared" si="21"/>
        <v>#DIV/0!</v>
      </c>
      <c r="V79" s="301" t="e">
        <f t="shared" si="22"/>
        <v>#DIV/0!</v>
      </c>
      <c r="W79" s="301" t="s">
        <v>102</v>
      </c>
      <c r="X79" s="304" t="s">
        <v>102</v>
      </c>
    </row>
    <row r="80" spans="1:24" ht="17.25" thickBot="1">
      <c r="A80" s="321">
        <v>46099</v>
      </c>
      <c r="B80" s="290">
        <f t="shared" si="16"/>
        <v>0</v>
      </c>
      <c r="C80" s="379">
        <f t="shared" si="16"/>
        <v>0</v>
      </c>
      <c r="D80" s="475">
        <f t="shared" si="16"/>
        <v>0</v>
      </c>
      <c r="E80" s="372" t="e">
        <f t="shared" si="17"/>
        <v>#DIV/0!</v>
      </c>
      <c r="F80" s="323" t="e">
        <f t="shared" si="15"/>
        <v>#DIV/0!</v>
      </c>
      <c r="G80" s="324" t="e">
        <f t="shared" si="15"/>
        <v>#DIV/0!</v>
      </c>
      <c r="H80" s="324" t="e">
        <f t="shared" si="15"/>
        <v>#DIV/0!</v>
      </c>
      <c r="I80" s="324" t="e">
        <f t="shared" si="15"/>
        <v>#DIV/0!</v>
      </c>
      <c r="J80" s="324" t="e">
        <f t="shared" si="15"/>
        <v>#DIV/0!</v>
      </c>
      <c r="K80" s="324" t="e">
        <f t="shared" si="15"/>
        <v>#DIV/0!</v>
      </c>
      <c r="L80" s="324" t="e">
        <f t="shared" si="15"/>
        <v>#DIV/0!</v>
      </c>
      <c r="M80" s="355" t="e">
        <f t="shared" si="15"/>
        <v>#DIV/0!</v>
      </c>
      <c r="N80" s="355" t="e">
        <f t="shared" si="15"/>
        <v>#DIV/0!</v>
      </c>
      <c r="O80" s="355" t="e">
        <f t="shared" si="15"/>
        <v>#DIV/0!</v>
      </c>
      <c r="P80" s="324" t="s">
        <v>102</v>
      </c>
      <c r="Q80" s="324" t="s">
        <v>102</v>
      </c>
      <c r="R80" s="307" t="e">
        <f t="shared" si="18"/>
        <v>#DIV/0!</v>
      </c>
      <c r="S80" s="307" t="e">
        <f t="shared" si="19"/>
        <v>#DIV/0!</v>
      </c>
      <c r="T80" s="307" t="e">
        <f t="shared" si="20"/>
        <v>#DIV/0!</v>
      </c>
      <c r="U80" s="307" t="e">
        <f t="shared" si="21"/>
        <v>#DIV/0!</v>
      </c>
      <c r="V80" s="307" t="e">
        <f t="shared" si="22"/>
        <v>#DIV/0!</v>
      </c>
      <c r="W80" s="307" t="s">
        <v>102</v>
      </c>
      <c r="X80" s="309" t="s">
        <v>102</v>
      </c>
    </row>
    <row r="81" spans="1:24" ht="16.5">
      <c r="A81" s="111">
        <v>46100</v>
      </c>
      <c r="B81" s="278">
        <f t="shared" si="16"/>
        <v>0</v>
      </c>
      <c r="C81" s="465">
        <f t="shared" si="16"/>
        <v>0</v>
      </c>
      <c r="D81" s="470">
        <f t="shared" si="16"/>
        <v>0</v>
      </c>
      <c r="E81" s="313" t="e">
        <f t="shared" si="17"/>
        <v>#DIV/0!</v>
      </c>
      <c r="F81" s="355" t="e">
        <f t="shared" si="15"/>
        <v>#DIV/0!</v>
      </c>
      <c r="G81" s="355" t="e">
        <f t="shared" si="15"/>
        <v>#DIV/0!</v>
      </c>
      <c r="H81" s="355" t="e">
        <f t="shared" si="15"/>
        <v>#DIV/0!</v>
      </c>
      <c r="I81" s="355" t="e">
        <f t="shared" si="15"/>
        <v>#DIV/0!</v>
      </c>
      <c r="J81" s="355" t="e">
        <f t="shared" si="15"/>
        <v>#DIV/0!</v>
      </c>
      <c r="K81" s="355" t="e">
        <f t="shared" si="15"/>
        <v>#DIV/0!</v>
      </c>
      <c r="L81" s="355" t="e">
        <f t="shared" si="15"/>
        <v>#DIV/0!</v>
      </c>
      <c r="M81" s="355" t="e">
        <f t="shared" si="15"/>
        <v>#DIV/0!</v>
      </c>
      <c r="N81" s="355" t="e">
        <f t="shared" si="15"/>
        <v>#DIV/0!</v>
      </c>
      <c r="O81" s="355" t="e">
        <f t="shared" si="15"/>
        <v>#DIV/0!</v>
      </c>
      <c r="P81" s="355" t="s">
        <v>102</v>
      </c>
      <c r="Q81" s="355" t="s">
        <v>102</v>
      </c>
      <c r="R81" s="301" t="e">
        <f t="shared" si="18"/>
        <v>#DIV/0!</v>
      </c>
      <c r="S81" s="301" t="e">
        <f t="shared" si="19"/>
        <v>#DIV/0!</v>
      </c>
      <c r="T81" s="301" t="e">
        <f t="shared" si="20"/>
        <v>#DIV/0!</v>
      </c>
      <c r="U81" s="301" t="e">
        <f t="shared" si="21"/>
        <v>#DIV/0!</v>
      </c>
      <c r="V81" s="301" t="e">
        <f t="shared" si="22"/>
        <v>#DIV/0!</v>
      </c>
      <c r="W81" s="301" t="s">
        <v>102</v>
      </c>
      <c r="X81" s="304" t="s">
        <v>102</v>
      </c>
    </row>
    <row r="82" spans="1:24" ht="16.5">
      <c r="A82" s="312">
        <v>46101</v>
      </c>
      <c r="B82" s="290">
        <f t="shared" si="16"/>
        <v>0</v>
      </c>
      <c r="C82" s="379">
        <f t="shared" si="16"/>
        <v>0</v>
      </c>
      <c r="D82" s="475">
        <f t="shared" si="16"/>
        <v>0</v>
      </c>
      <c r="E82" s="314" t="e">
        <f t="shared" si="17"/>
        <v>#DIV/0!</v>
      </c>
      <c r="F82" s="355" t="e">
        <f t="shared" si="15"/>
        <v>#DIV/0!</v>
      </c>
      <c r="G82" s="355" t="e">
        <f t="shared" si="15"/>
        <v>#DIV/0!</v>
      </c>
      <c r="H82" s="355" t="e">
        <f t="shared" si="15"/>
        <v>#DIV/0!</v>
      </c>
      <c r="I82" s="355" t="e">
        <f t="shared" si="15"/>
        <v>#DIV/0!</v>
      </c>
      <c r="J82" s="355" t="e">
        <f t="shared" si="15"/>
        <v>#DIV/0!</v>
      </c>
      <c r="K82" s="355" t="e">
        <f t="shared" si="15"/>
        <v>#DIV/0!</v>
      </c>
      <c r="L82" s="355" t="e">
        <f t="shared" si="15"/>
        <v>#DIV/0!</v>
      </c>
      <c r="M82" s="355" t="e">
        <f t="shared" si="15"/>
        <v>#DIV/0!</v>
      </c>
      <c r="N82" s="355" t="e">
        <f t="shared" si="15"/>
        <v>#DIV/0!</v>
      </c>
      <c r="O82" s="355" t="e">
        <f t="shared" si="15"/>
        <v>#DIV/0!</v>
      </c>
      <c r="P82" s="355" t="s">
        <v>102</v>
      </c>
      <c r="Q82" s="355" t="s">
        <v>102</v>
      </c>
      <c r="R82" s="301" t="e">
        <f t="shared" si="18"/>
        <v>#DIV/0!</v>
      </c>
      <c r="S82" s="301" t="e">
        <f t="shared" si="19"/>
        <v>#DIV/0!</v>
      </c>
      <c r="T82" s="301" t="e">
        <f t="shared" si="20"/>
        <v>#DIV/0!</v>
      </c>
      <c r="U82" s="301" t="e">
        <f t="shared" si="21"/>
        <v>#DIV/0!</v>
      </c>
      <c r="V82" s="301" t="e">
        <f t="shared" si="22"/>
        <v>#DIV/0!</v>
      </c>
      <c r="W82" s="301" t="s">
        <v>102</v>
      </c>
      <c r="X82" s="304" t="s">
        <v>102</v>
      </c>
    </row>
    <row r="83" spans="1:24" ht="16.5">
      <c r="A83" s="312">
        <v>46102</v>
      </c>
      <c r="B83" s="290">
        <f t="shared" si="16"/>
        <v>0</v>
      </c>
      <c r="C83" s="475">
        <f t="shared" si="16"/>
        <v>0</v>
      </c>
      <c r="D83" s="475">
        <f t="shared" si="16"/>
        <v>0</v>
      </c>
      <c r="E83" s="314" t="e">
        <f t="shared" si="17"/>
        <v>#DIV/0!</v>
      </c>
      <c r="F83" s="355" t="e">
        <f t="shared" si="15"/>
        <v>#DIV/0!</v>
      </c>
      <c r="G83" s="355" t="e">
        <f t="shared" si="15"/>
        <v>#DIV/0!</v>
      </c>
      <c r="H83" s="355" t="e">
        <f t="shared" si="15"/>
        <v>#DIV/0!</v>
      </c>
      <c r="I83" s="355" t="e">
        <f t="shared" si="15"/>
        <v>#DIV/0!</v>
      </c>
      <c r="J83" s="355" t="e">
        <f t="shared" si="15"/>
        <v>#DIV/0!</v>
      </c>
      <c r="K83" s="355" t="e">
        <f t="shared" si="15"/>
        <v>#DIV/0!</v>
      </c>
      <c r="L83" s="355" t="e">
        <f t="shared" si="15"/>
        <v>#DIV/0!</v>
      </c>
      <c r="M83" s="355" t="e">
        <f t="shared" si="15"/>
        <v>#DIV/0!</v>
      </c>
      <c r="N83" s="355" t="e">
        <f t="shared" si="15"/>
        <v>#DIV/0!</v>
      </c>
      <c r="O83" s="355" t="e">
        <f t="shared" si="15"/>
        <v>#DIV/0!</v>
      </c>
      <c r="P83" s="355" t="s">
        <v>102</v>
      </c>
      <c r="Q83" s="355" t="s">
        <v>102</v>
      </c>
      <c r="R83" s="301" t="e">
        <f t="shared" si="18"/>
        <v>#DIV/0!</v>
      </c>
      <c r="S83" s="301" t="e">
        <f t="shared" si="19"/>
        <v>#DIV/0!</v>
      </c>
      <c r="T83" s="301" t="e">
        <f t="shared" si="20"/>
        <v>#DIV/0!</v>
      </c>
      <c r="U83" s="301" t="e">
        <f t="shared" si="21"/>
        <v>#DIV/0!</v>
      </c>
      <c r="V83" s="301" t="e">
        <f t="shared" si="22"/>
        <v>#DIV/0!</v>
      </c>
      <c r="W83" s="301" t="s">
        <v>102</v>
      </c>
      <c r="X83" s="304" t="s">
        <v>102</v>
      </c>
    </row>
    <row r="84" spans="1:24" ht="16.5">
      <c r="A84" s="312">
        <v>46103</v>
      </c>
      <c r="B84" s="290">
        <f t="shared" si="16"/>
        <v>0</v>
      </c>
      <c r="C84" s="475">
        <f t="shared" si="16"/>
        <v>0</v>
      </c>
      <c r="D84" s="475">
        <f t="shared" si="16"/>
        <v>0</v>
      </c>
      <c r="E84" s="314" t="e">
        <f t="shared" si="17"/>
        <v>#DIV/0!</v>
      </c>
      <c r="F84" s="355" t="e">
        <f t="shared" ref="F84:O99" si="24">(AF84*$AC84+BF84*$BC84)/$C84</f>
        <v>#DIV/0!</v>
      </c>
      <c r="G84" s="355" t="e">
        <f t="shared" si="24"/>
        <v>#DIV/0!</v>
      </c>
      <c r="H84" s="355" t="e">
        <f t="shared" si="24"/>
        <v>#DIV/0!</v>
      </c>
      <c r="I84" s="355" t="e">
        <f t="shared" si="24"/>
        <v>#DIV/0!</v>
      </c>
      <c r="J84" s="355" t="e">
        <f t="shared" si="24"/>
        <v>#DIV/0!</v>
      </c>
      <c r="K84" s="355" t="e">
        <f t="shared" si="24"/>
        <v>#DIV/0!</v>
      </c>
      <c r="L84" s="355" t="e">
        <f t="shared" si="24"/>
        <v>#DIV/0!</v>
      </c>
      <c r="M84" s="355" t="e">
        <f t="shared" si="24"/>
        <v>#DIV/0!</v>
      </c>
      <c r="N84" s="355" t="e">
        <f t="shared" si="24"/>
        <v>#DIV/0!</v>
      </c>
      <c r="O84" s="355" t="e">
        <f t="shared" si="24"/>
        <v>#DIV/0!</v>
      </c>
      <c r="P84" s="355" t="s">
        <v>102</v>
      </c>
      <c r="Q84" s="355" t="s">
        <v>102</v>
      </c>
      <c r="R84" s="301" t="e">
        <f t="shared" si="18"/>
        <v>#DIV/0!</v>
      </c>
      <c r="S84" s="301" t="e">
        <f t="shared" si="19"/>
        <v>#DIV/0!</v>
      </c>
      <c r="T84" s="301" t="e">
        <f t="shared" si="20"/>
        <v>#DIV/0!</v>
      </c>
      <c r="U84" s="301" t="e">
        <f t="shared" si="21"/>
        <v>#DIV/0!</v>
      </c>
      <c r="V84" s="301" t="e">
        <f t="shared" si="22"/>
        <v>#DIV/0!</v>
      </c>
      <c r="W84" s="301" t="s">
        <v>102</v>
      </c>
      <c r="X84" s="304" t="s">
        <v>102</v>
      </c>
    </row>
    <row r="85" spans="1:24" ht="16.5">
      <c r="A85" s="254">
        <v>46104</v>
      </c>
      <c r="B85" s="290">
        <f t="shared" si="16"/>
        <v>0</v>
      </c>
      <c r="C85" s="379">
        <f t="shared" si="16"/>
        <v>0</v>
      </c>
      <c r="D85" s="475">
        <f t="shared" si="16"/>
        <v>0</v>
      </c>
      <c r="E85" s="314" t="e">
        <f t="shared" si="17"/>
        <v>#DIV/0!</v>
      </c>
      <c r="F85" s="355" t="e">
        <f t="shared" si="24"/>
        <v>#DIV/0!</v>
      </c>
      <c r="G85" s="355" t="e">
        <f t="shared" si="24"/>
        <v>#DIV/0!</v>
      </c>
      <c r="H85" s="355" t="e">
        <f t="shared" si="24"/>
        <v>#DIV/0!</v>
      </c>
      <c r="I85" s="355" t="e">
        <f t="shared" si="24"/>
        <v>#DIV/0!</v>
      </c>
      <c r="J85" s="355" t="e">
        <f t="shared" si="24"/>
        <v>#DIV/0!</v>
      </c>
      <c r="K85" s="355" t="e">
        <f t="shared" si="24"/>
        <v>#DIV/0!</v>
      </c>
      <c r="L85" s="355" t="e">
        <f t="shared" si="24"/>
        <v>#DIV/0!</v>
      </c>
      <c r="M85" s="355" t="e">
        <f t="shared" si="24"/>
        <v>#DIV/0!</v>
      </c>
      <c r="N85" s="355" t="e">
        <f t="shared" si="24"/>
        <v>#DIV/0!</v>
      </c>
      <c r="O85" s="355" t="e">
        <f t="shared" si="24"/>
        <v>#DIV/0!</v>
      </c>
      <c r="P85" s="355" t="s">
        <v>102</v>
      </c>
      <c r="Q85" s="355" t="s">
        <v>102</v>
      </c>
      <c r="R85" s="301" t="e">
        <f t="shared" si="18"/>
        <v>#DIV/0!</v>
      </c>
      <c r="S85" s="301" t="e">
        <f t="shared" si="19"/>
        <v>#DIV/0!</v>
      </c>
      <c r="T85" s="301" t="e">
        <f t="shared" si="20"/>
        <v>#DIV/0!</v>
      </c>
      <c r="U85" s="301" t="e">
        <f t="shared" si="21"/>
        <v>#DIV/0!</v>
      </c>
      <c r="V85" s="301" t="e">
        <f t="shared" si="22"/>
        <v>#DIV/0!</v>
      </c>
      <c r="W85" s="301" t="s">
        <v>102</v>
      </c>
      <c r="X85" s="304" t="s">
        <v>102</v>
      </c>
    </row>
    <row r="86" spans="1:24" ht="16.5">
      <c r="A86" s="271">
        <v>46105</v>
      </c>
      <c r="B86" s="290">
        <f t="shared" si="16"/>
        <v>0</v>
      </c>
      <c r="C86" s="379">
        <f t="shared" si="16"/>
        <v>0</v>
      </c>
      <c r="D86" s="475">
        <f t="shared" si="16"/>
        <v>0</v>
      </c>
      <c r="E86" s="314" t="e">
        <f t="shared" si="17"/>
        <v>#DIV/0!</v>
      </c>
      <c r="F86" s="355" t="e">
        <f t="shared" si="24"/>
        <v>#DIV/0!</v>
      </c>
      <c r="G86" s="355" t="e">
        <f t="shared" si="24"/>
        <v>#DIV/0!</v>
      </c>
      <c r="H86" s="355" t="e">
        <f t="shared" si="24"/>
        <v>#DIV/0!</v>
      </c>
      <c r="I86" s="355" t="e">
        <f t="shared" si="24"/>
        <v>#DIV/0!</v>
      </c>
      <c r="J86" s="355" t="e">
        <f t="shared" si="24"/>
        <v>#DIV/0!</v>
      </c>
      <c r="K86" s="355" t="e">
        <f t="shared" si="24"/>
        <v>#DIV/0!</v>
      </c>
      <c r="L86" s="355" t="e">
        <f t="shared" si="24"/>
        <v>#DIV/0!</v>
      </c>
      <c r="M86" s="355" t="e">
        <f t="shared" si="24"/>
        <v>#DIV/0!</v>
      </c>
      <c r="N86" s="355" t="e">
        <f t="shared" si="24"/>
        <v>#DIV/0!</v>
      </c>
      <c r="O86" s="355" t="e">
        <f t="shared" si="24"/>
        <v>#DIV/0!</v>
      </c>
      <c r="P86" s="355" t="s">
        <v>102</v>
      </c>
      <c r="Q86" s="355" t="s">
        <v>102</v>
      </c>
      <c r="R86" s="301" t="e">
        <f t="shared" si="18"/>
        <v>#DIV/0!</v>
      </c>
      <c r="S86" s="301" t="e">
        <f t="shared" si="19"/>
        <v>#DIV/0!</v>
      </c>
      <c r="T86" s="301" t="e">
        <f t="shared" si="20"/>
        <v>#DIV/0!</v>
      </c>
      <c r="U86" s="301" t="e">
        <f t="shared" si="21"/>
        <v>#DIV/0!</v>
      </c>
      <c r="V86" s="301" t="e">
        <f t="shared" si="22"/>
        <v>#DIV/0!</v>
      </c>
      <c r="W86" s="301" t="s">
        <v>102</v>
      </c>
      <c r="X86" s="304" t="s">
        <v>102</v>
      </c>
    </row>
    <row r="87" spans="1:24" ht="16.5">
      <c r="A87" s="271">
        <v>46106</v>
      </c>
      <c r="B87" s="290">
        <f t="shared" si="16"/>
        <v>0</v>
      </c>
      <c r="C87" s="379">
        <f t="shared" si="16"/>
        <v>0</v>
      </c>
      <c r="D87" s="475">
        <f t="shared" si="16"/>
        <v>0</v>
      </c>
      <c r="E87" s="314" t="e">
        <f t="shared" si="17"/>
        <v>#DIV/0!</v>
      </c>
      <c r="F87" s="355" t="e">
        <f t="shared" si="24"/>
        <v>#DIV/0!</v>
      </c>
      <c r="G87" s="355" t="e">
        <f t="shared" si="24"/>
        <v>#DIV/0!</v>
      </c>
      <c r="H87" s="355" t="e">
        <f t="shared" si="24"/>
        <v>#DIV/0!</v>
      </c>
      <c r="I87" s="355" t="e">
        <f t="shared" si="24"/>
        <v>#DIV/0!</v>
      </c>
      <c r="J87" s="355" t="e">
        <f t="shared" si="24"/>
        <v>#DIV/0!</v>
      </c>
      <c r="K87" s="355" t="e">
        <f t="shared" si="24"/>
        <v>#DIV/0!</v>
      </c>
      <c r="L87" s="355" t="e">
        <f t="shared" si="24"/>
        <v>#DIV/0!</v>
      </c>
      <c r="M87" s="355" t="e">
        <f t="shared" si="24"/>
        <v>#DIV/0!</v>
      </c>
      <c r="N87" s="355" t="e">
        <f t="shared" si="24"/>
        <v>#DIV/0!</v>
      </c>
      <c r="O87" s="355" t="e">
        <f t="shared" si="24"/>
        <v>#DIV/0!</v>
      </c>
      <c r="P87" s="355" t="s">
        <v>102</v>
      </c>
      <c r="Q87" s="355" t="s">
        <v>102</v>
      </c>
      <c r="R87" s="301" t="e">
        <f t="shared" si="18"/>
        <v>#DIV/0!</v>
      </c>
      <c r="S87" s="301" t="e">
        <f t="shared" si="19"/>
        <v>#DIV/0!</v>
      </c>
      <c r="T87" s="301" t="e">
        <f t="shared" si="20"/>
        <v>#DIV/0!</v>
      </c>
      <c r="U87" s="301" t="e">
        <f t="shared" si="21"/>
        <v>#DIV/0!</v>
      </c>
      <c r="V87" s="301" t="e">
        <f t="shared" si="22"/>
        <v>#DIV/0!</v>
      </c>
      <c r="W87" s="301" t="s">
        <v>102</v>
      </c>
      <c r="X87" s="304" t="s">
        <v>102</v>
      </c>
    </row>
    <row r="88" spans="1:24" ht="16.5">
      <c r="A88" s="312">
        <v>46107</v>
      </c>
      <c r="B88" s="290">
        <f t="shared" si="16"/>
        <v>0</v>
      </c>
      <c r="C88" s="475">
        <f t="shared" si="16"/>
        <v>0</v>
      </c>
      <c r="D88" s="475">
        <f t="shared" si="16"/>
        <v>0</v>
      </c>
      <c r="E88" s="314" t="e">
        <f t="shared" si="17"/>
        <v>#DIV/0!</v>
      </c>
      <c r="F88" s="355" t="e">
        <f t="shared" si="24"/>
        <v>#DIV/0!</v>
      </c>
      <c r="G88" s="355" t="e">
        <f t="shared" si="24"/>
        <v>#DIV/0!</v>
      </c>
      <c r="H88" s="355" t="e">
        <f t="shared" si="24"/>
        <v>#DIV/0!</v>
      </c>
      <c r="I88" s="355" t="e">
        <f t="shared" si="24"/>
        <v>#DIV/0!</v>
      </c>
      <c r="J88" s="355" t="e">
        <f t="shared" si="24"/>
        <v>#DIV/0!</v>
      </c>
      <c r="K88" s="355" t="e">
        <f t="shared" si="24"/>
        <v>#DIV/0!</v>
      </c>
      <c r="L88" s="355" t="e">
        <f t="shared" si="24"/>
        <v>#DIV/0!</v>
      </c>
      <c r="M88" s="355" t="e">
        <f t="shared" si="24"/>
        <v>#DIV/0!</v>
      </c>
      <c r="N88" s="355" t="e">
        <f t="shared" si="24"/>
        <v>#DIV/0!</v>
      </c>
      <c r="O88" s="355" t="e">
        <f t="shared" si="24"/>
        <v>#DIV/0!</v>
      </c>
      <c r="P88" s="355" t="s">
        <v>102</v>
      </c>
      <c r="Q88" s="355" t="s">
        <v>102</v>
      </c>
      <c r="R88" s="301" t="e">
        <f t="shared" si="18"/>
        <v>#DIV/0!</v>
      </c>
      <c r="S88" s="301" t="e">
        <f t="shared" si="19"/>
        <v>#DIV/0!</v>
      </c>
      <c r="T88" s="301" t="e">
        <f t="shared" si="20"/>
        <v>#DIV/0!</v>
      </c>
      <c r="U88" s="301" t="e">
        <f t="shared" si="21"/>
        <v>#DIV/0!</v>
      </c>
      <c r="V88" s="301" t="e">
        <f t="shared" si="22"/>
        <v>#DIV/0!</v>
      </c>
      <c r="W88" s="301" t="s">
        <v>102</v>
      </c>
      <c r="X88" s="304" t="s">
        <v>102</v>
      </c>
    </row>
    <row r="89" spans="1:24" ht="16.5">
      <c r="A89" s="312">
        <v>46108</v>
      </c>
      <c r="B89" s="290">
        <f t="shared" si="16"/>
        <v>0</v>
      </c>
      <c r="C89" s="475">
        <f t="shared" si="16"/>
        <v>0</v>
      </c>
      <c r="D89" s="475">
        <f t="shared" si="16"/>
        <v>0</v>
      </c>
      <c r="E89" s="314" t="e">
        <f t="shared" si="17"/>
        <v>#DIV/0!</v>
      </c>
      <c r="F89" s="355" t="e">
        <f t="shared" si="24"/>
        <v>#DIV/0!</v>
      </c>
      <c r="G89" s="355" t="e">
        <f t="shared" si="24"/>
        <v>#DIV/0!</v>
      </c>
      <c r="H89" s="355" t="e">
        <f t="shared" si="24"/>
        <v>#DIV/0!</v>
      </c>
      <c r="I89" s="355" t="e">
        <f t="shared" si="24"/>
        <v>#DIV/0!</v>
      </c>
      <c r="J89" s="355" t="e">
        <f t="shared" si="24"/>
        <v>#DIV/0!</v>
      </c>
      <c r="K89" s="355" t="e">
        <f t="shared" si="24"/>
        <v>#DIV/0!</v>
      </c>
      <c r="L89" s="355" t="e">
        <f t="shared" si="24"/>
        <v>#DIV/0!</v>
      </c>
      <c r="M89" s="355" t="e">
        <f t="shared" si="24"/>
        <v>#DIV/0!</v>
      </c>
      <c r="N89" s="355" t="e">
        <f t="shared" si="24"/>
        <v>#DIV/0!</v>
      </c>
      <c r="O89" s="355" t="e">
        <f t="shared" si="24"/>
        <v>#DIV/0!</v>
      </c>
      <c r="P89" s="355" t="s">
        <v>102</v>
      </c>
      <c r="Q89" s="355" t="s">
        <v>102</v>
      </c>
      <c r="R89" s="301" t="e">
        <f t="shared" si="18"/>
        <v>#DIV/0!</v>
      </c>
      <c r="S89" s="301" t="e">
        <f t="shared" si="19"/>
        <v>#DIV/0!</v>
      </c>
      <c r="T89" s="301" t="e">
        <f t="shared" si="20"/>
        <v>#DIV/0!</v>
      </c>
      <c r="U89" s="301" t="e">
        <f t="shared" si="21"/>
        <v>#DIV/0!</v>
      </c>
      <c r="V89" s="301" t="e">
        <f t="shared" si="22"/>
        <v>#DIV/0!</v>
      </c>
      <c r="W89" s="301" t="s">
        <v>102</v>
      </c>
      <c r="X89" s="304" t="s">
        <v>102</v>
      </c>
    </row>
    <row r="90" spans="1:24" ht="16.5">
      <c r="A90" s="312">
        <v>46109</v>
      </c>
      <c r="B90" s="290">
        <f t="shared" si="16"/>
        <v>0</v>
      </c>
      <c r="C90" s="475">
        <f t="shared" si="16"/>
        <v>0</v>
      </c>
      <c r="D90" s="475">
        <f t="shared" si="16"/>
        <v>0</v>
      </c>
      <c r="E90" s="314" t="e">
        <f t="shared" si="17"/>
        <v>#DIV/0!</v>
      </c>
      <c r="F90" s="355" t="e">
        <f t="shared" si="24"/>
        <v>#DIV/0!</v>
      </c>
      <c r="G90" s="355" t="e">
        <f t="shared" si="24"/>
        <v>#DIV/0!</v>
      </c>
      <c r="H90" s="355" t="e">
        <f t="shared" si="24"/>
        <v>#DIV/0!</v>
      </c>
      <c r="I90" s="355" t="e">
        <f t="shared" si="24"/>
        <v>#DIV/0!</v>
      </c>
      <c r="J90" s="355" t="e">
        <f t="shared" si="24"/>
        <v>#DIV/0!</v>
      </c>
      <c r="K90" s="355" t="e">
        <f t="shared" si="24"/>
        <v>#DIV/0!</v>
      </c>
      <c r="L90" s="355" t="e">
        <f t="shared" si="24"/>
        <v>#DIV/0!</v>
      </c>
      <c r="M90" s="355" t="e">
        <f t="shared" si="24"/>
        <v>#DIV/0!</v>
      </c>
      <c r="N90" s="355" t="e">
        <f t="shared" si="24"/>
        <v>#DIV/0!</v>
      </c>
      <c r="O90" s="355" t="e">
        <f t="shared" si="24"/>
        <v>#DIV/0!</v>
      </c>
      <c r="P90" s="355" t="s">
        <v>102</v>
      </c>
      <c r="Q90" s="355" t="s">
        <v>102</v>
      </c>
      <c r="R90" s="301" t="e">
        <f t="shared" si="18"/>
        <v>#DIV/0!</v>
      </c>
      <c r="S90" s="301" t="e">
        <f t="shared" si="19"/>
        <v>#DIV/0!</v>
      </c>
      <c r="T90" s="301" t="e">
        <f t="shared" si="20"/>
        <v>#DIV/0!</v>
      </c>
      <c r="U90" s="301" t="e">
        <f t="shared" si="21"/>
        <v>#DIV/0!</v>
      </c>
      <c r="V90" s="301" t="e">
        <f t="shared" si="22"/>
        <v>#DIV/0!</v>
      </c>
      <c r="W90" s="301" t="s">
        <v>102</v>
      </c>
      <c r="X90" s="304" t="s">
        <v>102</v>
      </c>
    </row>
    <row r="91" spans="1:24" ht="16.5">
      <c r="A91" s="322">
        <v>46110</v>
      </c>
      <c r="B91" s="290">
        <f t="shared" si="16"/>
        <v>0</v>
      </c>
      <c r="C91" s="379">
        <f t="shared" si="16"/>
        <v>0</v>
      </c>
      <c r="D91" s="475">
        <f t="shared" si="16"/>
        <v>0</v>
      </c>
      <c r="E91" s="314" t="e">
        <f t="shared" si="17"/>
        <v>#DIV/0!</v>
      </c>
      <c r="F91" s="355" t="e">
        <f t="shared" si="24"/>
        <v>#DIV/0!</v>
      </c>
      <c r="G91" s="355" t="e">
        <f t="shared" si="24"/>
        <v>#DIV/0!</v>
      </c>
      <c r="H91" s="355" t="e">
        <f t="shared" si="24"/>
        <v>#DIV/0!</v>
      </c>
      <c r="I91" s="355" t="e">
        <f t="shared" si="24"/>
        <v>#DIV/0!</v>
      </c>
      <c r="J91" s="355" t="e">
        <f t="shared" si="24"/>
        <v>#DIV/0!</v>
      </c>
      <c r="K91" s="355" t="e">
        <f t="shared" si="24"/>
        <v>#DIV/0!</v>
      </c>
      <c r="L91" s="355" t="e">
        <f t="shared" si="24"/>
        <v>#DIV/0!</v>
      </c>
      <c r="M91" s="355" t="e">
        <f t="shared" si="24"/>
        <v>#DIV/0!</v>
      </c>
      <c r="N91" s="355" t="e">
        <f t="shared" si="24"/>
        <v>#DIV/0!</v>
      </c>
      <c r="O91" s="355" t="e">
        <f t="shared" si="24"/>
        <v>#DIV/0!</v>
      </c>
      <c r="P91" s="355" t="s">
        <v>102</v>
      </c>
      <c r="Q91" s="355" t="s">
        <v>102</v>
      </c>
      <c r="R91" s="301" t="e">
        <f t="shared" si="18"/>
        <v>#DIV/0!</v>
      </c>
      <c r="S91" s="301" t="e">
        <f t="shared" si="19"/>
        <v>#DIV/0!</v>
      </c>
      <c r="T91" s="301" t="e">
        <f t="shared" si="20"/>
        <v>#DIV/0!</v>
      </c>
      <c r="U91" s="301" t="e">
        <f t="shared" si="21"/>
        <v>#DIV/0!</v>
      </c>
      <c r="V91" s="301" t="e">
        <f t="shared" si="22"/>
        <v>#DIV/0!</v>
      </c>
      <c r="W91" s="301" t="s">
        <v>102</v>
      </c>
      <c r="X91" s="304" t="s">
        <v>102</v>
      </c>
    </row>
    <row r="92" spans="1:24" ht="16.5">
      <c r="A92" s="322">
        <v>46111</v>
      </c>
      <c r="B92" s="290">
        <f t="shared" si="16"/>
        <v>0</v>
      </c>
      <c r="C92" s="475">
        <f t="shared" si="16"/>
        <v>0</v>
      </c>
      <c r="D92" s="475">
        <f t="shared" si="16"/>
        <v>0</v>
      </c>
      <c r="E92" s="314" t="e">
        <f t="shared" si="17"/>
        <v>#DIV/0!</v>
      </c>
      <c r="F92" s="355" t="e">
        <f t="shared" si="24"/>
        <v>#DIV/0!</v>
      </c>
      <c r="G92" s="355" t="e">
        <f t="shared" si="24"/>
        <v>#DIV/0!</v>
      </c>
      <c r="H92" s="355" t="e">
        <f t="shared" si="24"/>
        <v>#DIV/0!</v>
      </c>
      <c r="I92" s="355" t="e">
        <f t="shared" si="24"/>
        <v>#DIV/0!</v>
      </c>
      <c r="J92" s="355" t="e">
        <f t="shared" si="24"/>
        <v>#DIV/0!</v>
      </c>
      <c r="K92" s="355" t="e">
        <f t="shared" si="24"/>
        <v>#DIV/0!</v>
      </c>
      <c r="L92" s="355" t="e">
        <f t="shared" si="24"/>
        <v>#DIV/0!</v>
      </c>
      <c r="M92" s="355" t="e">
        <f t="shared" si="24"/>
        <v>#DIV/0!</v>
      </c>
      <c r="N92" s="355" t="e">
        <f t="shared" si="24"/>
        <v>#DIV/0!</v>
      </c>
      <c r="O92" s="355" t="s">
        <v>102</v>
      </c>
      <c r="P92" s="355" t="s">
        <v>102</v>
      </c>
      <c r="Q92" s="355" t="s">
        <v>102</v>
      </c>
      <c r="R92" s="301" t="e">
        <f t="shared" si="18"/>
        <v>#DIV/0!</v>
      </c>
      <c r="S92" s="301" t="e">
        <f t="shared" si="19"/>
        <v>#DIV/0!</v>
      </c>
      <c r="T92" s="301" t="e">
        <f t="shared" si="20"/>
        <v>#DIV/0!</v>
      </c>
      <c r="U92" s="301" t="e">
        <f t="shared" si="21"/>
        <v>#DIV/0!</v>
      </c>
      <c r="V92" s="301" t="s">
        <v>102</v>
      </c>
      <c r="W92" s="301" t="s">
        <v>102</v>
      </c>
      <c r="X92" s="304" t="s">
        <v>102</v>
      </c>
    </row>
    <row r="93" spans="1:24" ht="16.5">
      <c r="A93" s="322">
        <v>46112</v>
      </c>
      <c r="B93" s="290">
        <f t="shared" si="16"/>
        <v>0</v>
      </c>
      <c r="C93" s="475">
        <f t="shared" si="16"/>
        <v>0</v>
      </c>
      <c r="D93" s="475">
        <f t="shared" si="16"/>
        <v>0</v>
      </c>
      <c r="E93" s="314" t="e">
        <f t="shared" si="17"/>
        <v>#DIV/0!</v>
      </c>
      <c r="F93" s="355" t="e">
        <f t="shared" si="24"/>
        <v>#DIV/0!</v>
      </c>
      <c r="G93" s="355" t="e">
        <f t="shared" si="24"/>
        <v>#DIV/0!</v>
      </c>
      <c r="H93" s="355" t="e">
        <f t="shared" si="24"/>
        <v>#DIV/0!</v>
      </c>
      <c r="I93" s="355" t="e">
        <f t="shared" si="24"/>
        <v>#DIV/0!</v>
      </c>
      <c r="J93" s="355" t="e">
        <f t="shared" si="24"/>
        <v>#DIV/0!</v>
      </c>
      <c r="K93" s="355" t="e">
        <f t="shared" si="24"/>
        <v>#DIV/0!</v>
      </c>
      <c r="L93" s="355" t="e">
        <f t="shared" si="24"/>
        <v>#DIV/0!</v>
      </c>
      <c r="M93" s="355" t="e">
        <f t="shared" si="24"/>
        <v>#DIV/0!</v>
      </c>
      <c r="N93" s="355" t="e">
        <f t="shared" si="24"/>
        <v>#DIV/0!</v>
      </c>
      <c r="O93" s="355" t="s">
        <v>102</v>
      </c>
      <c r="P93" s="355" t="s">
        <v>102</v>
      </c>
      <c r="Q93" s="355" t="s">
        <v>102</v>
      </c>
      <c r="R93" s="301" t="e">
        <f t="shared" si="18"/>
        <v>#DIV/0!</v>
      </c>
      <c r="S93" s="301" t="e">
        <f t="shared" si="19"/>
        <v>#DIV/0!</v>
      </c>
      <c r="T93" s="301" t="e">
        <f t="shared" si="20"/>
        <v>#DIV/0!</v>
      </c>
      <c r="U93" s="301" t="e">
        <f t="shared" si="21"/>
        <v>#DIV/0!</v>
      </c>
      <c r="V93" s="301" t="s">
        <v>102</v>
      </c>
      <c r="W93" s="301" t="s">
        <v>102</v>
      </c>
      <c r="X93" s="304" t="s">
        <v>102</v>
      </c>
    </row>
    <row r="94" spans="1:24" ht="16.5">
      <c r="A94" s="321">
        <v>46113</v>
      </c>
      <c r="B94" s="290">
        <f t="shared" si="16"/>
        <v>0</v>
      </c>
      <c r="C94" s="475">
        <f t="shared" si="16"/>
        <v>0</v>
      </c>
      <c r="D94" s="475">
        <f t="shared" si="16"/>
        <v>0</v>
      </c>
      <c r="E94" s="314" t="e">
        <f t="shared" si="17"/>
        <v>#DIV/0!</v>
      </c>
      <c r="F94" s="355" t="e">
        <f t="shared" si="24"/>
        <v>#DIV/0!</v>
      </c>
      <c r="G94" s="355" t="e">
        <f t="shared" si="24"/>
        <v>#DIV/0!</v>
      </c>
      <c r="H94" s="355" t="e">
        <f t="shared" si="24"/>
        <v>#DIV/0!</v>
      </c>
      <c r="I94" s="355" t="e">
        <f t="shared" si="24"/>
        <v>#DIV/0!</v>
      </c>
      <c r="J94" s="355" t="e">
        <f t="shared" si="24"/>
        <v>#DIV/0!</v>
      </c>
      <c r="K94" s="355" t="e">
        <f t="shared" si="24"/>
        <v>#DIV/0!</v>
      </c>
      <c r="L94" s="355" t="e">
        <f t="shared" si="24"/>
        <v>#DIV/0!</v>
      </c>
      <c r="M94" s="355" t="e">
        <f t="shared" si="24"/>
        <v>#DIV/0!</v>
      </c>
      <c r="N94" s="355" t="e">
        <f t="shared" si="24"/>
        <v>#DIV/0!</v>
      </c>
      <c r="O94" s="355" t="s">
        <v>102</v>
      </c>
      <c r="P94" s="355" t="s">
        <v>102</v>
      </c>
      <c r="Q94" s="355" t="s">
        <v>102</v>
      </c>
      <c r="R94" s="301" t="e">
        <f t="shared" si="18"/>
        <v>#DIV/0!</v>
      </c>
      <c r="S94" s="301" t="e">
        <f t="shared" si="19"/>
        <v>#DIV/0!</v>
      </c>
      <c r="T94" s="301" t="e">
        <f t="shared" si="20"/>
        <v>#DIV/0!</v>
      </c>
      <c r="U94" s="301" t="e">
        <f t="shared" si="21"/>
        <v>#DIV/0!</v>
      </c>
      <c r="V94" s="301" t="s">
        <v>102</v>
      </c>
      <c r="W94" s="301" t="s">
        <v>102</v>
      </c>
      <c r="X94" s="304" t="s">
        <v>102</v>
      </c>
    </row>
    <row r="95" spans="1:24" ht="16.5">
      <c r="A95" s="321">
        <v>46114</v>
      </c>
      <c r="B95" s="290">
        <f t="shared" si="16"/>
        <v>0</v>
      </c>
      <c r="C95" s="379">
        <f t="shared" si="16"/>
        <v>0</v>
      </c>
      <c r="D95" s="475">
        <f t="shared" si="16"/>
        <v>0</v>
      </c>
      <c r="E95" s="314" t="e">
        <f t="shared" si="17"/>
        <v>#DIV/0!</v>
      </c>
      <c r="F95" s="355" t="e">
        <f t="shared" si="24"/>
        <v>#DIV/0!</v>
      </c>
      <c r="G95" s="355" t="e">
        <f t="shared" si="24"/>
        <v>#DIV/0!</v>
      </c>
      <c r="H95" s="355" t="e">
        <f t="shared" si="24"/>
        <v>#DIV/0!</v>
      </c>
      <c r="I95" s="355" t="e">
        <f t="shared" si="24"/>
        <v>#DIV/0!</v>
      </c>
      <c r="J95" s="355" t="e">
        <f t="shared" si="24"/>
        <v>#DIV/0!</v>
      </c>
      <c r="K95" s="355" t="e">
        <f t="shared" si="24"/>
        <v>#DIV/0!</v>
      </c>
      <c r="L95" s="355" t="e">
        <f t="shared" si="24"/>
        <v>#DIV/0!</v>
      </c>
      <c r="M95" s="355" t="e">
        <f t="shared" si="24"/>
        <v>#DIV/0!</v>
      </c>
      <c r="N95" s="355" t="e">
        <f t="shared" si="24"/>
        <v>#DIV/0!</v>
      </c>
      <c r="O95" s="355" t="s">
        <v>102</v>
      </c>
      <c r="P95" s="355" t="s">
        <v>102</v>
      </c>
      <c r="Q95" s="355" t="s">
        <v>102</v>
      </c>
      <c r="R95" s="301" t="e">
        <f t="shared" si="18"/>
        <v>#DIV/0!</v>
      </c>
      <c r="S95" s="301" t="e">
        <f t="shared" si="19"/>
        <v>#DIV/0!</v>
      </c>
      <c r="T95" s="301" t="e">
        <f t="shared" si="20"/>
        <v>#DIV/0!</v>
      </c>
      <c r="U95" s="301" t="e">
        <f t="shared" si="21"/>
        <v>#DIV/0!</v>
      </c>
      <c r="V95" s="301" t="s">
        <v>102</v>
      </c>
      <c r="W95" s="301" t="s">
        <v>102</v>
      </c>
      <c r="X95" s="304" t="s">
        <v>102</v>
      </c>
    </row>
    <row r="96" spans="1:24" ht="16.5">
      <c r="A96" s="322">
        <v>46115</v>
      </c>
      <c r="B96" s="290">
        <f t="shared" si="16"/>
        <v>0</v>
      </c>
      <c r="C96" s="475">
        <f t="shared" si="16"/>
        <v>0</v>
      </c>
      <c r="D96" s="475">
        <f t="shared" si="16"/>
        <v>0</v>
      </c>
      <c r="E96" s="314" t="e">
        <f t="shared" si="17"/>
        <v>#DIV/0!</v>
      </c>
      <c r="F96" s="355" t="e">
        <f t="shared" si="24"/>
        <v>#DIV/0!</v>
      </c>
      <c r="G96" s="355" t="e">
        <f t="shared" si="24"/>
        <v>#DIV/0!</v>
      </c>
      <c r="H96" s="355" t="e">
        <f t="shared" si="24"/>
        <v>#DIV/0!</v>
      </c>
      <c r="I96" s="355" t="e">
        <f t="shared" si="24"/>
        <v>#DIV/0!</v>
      </c>
      <c r="J96" s="355" t="e">
        <f t="shared" si="24"/>
        <v>#DIV/0!</v>
      </c>
      <c r="K96" s="355" t="e">
        <f t="shared" si="24"/>
        <v>#DIV/0!</v>
      </c>
      <c r="L96" s="355" t="e">
        <f t="shared" si="24"/>
        <v>#DIV/0!</v>
      </c>
      <c r="M96" s="355" t="e">
        <f t="shared" si="24"/>
        <v>#DIV/0!</v>
      </c>
      <c r="N96" s="355" t="e">
        <f t="shared" si="24"/>
        <v>#DIV/0!</v>
      </c>
      <c r="O96" s="355" t="s">
        <v>102</v>
      </c>
      <c r="P96" s="355" t="s">
        <v>102</v>
      </c>
      <c r="Q96" s="355" t="s">
        <v>102</v>
      </c>
      <c r="R96" s="301" t="e">
        <f t="shared" si="18"/>
        <v>#DIV/0!</v>
      </c>
      <c r="S96" s="301" t="e">
        <f t="shared" si="19"/>
        <v>#DIV/0!</v>
      </c>
      <c r="T96" s="301" t="e">
        <f t="shared" si="20"/>
        <v>#DIV/0!</v>
      </c>
      <c r="U96" s="301" t="e">
        <f t="shared" si="21"/>
        <v>#DIV/0!</v>
      </c>
      <c r="V96" s="301" t="s">
        <v>102</v>
      </c>
      <c r="W96" s="301" t="s">
        <v>102</v>
      </c>
      <c r="X96" s="304" t="s">
        <v>102</v>
      </c>
    </row>
    <row r="97" spans="1:24" ht="16.5">
      <c r="A97" s="325">
        <v>46116</v>
      </c>
      <c r="B97" s="290">
        <f t="shared" si="16"/>
        <v>0</v>
      </c>
      <c r="C97" s="379">
        <f t="shared" si="16"/>
        <v>0</v>
      </c>
      <c r="D97" s="475">
        <f t="shared" si="16"/>
        <v>0</v>
      </c>
      <c r="E97" s="314" t="e">
        <f t="shared" si="17"/>
        <v>#DIV/0!</v>
      </c>
      <c r="F97" s="355" t="e">
        <f t="shared" si="24"/>
        <v>#DIV/0!</v>
      </c>
      <c r="G97" s="355" t="e">
        <f t="shared" si="24"/>
        <v>#DIV/0!</v>
      </c>
      <c r="H97" s="355" t="e">
        <f t="shared" si="24"/>
        <v>#DIV/0!</v>
      </c>
      <c r="I97" s="355" t="e">
        <f t="shared" si="24"/>
        <v>#DIV/0!</v>
      </c>
      <c r="J97" s="355" t="e">
        <f t="shared" si="24"/>
        <v>#DIV/0!</v>
      </c>
      <c r="K97" s="355" t="e">
        <f t="shared" si="24"/>
        <v>#DIV/0!</v>
      </c>
      <c r="L97" s="355" t="e">
        <f t="shared" si="24"/>
        <v>#DIV/0!</v>
      </c>
      <c r="M97" s="355" t="e">
        <f t="shared" si="24"/>
        <v>#DIV/0!</v>
      </c>
      <c r="N97" s="355" t="e">
        <f t="shared" si="24"/>
        <v>#DIV/0!</v>
      </c>
      <c r="O97" s="355" t="s">
        <v>102</v>
      </c>
      <c r="P97" s="355" t="s">
        <v>102</v>
      </c>
      <c r="Q97" s="355" t="s">
        <v>102</v>
      </c>
      <c r="R97" s="301" t="e">
        <f t="shared" si="18"/>
        <v>#DIV/0!</v>
      </c>
      <c r="S97" s="301" t="e">
        <f t="shared" si="19"/>
        <v>#DIV/0!</v>
      </c>
      <c r="T97" s="301" t="e">
        <f t="shared" si="20"/>
        <v>#DIV/0!</v>
      </c>
      <c r="U97" s="301" t="e">
        <f t="shared" si="21"/>
        <v>#DIV/0!</v>
      </c>
      <c r="V97" s="301" t="s">
        <v>102</v>
      </c>
      <c r="W97" s="301" t="s">
        <v>102</v>
      </c>
      <c r="X97" s="304" t="s">
        <v>102</v>
      </c>
    </row>
    <row r="98" spans="1:24" ht="16.5">
      <c r="A98" s="325">
        <v>46117</v>
      </c>
      <c r="B98" s="290">
        <f t="shared" ref="B98:D119" si="25">AB98+BB98</f>
        <v>0</v>
      </c>
      <c r="C98" s="475">
        <f t="shared" si="25"/>
        <v>0</v>
      </c>
      <c r="D98" s="475">
        <f t="shared" si="25"/>
        <v>0</v>
      </c>
      <c r="E98" s="314" t="e">
        <f t="shared" si="17"/>
        <v>#DIV/0!</v>
      </c>
      <c r="F98" s="355" t="e">
        <f t="shared" si="24"/>
        <v>#DIV/0!</v>
      </c>
      <c r="G98" s="355" t="e">
        <f t="shared" si="24"/>
        <v>#DIV/0!</v>
      </c>
      <c r="H98" s="355" t="e">
        <f t="shared" si="24"/>
        <v>#DIV/0!</v>
      </c>
      <c r="I98" s="355" t="e">
        <f t="shared" si="24"/>
        <v>#DIV/0!</v>
      </c>
      <c r="J98" s="355" t="e">
        <f t="shared" si="24"/>
        <v>#DIV/0!</v>
      </c>
      <c r="K98" s="355" t="e">
        <f t="shared" si="24"/>
        <v>#DIV/0!</v>
      </c>
      <c r="L98" s="355" t="e">
        <f t="shared" si="24"/>
        <v>#DIV/0!</v>
      </c>
      <c r="M98" s="355" t="e">
        <f t="shared" si="24"/>
        <v>#DIV/0!</v>
      </c>
      <c r="N98" s="355" t="e">
        <f t="shared" si="24"/>
        <v>#DIV/0!</v>
      </c>
      <c r="O98" s="355" t="s">
        <v>102</v>
      </c>
      <c r="P98" s="355" t="s">
        <v>102</v>
      </c>
      <c r="Q98" s="355" t="s">
        <v>102</v>
      </c>
      <c r="R98" s="301" t="e">
        <f t="shared" si="18"/>
        <v>#DIV/0!</v>
      </c>
      <c r="S98" s="301" t="e">
        <f t="shared" si="19"/>
        <v>#DIV/0!</v>
      </c>
      <c r="T98" s="301" t="e">
        <f t="shared" si="20"/>
        <v>#DIV/0!</v>
      </c>
      <c r="U98" s="301" t="e">
        <f t="shared" si="21"/>
        <v>#DIV/0!</v>
      </c>
      <c r="V98" s="301" t="s">
        <v>102</v>
      </c>
      <c r="W98" s="301" t="s">
        <v>102</v>
      </c>
      <c r="X98" s="304" t="s">
        <v>102</v>
      </c>
    </row>
    <row r="99" spans="1:24" ht="16.5">
      <c r="A99" s="325">
        <v>46118</v>
      </c>
      <c r="B99" s="290">
        <f t="shared" si="25"/>
        <v>0</v>
      </c>
      <c r="C99" s="475">
        <f t="shared" si="25"/>
        <v>0</v>
      </c>
      <c r="D99" s="475">
        <f t="shared" si="25"/>
        <v>0</v>
      </c>
      <c r="E99" s="314" t="e">
        <f t="shared" si="17"/>
        <v>#DIV/0!</v>
      </c>
      <c r="F99" s="355" t="e">
        <f t="shared" si="24"/>
        <v>#DIV/0!</v>
      </c>
      <c r="G99" s="355" t="e">
        <f t="shared" si="24"/>
        <v>#DIV/0!</v>
      </c>
      <c r="H99" s="355" t="e">
        <f t="shared" si="24"/>
        <v>#DIV/0!</v>
      </c>
      <c r="I99" s="355" t="e">
        <f t="shared" si="24"/>
        <v>#DIV/0!</v>
      </c>
      <c r="J99" s="355" t="e">
        <f t="shared" si="24"/>
        <v>#DIV/0!</v>
      </c>
      <c r="K99" s="355" t="e">
        <f t="shared" si="24"/>
        <v>#DIV/0!</v>
      </c>
      <c r="L99" s="355" t="e">
        <f t="shared" si="24"/>
        <v>#DIV/0!</v>
      </c>
      <c r="M99" s="355" t="e">
        <f t="shared" si="24"/>
        <v>#DIV/0!</v>
      </c>
      <c r="N99" s="355" t="e">
        <f t="shared" si="24"/>
        <v>#DIV/0!</v>
      </c>
      <c r="O99" s="355" t="s">
        <v>102</v>
      </c>
      <c r="P99" s="355" t="s">
        <v>102</v>
      </c>
      <c r="Q99" s="355" t="s">
        <v>102</v>
      </c>
      <c r="R99" s="301" t="e">
        <f t="shared" si="18"/>
        <v>#DIV/0!</v>
      </c>
      <c r="S99" s="301" t="e">
        <f t="shared" si="19"/>
        <v>#DIV/0!</v>
      </c>
      <c r="T99" s="301" t="e">
        <f t="shared" si="20"/>
        <v>#DIV/0!</v>
      </c>
      <c r="U99" s="301" t="e">
        <f t="shared" si="21"/>
        <v>#DIV/0!</v>
      </c>
      <c r="V99" s="301" t="s">
        <v>102</v>
      </c>
      <c r="W99" s="301" t="s">
        <v>102</v>
      </c>
      <c r="X99" s="304" t="s">
        <v>102</v>
      </c>
    </row>
    <row r="100" spans="1:24" ht="16.5">
      <c r="A100" s="322">
        <v>46119</v>
      </c>
      <c r="B100" s="290">
        <f t="shared" si="25"/>
        <v>0</v>
      </c>
      <c r="C100" s="475">
        <f t="shared" si="25"/>
        <v>0</v>
      </c>
      <c r="D100" s="475">
        <f t="shared" si="25"/>
        <v>0</v>
      </c>
      <c r="E100" s="314" t="e">
        <f t="shared" si="17"/>
        <v>#DIV/0!</v>
      </c>
      <c r="F100" s="355" t="e">
        <f t="shared" ref="F100:N115" si="26">(AF100*$AC100+BF100*$BC100)/$C100</f>
        <v>#DIV/0!</v>
      </c>
      <c r="G100" s="355" t="e">
        <f t="shared" si="26"/>
        <v>#DIV/0!</v>
      </c>
      <c r="H100" s="355" t="e">
        <f t="shared" si="26"/>
        <v>#DIV/0!</v>
      </c>
      <c r="I100" s="355" t="e">
        <f t="shared" si="26"/>
        <v>#DIV/0!</v>
      </c>
      <c r="J100" s="355" t="e">
        <f t="shared" si="26"/>
        <v>#DIV/0!</v>
      </c>
      <c r="K100" s="355" t="e">
        <f t="shared" si="26"/>
        <v>#DIV/0!</v>
      </c>
      <c r="L100" s="355" t="e">
        <f t="shared" si="26"/>
        <v>#DIV/0!</v>
      </c>
      <c r="M100" s="355" t="e">
        <f t="shared" si="26"/>
        <v>#DIV/0!</v>
      </c>
      <c r="N100" s="355" t="e">
        <f t="shared" si="26"/>
        <v>#DIV/0!</v>
      </c>
      <c r="O100" s="355" t="s">
        <v>102</v>
      </c>
      <c r="P100" s="355" t="s">
        <v>102</v>
      </c>
      <c r="Q100" s="355" t="s">
        <v>102</v>
      </c>
      <c r="R100" s="301" t="e">
        <f t="shared" si="18"/>
        <v>#DIV/0!</v>
      </c>
      <c r="S100" s="301" t="e">
        <f t="shared" si="19"/>
        <v>#DIV/0!</v>
      </c>
      <c r="T100" s="301" t="e">
        <f t="shared" si="20"/>
        <v>#DIV/0!</v>
      </c>
      <c r="U100" s="301" t="e">
        <f t="shared" si="21"/>
        <v>#DIV/0!</v>
      </c>
      <c r="V100" s="301" t="s">
        <v>102</v>
      </c>
      <c r="W100" s="301" t="s">
        <v>102</v>
      </c>
      <c r="X100" s="304" t="s">
        <v>102</v>
      </c>
    </row>
    <row r="101" spans="1:24" ht="16.5">
      <c r="A101" s="322">
        <v>46120</v>
      </c>
      <c r="B101" s="290">
        <f t="shared" si="25"/>
        <v>0</v>
      </c>
      <c r="C101" s="475">
        <f t="shared" si="25"/>
        <v>0</v>
      </c>
      <c r="D101" s="475">
        <f t="shared" si="25"/>
        <v>0</v>
      </c>
      <c r="E101" s="314" t="e">
        <f t="shared" si="17"/>
        <v>#DIV/0!</v>
      </c>
      <c r="F101" s="355" t="e">
        <f t="shared" si="26"/>
        <v>#DIV/0!</v>
      </c>
      <c r="G101" s="355" t="e">
        <f t="shared" si="26"/>
        <v>#DIV/0!</v>
      </c>
      <c r="H101" s="355" t="e">
        <f t="shared" si="26"/>
        <v>#DIV/0!</v>
      </c>
      <c r="I101" s="355" t="e">
        <f t="shared" si="26"/>
        <v>#DIV/0!</v>
      </c>
      <c r="J101" s="355" t="e">
        <f t="shared" si="26"/>
        <v>#DIV/0!</v>
      </c>
      <c r="K101" s="355" t="e">
        <f t="shared" si="26"/>
        <v>#DIV/0!</v>
      </c>
      <c r="L101" s="355" t="e">
        <f t="shared" si="26"/>
        <v>#DIV/0!</v>
      </c>
      <c r="M101" s="355" t="e">
        <f t="shared" si="26"/>
        <v>#DIV/0!</v>
      </c>
      <c r="N101" s="355" t="s">
        <v>102</v>
      </c>
      <c r="O101" s="355" t="s">
        <v>102</v>
      </c>
      <c r="P101" s="355" t="s">
        <v>102</v>
      </c>
      <c r="Q101" s="355" t="s">
        <v>102</v>
      </c>
      <c r="R101" s="301" t="e">
        <f t="shared" si="18"/>
        <v>#DIV/0!</v>
      </c>
      <c r="S101" s="301" t="e">
        <f t="shared" si="19"/>
        <v>#DIV/0!</v>
      </c>
      <c r="T101" s="301" t="e">
        <f t="shared" si="20"/>
        <v>#DIV/0!</v>
      </c>
      <c r="U101" s="301" t="s">
        <v>102</v>
      </c>
      <c r="V101" s="301" t="s">
        <v>102</v>
      </c>
      <c r="W101" s="301" t="s">
        <v>102</v>
      </c>
      <c r="X101" s="304" t="s">
        <v>102</v>
      </c>
    </row>
    <row r="102" spans="1:24" ht="17.25" thickBot="1">
      <c r="A102" s="467">
        <v>46121</v>
      </c>
      <c r="B102" s="290">
        <f t="shared" si="25"/>
        <v>0</v>
      </c>
      <c r="C102" s="475">
        <f t="shared" si="25"/>
        <v>0</v>
      </c>
      <c r="D102" s="475">
        <f t="shared" si="25"/>
        <v>0</v>
      </c>
      <c r="E102" s="314" t="e">
        <f t="shared" si="17"/>
        <v>#DIV/0!</v>
      </c>
      <c r="F102" s="355" t="e">
        <f t="shared" si="26"/>
        <v>#DIV/0!</v>
      </c>
      <c r="G102" s="355" t="e">
        <f t="shared" si="26"/>
        <v>#DIV/0!</v>
      </c>
      <c r="H102" s="355" t="e">
        <f t="shared" si="26"/>
        <v>#DIV/0!</v>
      </c>
      <c r="I102" s="355" t="e">
        <f t="shared" si="26"/>
        <v>#DIV/0!</v>
      </c>
      <c r="J102" s="355" t="e">
        <f t="shared" si="26"/>
        <v>#DIV/0!</v>
      </c>
      <c r="K102" s="355" t="e">
        <f t="shared" si="26"/>
        <v>#DIV/0!</v>
      </c>
      <c r="L102" s="355" t="e">
        <f t="shared" si="26"/>
        <v>#DIV/0!</v>
      </c>
      <c r="M102" s="355" t="e">
        <f t="shared" si="26"/>
        <v>#DIV/0!</v>
      </c>
      <c r="N102" s="355" t="s">
        <v>102</v>
      </c>
      <c r="O102" s="355" t="s">
        <v>102</v>
      </c>
      <c r="P102" s="355" t="s">
        <v>102</v>
      </c>
      <c r="Q102" s="355" t="s">
        <v>102</v>
      </c>
      <c r="R102" s="301" t="e">
        <f t="shared" si="18"/>
        <v>#DIV/0!</v>
      </c>
      <c r="S102" s="301" t="e">
        <f t="shared" si="19"/>
        <v>#DIV/0!</v>
      </c>
      <c r="T102" s="301" t="e">
        <f t="shared" si="20"/>
        <v>#DIV/0!</v>
      </c>
      <c r="U102" s="301" t="s">
        <v>102</v>
      </c>
      <c r="V102" s="301" t="s">
        <v>102</v>
      </c>
      <c r="W102" s="301" t="s">
        <v>102</v>
      </c>
      <c r="X102" s="304" t="s">
        <v>102</v>
      </c>
    </row>
    <row r="103" spans="1:24" ht="16.5">
      <c r="A103" s="473">
        <v>46122</v>
      </c>
      <c r="B103" s="278">
        <f t="shared" si="25"/>
        <v>0</v>
      </c>
      <c r="C103" s="470">
        <f t="shared" si="25"/>
        <v>0</v>
      </c>
      <c r="D103" s="470">
        <f t="shared" si="25"/>
        <v>0</v>
      </c>
      <c r="E103" s="313" t="e">
        <f t="shared" si="17"/>
        <v>#DIV/0!</v>
      </c>
      <c r="F103" s="455" t="e">
        <f t="shared" si="26"/>
        <v>#DIV/0!</v>
      </c>
      <c r="G103" s="455" t="e">
        <f t="shared" si="26"/>
        <v>#DIV/0!</v>
      </c>
      <c r="H103" s="455" t="e">
        <f t="shared" si="26"/>
        <v>#DIV/0!</v>
      </c>
      <c r="I103" s="455" t="e">
        <f t="shared" si="26"/>
        <v>#DIV/0!</v>
      </c>
      <c r="J103" s="455" t="e">
        <f t="shared" si="26"/>
        <v>#DIV/0!</v>
      </c>
      <c r="K103" s="455" t="e">
        <f t="shared" si="26"/>
        <v>#DIV/0!</v>
      </c>
      <c r="L103" s="455" t="e">
        <f t="shared" si="26"/>
        <v>#DIV/0!</v>
      </c>
      <c r="M103" s="455" t="e">
        <f t="shared" si="26"/>
        <v>#DIV/0!</v>
      </c>
      <c r="N103" s="455" t="s">
        <v>102</v>
      </c>
      <c r="O103" s="455" t="s">
        <v>102</v>
      </c>
      <c r="P103" s="455" t="s">
        <v>102</v>
      </c>
      <c r="Q103" s="455" t="s">
        <v>102</v>
      </c>
      <c r="R103" s="285" t="e">
        <f t="shared" si="18"/>
        <v>#DIV/0!</v>
      </c>
      <c r="S103" s="285" t="e">
        <f t="shared" si="19"/>
        <v>#DIV/0!</v>
      </c>
      <c r="T103" s="285" t="e">
        <f t="shared" si="20"/>
        <v>#DIV/0!</v>
      </c>
      <c r="U103" s="285" t="s">
        <v>102</v>
      </c>
      <c r="V103" s="285" t="s">
        <v>102</v>
      </c>
      <c r="W103" s="285" t="s">
        <v>102</v>
      </c>
      <c r="X103" s="292" t="s">
        <v>102</v>
      </c>
    </row>
    <row r="104" spans="1:24" ht="16.5">
      <c r="A104" s="312">
        <v>46123</v>
      </c>
      <c r="B104" s="290">
        <f t="shared" si="25"/>
        <v>0</v>
      </c>
      <c r="C104" s="475">
        <f t="shared" si="25"/>
        <v>0</v>
      </c>
      <c r="D104" s="475">
        <f t="shared" si="25"/>
        <v>0</v>
      </c>
      <c r="E104" s="314" t="e">
        <f t="shared" si="17"/>
        <v>#DIV/0!</v>
      </c>
      <c r="F104" s="355" t="e">
        <f t="shared" si="26"/>
        <v>#DIV/0!</v>
      </c>
      <c r="G104" s="355" t="e">
        <f t="shared" si="26"/>
        <v>#DIV/0!</v>
      </c>
      <c r="H104" s="355" t="e">
        <f t="shared" si="26"/>
        <v>#DIV/0!</v>
      </c>
      <c r="I104" s="355" t="e">
        <f t="shared" si="26"/>
        <v>#DIV/0!</v>
      </c>
      <c r="J104" s="355" t="e">
        <f t="shared" si="26"/>
        <v>#DIV/0!</v>
      </c>
      <c r="K104" s="355" t="e">
        <f t="shared" si="26"/>
        <v>#DIV/0!</v>
      </c>
      <c r="L104" s="355" t="e">
        <f t="shared" si="26"/>
        <v>#DIV/0!</v>
      </c>
      <c r="M104" s="355" t="e">
        <f t="shared" si="26"/>
        <v>#DIV/0!</v>
      </c>
      <c r="N104" s="355" t="s">
        <v>102</v>
      </c>
      <c r="O104" s="355" t="s">
        <v>102</v>
      </c>
      <c r="P104" s="355" t="s">
        <v>102</v>
      </c>
      <c r="Q104" s="355" t="s">
        <v>102</v>
      </c>
      <c r="R104" s="301" t="e">
        <f t="shared" si="18"/>
        <v>#DIV/0!</v>
      </c>
      <c r="S104" s="301" t="e">
        <f t="shared" si="19"/>
        <v>#DIV/0!</v>
      </c>
      <c r="T104" s="301" t="e">
        <f t="shared" si="20"/>
        <v>#DIV/0!</v>
      </c>
      <c r="U104" s="301" t="s">
        <v>102</v>
      </c>
      <c r="V104" s="301" t="s">
        <v>102</v>
      </c>
      <c r="W104" s="301" t="s">
        <v>102</v>
      </c>
      <c r="X104" s="304" t="s">
        <v>102</v>
      </c>
    </row>
    <row r="105" spans="1:24" ht="16.5">
      <c r="A105" s="312">
        <v>46124</v>
      </c>
      <c r="B105" s="290">
        <f t="shared" si="25"/>
        <v>0</v>
      </c>
      <c r="C105" s="475">
        <f t="shared" si="25"/>
        <v>0</v>
      </c>
      <c r="D105" s="475">
        <f t="shared" si="25"/>
        <v>0</v>
      </c>
      <c r="E105" s="314" t="e">
        <f t="shared" si="17"/>
        <v>#DIV/0!</v>
      </c>
      <c r="F105" s="355" t="e">
        <f t="shared" si="26"/>
        <v>#DIV/0!</v>
      </c>
      <c r="G105" s="355" t="e">
        <f t="shared" si="26"/>
        <v>#DIV/0!</v>
      </c>
      <c r="H105" s="355" t="e">
        <f t="shared" si="26"/>
        <v>#DIV/0!</v>
      </c>
      <c r="I105" s="355" t="e">
        <f t="shared" si="26"/>
        <v>#DIV/0!</v>
      </c>
      <c r="J105" s="355" t="e">
        <f t="shared" si="26"/>
        <v>#DIV/0!</v>
      </c>
      <c r="K105" s="355" t="e">
        <f t="shared" si="26"/>
        <v>#DIV/0!</v>
      </c>
      <c r="L105" s="355" t="e">
        <f t="shared" si="26"/>
        <v>#DIV/0!</v>
      </c>
      <c r="M105" s="355" t="e">
        <f t="shared" si="26"/>
        <v>#DIV/0!</v>
      </c>
      <c r="N105" s="355" t="s">
        <v>102</v>
      </c>
      <c r="O105" s="355" t="s">
        <v>102</v>
      </c>
      <c r="P105" s="355" t="s">
        <v>102</v>
      </c>
      <c r="Q105" s="355" t="s">
        <v>102</v>
      </c>
      <c r="R105" s="301" t="e">
        <f t="shared" si="18"/>
        <v>#DIV/0!</v>
      </c>
      <c r="S105" s="301" t="e">
        <f t="shared" si="19"/>
        <v>#DIV/0!</v>
      </c>
      <c r="T105" s="301" t="e">
        <f t="shared" si="20"/>
        <v>#DIV/0!</v>
      </c>
      <c r="U105" s="301" t="s">
        <v>102</v>
      </c>
      <c r="V105" s="301" t="s">
        <v>102</v>
      </c>
      <c r="W105" s="301" t="s">
        <v>102</v>
      </c>
      <c r="X105" s="304" t="s">
        <v>102</v>
      </c>
    </row>
    <row r="106" spans="1:24" ht="16.5">
      <c r="A106" s="271">
        <v>46125</v>
      </c>
      <c r="B106" s="290">
        <f t="shared" si="25"/>
        <v>0</v>
      </c>
      <c r="C106" s="475">
        <f t="shared" si="25"/>
        <v>0</v>
      </c>
      <c r="D106" s="475">
        <f t="shared" si="25"/>
        <v>0</v>
      </c>
      <c r="E106" s="314" t="e">
        <f t="shared" si="17"/>
        <v>#DIV/0!</v>
      </c>
      <c r="F106" s="355" t="e">
        <f t="shared" si="26"/>
        <v>#DIV/0!</v>
      </c>
      <c r="G106" s="355" t="e">
        <f t="shared" si="26"/>
        <v>#DIV/0!</v>
      </c>
      <c r="H106" s="355" t="e">
        <f t="shared" si="26"/>
        <v>#DIV/0!</v>
      </c>
      <c r="I106" s="355" t="e">
        <f t="shared" si="26"/>
        <v>#DIV/0!</v>
      </c>
      <c r="J106" s="355" t="e">
        <f t="shared" si="26"/>
        <v>#DIV/0!</v>
      </c>
      <c r="K106" s="355" t="e">
        <f t="shared" si="26"/>
        <v>#DIV/0!</v>
      </c>
      <c r="L106" s="355" t="e">
        <f t="shared" si="26"/>
        <v>#DIV/0!</v>
      </c>
      <c r="M106" s="355" t="e">
        <f t="shared" si="26"/>
        <v>#DIV/0!</v>
      </c>
      <c r="N106" s="355" t="s">
        <v>102</v>
      </c>
      <c r="O106" s="355" t="s">
        <v>102</v>
      </c>
      <c r="P106" s="355" t="s">
        <v>102</v>
      </c>
      <c r="Q106" s="355" t="s">
        <v>102</v>
      </c>
      <c r="R106" s="301" t="e">
        <f t="shared" si="18"/>
        <v>#DIV/0!</v>
      </c>
      <c r="S106" s="301" t="e">
        <f t="shared" si="19"/>
        <v>#DIV/0!</v>
      </c>
      <c r="T106" s="301" t="e">
        <f t="shared" si="20"/>
        <v>#DIV/0!</v>
      </c>
      <c r="U106" s="301" t="s">
        <v>102</v>
      </c>
      <c r="V106" s="301" t="s">
        <v>102</v>
      </c>
      <c r="W106" s="301" t="s">
        <v>102</v>
      </c>
      <c r="X106" s="304" t="s">
        <v>102</v>
      </c>
    </row>
    <row r="107" spans="1:24" ht="16.5">
      <c r="A107" s="271">
        <v>46126</v>
      </c>
      <c r="B107" s="290">
        <f t="shared" si="25"/>
        <v>0</v>
      </c>
      <c r="C107" s="475">
        <f t="shared" si="25"/>
        <v>0</v>
      </c>
      <c r="D107" s="475">
        <f t="shared" si="25"/>
        <v>0</v>
      </c>
      <c r="E107" s="314" t="e">
        <f t="shared" si="17"/>
        <v>#DIV/0!</v>
      </c>
      <c r="F107" s="355" t="e">
        <f t="shared" si="26"/>
        <v>#DIV/0!</v>
      </c>
      <c r="G107" s="355" t="e">
        <f t="shared" si="26"/>
        <v>#DIV/0!</v>
      </c>
      <c r="H107" s="355" t="e">
        <f t="shared" si="26"/>
        <v>#DIV/0!</v>
      </c>
      <c r="I107" s="355" t="e">
        <f t="shared" si="26"/>
        <v>#DIV/0!</v>
      </c>
      <c r="J107" s="355" t="e">
        <f t="shared" si="26"/>
        <v>#DIV/0!</v>
      </c>
      <c r="K107" s="355" t="e">
        <f t="shared" si="26"/>
        <v>#DIV/0!</v>
      </c>
      <c r="L107" s="355" t="e">
        <f t="shared" si="26"/>
        <v>#DIV/0!</v>
      </c>
      <c r="M107" s="355" t="e">
        <f t="shared" si="26"/>
        <v>#DIV/0!</v>
      </c>
      <c r="N107" s="355" t="s">
        <v>102</v>
      </c>
      <c r="O107" s="355" t="s">
        <v>102</v>
      </c>
      <c r="P107" s="355" t="s">
        <v>102</v>
      </c>
      <c r="Q107" s="355" t="s">
        <v>102</v>
      </c>
      <c r="R107" s="301" t="e">
        <f t="shared" si="18"/>
        <v>#DIV/0!</v>
      </c>
      <c r="S107" s="301" t="e">
        <f t="shared" si="19"/>
        <v>#DIV/0!</v>
      </c>
      <c r="T107" s="301" t="e">
        <f t="shared" si="20"/>
        <v>#DIV/0!</v>
      </c>
      <c r="U107" s="301" t="s">
        <v>102</v>
      </c>
      <c r="V107" s="301" t="s">
        <v>102</v>
      </c>
      <c r="W107" s="301" t="s">
        <v>102</v>
      </c>
      <c r="X107" s="304" t="s">
        <v>102</v>
      </c>
    </row>
    <row r="108" spans="1:24" ht="16.5">
      <c r="A108" s="271">
        <v>46127</v>
      </c>
      <c r="B108" s="290">
        <f t="shared" si="25"/>
        <v>0</v>
      </c>
      <c r="C108" s="475">
        <f t="shared" si="25"/>
        <v>0</v>
      </c>
      <c r="D108" s="475">
        <f t="shared" si="25"/>
        <v>0</v>
      </c>
      <c r="E108" s="314" t="e">
        <f t="shared" si="17"/>
        <v>#DIV/0!</v>
      </c>
      <c r="F108" s="355" t="e">
        <f t="shared" si="26"/>
        <v>#DIV/0!</v>
      </c>
      <c r="G108" s="355" t="e">
        <f t="shared" si="26"/>
        <v>#DIV/0!</v>
      </c>
      <c r="H108" s="355" t="e">
        <f t="shared" si="26"/>
        <v>#DIV/0!</v>
      </c>
      <c r="I108" s="355" t="e">
        <f t="shared" si="26"/>
        <v>#DIV/0!</v>
      </c>
      <c r="J108" s="355" t="e">
        <f t="shared" si="26"/>
        <v>#DIV/0!</v>
      </c>
      <c r="K108" s="355" t="e">
        <f t="shared" si="26"/>
        <v>#DIV/0!</v>
      </c>
      <c r="L108" s="355" t="e">
        <f t="shared" si="26"/>
        <v>#DIV/0!</v>
      </c>
      <c r="M108" s="355" t="s">
        <v>102</v>
      </c>
      <c r="N108" s="355" t="s">
        <v>102</v>
      </c>
      <c r="O108" s="355" t="s">
        <v>102</v>
      </c>
      <c r="P108" s="355" t="s">
        <v>102</v>
      </c>
      <c r="Q108" s="355" t="s">
        <v>102</v>
      </c>
      <c r="R108" s="301" t="e">
        <f t="shared" si="18"/>
        <v>#DIV/0!</v>
      </c>
      <c r="S108" s="301" t="e">
        <f t="shared" si="19"/>
        <v>#DIV/0!</v>
      </c>
      <c r="T108" s="301" t="s">
        <v>102</v>
      </c>
      <c r="U108" s="301" t="s">
        <v>102</v>
      </c>
      <c r="V108" s="301" t="s">
        <v>102</v>
      </c>
      <c r="W108" s="301" t="s">
        <v>102</v>
      </c>
      <c r="X108" s="304" t="s">
        <v>102</v>
      </c>
    </row>
    <row r="109" spans="1:24" ht="16.5">
      <c r="A109" s="254">
        <v>46128</v>
      </c>
      <c r="B109" s="290">
        <f t="shared" si="25"/>
        <v>0</v>
      </c>
      <c r="C109" s="475">
        <f t="shared" si="25"/>
        <v>0</v>
      </c>
      <c r="D109" s="475">
        <f t="shared" si="25"/>
        <v>0</v>
      </c>
      <c r="E109" s="314" t="e">
        <f t="shared" si="17"/>
        <v>#DIV/0!</v>
      </c>
      <c r="F109" s="355" t="e">
        <f t="shared" si="26"/>
        <v>#DIV/0!</v>
      </c>
      <c r="G109" s="355" t="e">
        <f t="shared" si="26"/>
        <v>#DIV/0!</v>
      </c>
      <c r="H109" s="355" t="e">
        <f t="shared" si="26"/>
        <v>#DIV/0!</v>
      </c>
      <c r="I109" s="355" t="e">
        <f t="shared" si="26"/>
        <v>#DIV/0!</v>
      </c>
      <c r="J109" s="355" t="e">
        <f t="shared" si="26"/>
        <v>#DIV/0!</v>
      </c>
      <c r="K109" s="355" t="e">
        <f t="shared" si="26"/>
        <v>#DIV/0!</v>
      </c>
      <c r="L109" s="355" t="e">
        <f t="shared" si="26"/>
        <v>#DIV/0!</v>
      </c>
      <c r="M109" s="355" t="s">
        <v>102</v>
      </c>
      <c r="N109" s="355" t="s">
        <v>102</v>
      </c>
      <c r="O109" s="355" t="s">
        <v>102</v>
      </c>
      <c r="P109" s="355" t="s">
        <v>102</v>
      </c>
      <c r="Q109" s="355" t="s">
        <v>102</v>
      </c>
      <c r="R109" s="301" t="e">
        <f t="shared" si="18"/>
        <v>#DIV/0!</v>
      </c>
      <c r="S109" s="301" t="e">
        <f t="shared" si="19"/>
        <v>#DIV/0!</v>
      </c>
      <c r="T109" s="301" t="s">
        <v>102</v>
      </c>
      <c r="U109" s="301" t="s">
        <v>102</v>
      </c>
      <c r="V109" s="301" t="s">
        <v>102</v>
      </c>
      <c r="W109" s="301" t="s">
        <v>102</v>
      </c>
      <c r="X109" s="304" t="s">
        <v>102</v>
      </c>
    </row>
    <row r="110" spans="1:24" ht="16.5">
      <c r="A110" s="271">
        <v>46129</v>
      </c>
      <c r="B110" s="290">
        <f t="shared" si="25"/>
        <v>0</v>
      </c>
      <c r="C110" s="475">
        <f t="shared" si="25"/>
        <v>0</v>
      </c>
      <c r="D110" s="475">
        <f t="shared" si="25"/>
        <v>0</v>
      </c>
      <c r="E110" s="314" t="e">
        <f t="shared" si="17"/>
        <v>#DIV/0!</v>
      </c>
      <c r="F110" s="355" t="e">
        <f t="shared" si="26"/>
        <v>#DIV/0!</v>
      </c>
      <c r="G110" s="355" t="e">
        <f t="shared" si="26"/>
        <v>#DIV/0!</v>
      </c>
      <c r="H110" s="355" t="e">
        <f t="shared" si="26"/>
        <v>#DIV/0!</v>
      </c>
      <c r="I110" s="355" t="e">
        <f t="shared" si="26"/>
        <v>#DIV/0!</v>
      </c>
      <c r="J110" s="355" t="e">
        <f t="shared" si="26"/>
        <v>#DIV/0!</v>
      </c>
      <c r="K110" s="355" t="e">
        <f t="shared" si="26"/>
        <v>#DIV/0!</v>
      </c>
      <c r="L110" s="355" t="e">
        <f t="shared" si="26"/>
        <v>#DIV/0!</v>
      </c>
      <c r="M110" s="355" t="s">
        <v>102</v>
      </c>
      <c r="N110" s="355" t="s">
        <v>102</v>
      </c>
      <c r="O110" s="355" t="s">
        <v>102</v>
      </c>
      <c r="P110" s="355" t="s">
        <v>102</v>
      </c>
      <c r="Q110" s="355" t="s">
        <v>102</v>
      </c>
      <c r="R110" s="301" t="e">
        <f t="shared" si="18"/>
        <v>#DIV/0!</v>
      </c>
      <c r="S110" s="301" t="e">
        <f t="shared" si="19"/>
        <v>#DIV/0!</v>
      </c>
      <c r="T110" s="301" t="s">
        <v>102</v>
      </c>
      <c r="U110" s="301" t="s">
        <v>102</v>
      </c>
      <c r="V110" s="301" t="s">
        <v>102</v>
      </c>
      <c r="W110" s="301" t="s">
        <v>102</v>
      </c>
      <c r="X110" s="304" t="s">
        <v>102</v>
      </c>
    </row>
    <row r="111" spans="1:24" ht="16.5">
      <c r="A111" s="271">
        <v>46130</v>
      </c>
      <c r="B111" s="290">
        <f t="shared" si="25"/>
        <v>0</v>
      </c>
      <c r="C111" s="475">
        <f t="shared" si="25"/>
        <v>0</v>
      </c>
      <c r="D111" s="475">
        <f t="shared" si="25"/>
        <v>0</v>
      </c>
      <c r="E111" s="314" t="e">
        <f t="shared" si="17"/>
        <v>#DIV/0!</v>
      </c>
      <c r="F111" s="355" t="e">
        <f t="shared" si="26"/>
        <v>#DIV/0!</v>
      </c>
      <c r="G111" s="355" t="e">
        <f t="shared" si="26"/>
        <v>#DIV/0!</v>
      </c>
      <c r="H111" s="355" t="e">
        <f t="shared" si="26"/>
        <v>#DIV/0!</v>
      </c>
      <c r="I111" s="355" t="e">
        <f t="shared" si="26"/>
        <v>#DIV/0!</v>
      </c>
      <c r="J111" s="355" t="e">
        <f t="shared" si="26"/>
        <v>#DIV/0!</v>
      </c>
      <c r="K111" s="355" t="e">
        <f t="shared" si="26"/>
        <v>#DIV/0!</v>
      </c>
      <c r="L111" s="355" t="e">
        <f t="shared" si="26"/>
        <v>#DIV/0!</v>
      </c>
      <c r="M111" s="355" t="s">
        <v>102</v>
      </c>
      <c r="N111" s="355" t="s">
        <v>102</v>
      </c>
      <c r="O111" s="355" t="s">
        <v>102</v>
      </c>
      <c r="P111" s="355" t="s">
        <v>102</v>
      </c>
      <c r="Q111" s="355" t="s">
        <v>102</v>
      </c>
      <c r="R111" s="301" t="e">
        <f t="shared" si="18"/>
        <v>#DIV/0!</v>
      </c>
      <c r="S111" s="301" t="e">
        <f t="shared" si="19"/>
        <v>#DIV/0!</v>
      </c>
      <c r="T111" s="301" t="s">
        <v>102</v>
      </c>
      <c r="U111" s="301" t="s">
        <v>102</v>
      </c>
      <c r="V111" s="301" t="s">
        <v>102</v>
      </c>
      <c r="W111" s="301" t="s">
        <v>102</v>
      </c>
      <c r="X111" s="304" t="s">
        <v>102</v>
      </c>
    </row>
    <row r="112" spans="1:24" ht="16.5">
      <c r="A112" s="254">
        <v>46131</v>
      </c>
      <c r="B112" s="290">
        <f t="shared" si="25"/>
        <v>0</v>
      </c>
      <c r="C112" s="475">
        <f t="shared" si="25"/>
        <v>0</v>
      </c>
      <c r="D112" s="475">
        <f t="shared" si="25"/>
        <v>0</v>
      </c>
      <c r="E112" s="314" t="e">
        <f t="shared" si="17"/>
        <v>#DIV/0!</v>
      </c>
      <c r="F112" s="355" t="e">
        <f t="shared" si="26"/>
        <v>#DIV/0!</v>
      </c>
      <c r="G112" s="355" t="e">
        <f t="shared" si="26"/>
        <v>#DIV/0!</v>
      </c>
      <c r="H112" s="355" t="e">
        <f t="shared" si="26"/>
        <v>#DIV/0!</v>
      </c>
      <c r="I112" s="355" t="e">
        <f t="shared" si="26"/>
        <v>#DIV/0!</v>
      </c>
      <c r="J112" s="355" t="e">
        <f t="shared" si="26"/>
        <v>#DIV/0!</v>
      </c>
      <c r="K112" s="355" t="e">
        <f t="shared" si="26"/>
        <v>#DIV/0!</v>
      </c>
      <c r="L112" s="355" t="e">
        <f t="shared" si="26"/>
        <v>#DIV/0!</v>
      </c>
      <c r="M112" s="355" t="s">
        <v>102</v>
      </c>
      <c r="N112" s="355" t="s">
        <v>102</v>
      </c>
      <c r="O112" s="355" t="s">
        <v>102</v>
      </c>
      <c r="P112" s="355" t="s">
        <v>102</v>
      </c>
      <c r="Q112" s="355" t="s">
        <v>102</v>
      </c>
      <c r="R112" s="301" t="e">
        <f t="shared" si="18"/>
        <v>#DIV/0!</v>
      </c>
      <c r="S112" s="301" t="e">
        <f t="shared" si="19"/>
        <v>#DIV/0!</v>
      </c>
      <c r="T112" s="301" t="s">
        <v>102</v>
      </c>
      <c r="U112" s="301" t="s">
        <v>102</v>
      </c>
      <c r="V112" s="301" t="s">
        <v>102</v>
      </c>
      <c r="W112" s="301" t="s">
        <v>102</v>
      </c>
      <c r="X112" s="304" t="s">
        <v>102</v>
      </c>
    </row>
    <row r="113" spans="1:24" ht="16.5">
      <c r="A113" s="254">
        <v>46132</v>
      </c>
      <c r="B113" s="290">
        <f t="shared" si="25"/>
        <v>0</v>
      </c>
      <c r="C113" s="475">
        <f t="shared" si="25"/>
        <v>0</v>
      </c>
      <c r="D113" s="475">
        <f t="shared" si="25"/>
        <v>0</v>
      </c>
      <c r="E113" s="314" t="e">
        <f t="shared" si="17"/>
        <v>#DIV/0!</v>
      </c>
      <c r="F113" s="355" t="e">
        <f t="shared" si="26"/>
        <v>#DIV/0!</v>
      </c>
      <c r="G113" s="355" t="e">
        <f t="shared" si="26"/>
        <v>#DIV/0!</v>
      </c>
      <c r="H113" s="355" t="e">
        <f t="shared" si="26"/>
        <v>#DIV/0!</v>
      </c>
      <c r="I113" s="355" t="e">
        <f t="shared" si="26"/>
        <v>#DIV/0!</v>
      </c>
      <c r="J113" s="355" t="e">
        <f t="shared" si="26"/>
        <v>#DIV/0!</v>
      </c>
      <c r="K113" s="355" t="e">
        <f t="shared" si="26"/>
        <v>#DIV/0!</v>
      </c>
      <c r="L113" s="355" t="e">
        <f t="shared" si="26"/>
        <v>#DIV/0!</v>
      </c>
      <c r="M113" s="355" t="s">
        <v>102</v>
      </c>
      <c r="N113" s="355" t="s">
        <v>102</v>
      </c>
      <c r="O113" s="355" t="s">
        <v>102</v>
      </c>
      <c r="P113" s="355" t="s">
        <v>102</v>
      </c>
      <c r="Q113" s="355" t="s">
        <v>102</v>
      </c>
      <c r="R113" s="301" t="e">
        <f t="shared" si="18"/>
        <v>#DIV/0!</v>
      </c>
      <c r="S113" s="301" t="e">
        <f t="shared" si="19"/>
        <v>#DIV/0!</v>
      </c>
      <c r="T113" s="301" t="s">
        <v>102</v>
      </c>
      <c r="U113" s="301" t="s">
        <v>102</v>
      </c>
      <c r="V113" s="301" t="s">
        <v>102</v>
      </c>
      <c r="W113" s="301" t="s">
        <v>102</v>
      </c>
      <c r="X113" s="304" t="s">
        <v>102</v>
      </c>
    </row>
    <row r="114" spans="1:24" ht="16.5">
      <c r="A114" s="271">
        <v>46133</v>
      </c>
      <c r="B114" s="290">
        <f t="shared" si="25"/>
        <v>0</v>
      </c>
      <c r="C114" s="475">
        <f t="shared" si="25"/>
        <v>0</v>
      </c>
      <c r="D114" s="475">
        <f t="shared" si="25"/>
        <v>0</v>
      </c>
      <c r="E114" s="314" t="e">
        <f t="shared" si="17"/>
        <v>#DIV/0!</v>
      </c>
      <c r="F114" s="355" t="e">
        <f t="shared" si="26"/>
        <v>#DIV/0!</v>
      </c>
      <c r="G114" s="355" t="e">
        <f t="shared" si="26"/>
        <v>#DIV/0!</v>
      </c>
      <c r="H114" s="355" t="e">
        <f t="shared" si="26"/>
        <v>#DIV/0!</v>
      </c>
      <c r="I114" s="355" t="e">
        <f t="shared" si="26"/>
        <v>#DIV/0!</v>
      </c>
      <c r="J114" s="355" t="e">
        <f t="shared" si="26"/>
        <v>#DIV/0!</v>
      </c>
      <c r="K114" s="355" t="e">
        <f t="shared" si="26"/>
        <v>#DIV/0!</v>
      </c>
      <c r="L114" s="355" t="e">
        <f t="shared" si="26"/>
        <v>#DIV/0!</v>
      </c>
      <c r="M114" s="355" t="s">
        <v>102</v>
      </c>
      <c r="N114" s="355" t="s">
        <v>102</v>
      </c>
      <c r="O114" s="355" t="s">
        <v>102</v>
      </c>
      <c r="P114" s="355" t="s">
        <v>102</v>
      </c>
      <c r="Q114" s="355" t="s">
        <v>102</v>
      </c>
      <c r="R114" s="301" t="e">
        <f t="shared" si="18"/>
        <v>#DIV/0!</v>
      </c>
      <c r="S114" s="301" t="e">
        <f t="shared" si="19"/>
        <v>#DIV/0!</v>
      </c>
      <c r="T114" s="301" t="s">
        <v>102</v>
      </c>
      <c r="U114" s="301" t="s">
        <v>102</v>
      </c>
      <c r="V114" s="301" t="s">
        <v>102</v>
      </c>
      <c r="W114" s="301" t="s">
        <v>102</v>
      </c>
      <c r="X114" s="304" t="s">
        <v>102</v>
      </c>
    </row>
    <row r="115" spans="1:24" ht="16.5">
      <c r="A115" s="271">
        <v>46134</v>
      </c>
      <c r="B115" s="290">
        <f t="shared" si="25"/>
        <v>0</v>
      </c>
      <c r="C115" s="475">
        <f t="shared" si="25"/>
        <v>0</v>
      </c>
      <c r="D115" s="475">
        <f t="shared" si="25"/>
        <v>0</v>
      </c>
      <c r="E115" s="314" t="e">
        <f t="shared" si="17"/>
        <v>#DIV/0!</v>
      </c>
      <c r="F115" s="355" t="e">
        <f t="shared" si="26"/>
        <v>#DIV/0!</v>
      </c>
      <c r="G115" s="355" t="e">
        <f t="shared" si="26"/>
        <v>#DIV/0!</v>
      </c>
      <c r="H115" s="355" t="e">
        <f t="shared" si="26"/>
        <v>#DIV/0!</v>
      </c>
      <c r="I115" s="355" t="e">
        <f t="shared" si="26"/>
        <v>#DIV/0!</v>
      </c>
      <c r="J115" s="355" t="e">
        <f t="shared" si="26"/>
        <v>#DIV/0!</v>
      </c>
      <c r="K115" s="355" t="e">
        <f t="shared" si="26"/>
        <v>#DIV/0!</v>
      </c>
      <c r="L115" s="355"/>
      <c r="M115" s="355" t="s">
        <v>102</v>
      </c>
      <c r="N115" s="355" t="s">
        <v>102</v>
      </c>
      <c r="O115" s="355" t="s">
        <v>102</v>
      </c>
      <c r="P115" s="355" t="s">
        <v>102</v>
      </c>
      <c r="Q115" s="355" t="s">
        <v>102</v>
      </c>
      <c r="R115" s="301" t="e">
        <f t="shared" si="18"/>
        <v>#DIV/0!</v>
      </c>
      <c r="S115" s="301" t="s">
        <v>102</v>
      </c>
      <c r="T115" s="301" t="s">
        <v>102</v>
      </c>
      <c r="U115" s="301" t="s">
        <v>102</v>
      </c>
      <c r="V115" s="301" t="s">
        <v>102</v>
      </c>
      <c r="W115" s="301" t="s">
        <v>102</v>
      </c>
      <c r="X115" s="304" t="s">
        <v>102</v>
      </c>
    </row>
    <row r="116" spans="1:24" ht="16.5">
      <c r="A116" s="271">
        <v>46135</v>
      </c>
      <c r="B116" s="290">
        <f t="shared" si="25"/>
        <v>0</v>
      </c>
      <c r="C116" s="475">
        <f t="shared" si="25"/>
        <v>0</v>
      </c>
      <c r="D116" s="475">
        <f t="shared" si="25"/>
        <v>0</v>
      </c>
      <c r="E116" s="314" t="e">
        <f t="shared" si="17"/>
        <v>#DIV/0!</v>
      </c>
      <c r="F116" s="355" t="e">
        <f>(AF116*$AC116+BF116*$BC116)/$C116</f>
        <v>#DIV/0!</v>
      </c>
      <c r="G116" s="355" t="e">
        <f>(AG116*$AC116+BG116*$BC116)/$C116</f>
        <v>#DIV/0!</v>
      </c>
      <c r="H116" s="355" t="e">
        <f>(AH116*$AC116+BH116*$BC116)/$C116</f>
        <v>#DIV/0!</v>
      </c>
      <c r="I116" s="355" t="e">
        <f>(AI116*$AC116+BI116*$BC116)/$C116</f>
        <v>#DIV/0!</v>
      </c>
      <c r="J116" s="355" t="e">
        <f>(AJ116*$AC116+BJ116*$BC116)/$C116</f>
        <v>#DIV/0!</v>
      </c>
      <c r="K116" s="355"/>
      <c r="L116" s="355"/>
      <c r="M116" s="355" t="s">
        <v>102</v>
      </c>
      <c r="N116" s="355" t="s">
        <v>102</v>
      </c>
      <c r="O116" s="355" t="s">
        <v>102</v>
      </c>
      <c r="P116" s="355" t="s">
        <v>102</v>
      </c>
      <c r="Q116" s="355" t="s">
        <v>102</v>
      </c>
      <c r="R116" s="301" t="e">
        <f t="shared" si="18"/>
        <v>#DIV/0!</v>
      </c>
      <c r="S116" s="301" t="s">
        <v>102</v>
      </c>
      <c r="T116" s="301" t="s">
        <v>102</v>
      </c>
      <c r="U116" s="301" t="s">
        <v>102</v>
      </c>
      <c r="V116" s="301" t="s">
        <v>102</v>
      </c>
      <c r="W116" s="301" t="s">
        <v>102</v>
      </c>
      <c r="X116" s="304" t="s">
        <v>102</v>
      </c>
    </row>
    <row r="117" spans="1:24" ht="16.5">
      <c r="A117" s="312">
        <v>46136</v>
      </c>
      <c r="B117" s="290">
        <f t="shared" si="25"/>
        <v>0</v>
      </c>
      <c r="C117" s="475">
        <f t="shared" si="25"/>
        <v>0</v>
      </c>
      <c r="D117" s="475">
        <f t="shared" si="25"/>
        <v>0</v>
      </c>
      <c r="E117" s="314" t="e">
        <f t="shared" si="17"/>
        <v>#DIV/0!</v>
      </c>
      <c r="F117" s="355" t="e">
        <f>(AF117*$AC117+BF117*$BC117)/$C117</f>
        <v>#DIV/0!</v>
      </c>
      <c r="G117" s="355" t="e">
        <f>(AG117*$AC117+BG117*$BC117)/$C117</f>
        <v>#DIV/0!</v>
      </c>
      <c r="H117" s="355" t="e">
        <f>(AH117*$AC117+BH117*$BC117)/$C117</f>
        <v>#DIV/0!</v>
      </c>
      <c r="I117" s="355" t="e">
        <f>(AI117*$AC117+BI117*$BC117)/$C117</f>
        <v>#DIV/0!</v>
      </c>
      <c r="J117" s="355"/>
      <c r="K117" s="355"/>
      <c r="L117" s="355"/>
      <c r="M117" s="355" t="s">
        <v>102</v>
      </c>
      <c r="N117" s="355" t="s">
        <v>102</v>
      </c>
      <c r="O117" s="355" t="s">
        <v>102</v>
      </c>
      <c r="P117" s="355" t="s">
        <v>102</v>
      </c>
      <c r="Q117" s="355" t="s">
        <v>102</v>
      </c>
      <c r="R117" s="301" t="e">
        <f t="shared" si="18"/>
        <v>#DIV/0!</v>
      </c>
      <c r="S117" s="301" t="s">
        <v>102</v>
      </c>
      <c r="T117" s="301" t="s">
        <v>102</v>
      </c>
      <c r="U117" s="301" t="s">
        <v>102</v>
      </c>
      <c r="V117" s="301" t="s">
        <v>102</v>
      </c>
      <c r="W117" s="301" t="s">
        <v>102</v>
      </c>
      <c r="X117" s="304" t="s">
        <v>102</v>
      </c>
    </row>
    <row r="118" spans="1:24" ht="16.5">
      <c r="A118" s="312">
        <v>46137</v>
      </c>
      <c r="B118" s="290">
        <f t="shared" si="25"/>
        <v>0</v>
      </c>
      <c r="C118" s="475">
        <f t="shared" si="25"/>
        <v>0</v>
      </c>
      <c r="D118" s="475">
        <f t="shared" si="25"/>
        <v>0</v>
      </c>
      <c r="E118" s="314" t="e">
        <f t="shared" si="17"/>
        <v>#DIV/0!</v>
      </c>
      <c r="F118" s="355" t="e">
        <f>(AF118*$AC118+BF118*$BC118)/$C118</f>
        <v>#DIV/0!</v>
      </c>
      <c r="G118" s="355" t="e">
        <f>(AG118*$AC118+BG118*$BC118)/$C118</f>
        <v>#DIV/0!</v>
      </c>
      <c r="H118" s="355" t="e">
        <f>(AH118*$AC118+BH118*$BC118)/$C118</f>
        <v>#DIV/0!</v>
      </c>
      <c r="I118" s="355"/>
      <c r="J118" s="355"/>
      <c r="K118" s="355"/>
      <c r="L118" s="355"/>
      <c r="M118" s="355" t="s">
        <v>102</v>
      </c>
      <c r="N118" s="355" t="s">
        <v>102</v>
      </c>
      <c r="O118" s="355" t="s">
        <v>102</v>
      </c>
      <c r="P118" s="355" t="s">
        <v>102</v>
      </c>
      <c r="Q118" s="355" t="s">
        <v>102</v>
      </c>
      <c r="R118" s="301" t="e">
        <f t="shared" si="18"/>
        <v>#DIV/0!</v>
      </c>
      <c r="S118" s="301" t="s">
        <v>102</v>
      </c>
      <c r="T118" s="301" t="s">
        <v>102</v>
      </c>
      <c r="U118" s="301" t="s">
        <v>102</v>
      </c>
      <c r="V118" s="301" t="s">
        <v>102</v>
      </c>
      <c r="W118" s="301" t="s">
        <v>102</v>
      </c>
      <c r="X118" s="304" t="s">
        <v>102</v>
      </c>
    </row>
    <row r="119" spans="1:24" ht="17.25" thickBot="1">
      <c r="A119" s="469">
        <v>46138</v>
      </c>
      <c r="B119" s="295">
        <f t="shared" si="25"/>
        <v>0</v>
      </c>
      <c r="C119" s="472">
        <f t="shared" si="25"/>
        <v>0</v>
      </c>
      <c r="D119" s="472">
        <f t="shared" si="25"/>
        <v>0</v>
      </c>
      <c r="E119" s="317" t="e">
        <f t="shared" si="17"/>
        <v>#DIV/0!</v>
      </c>
      <c r="F119" s="324" t="e">
        <f>(AF119*$AC119+BF119*$BC119)/$C119</f>
        <v>#DIV/0!</v>
      </c>
      <c r="G119" s="324" t="e">
        <f>(AG119*$AC119+BG119*$BC119)/$C119</f>
        <v>#DIV/0!</v>
      </c>
      <c r="H119" s="324"/>
      <c r="I119" s="324"/>
      <c r="J119" s="324"/>
      <c r="K119" s="324"/>
      <c r="L119" s="324"/>
      <c r="M119" s="324" t="s">
        <v>102</v>
      </c>
      <c r="N119" s="324" t="s">
        <v>102</v>
      </c>
      <c r="O119" s="324" t="s">
        <v>102</v>
      </c>
      <c r="P119" s="324" t="s">
        <v>102</v>
      </c>
      <c r="Q119" s="324" t="s">
        <v>102</v>
      </c>
      <c r="R119" s="307" t="s">
        <v>102</v>
      </c>
      <c r="S119" s="307" t="s">
        <v>102</v>
      </c>
      <c r="T119" s="307" t="s">
        <v>102</v>
      </c>
      <c r="U119" s="307" t="s">
        <v>102</v>
      </c>
      <c r="V119" s="307" t="s">
        <v>102</v>
      </c>
      <c r="W119" s="307" t="s">
        <v>102</v>
      </c>
      <c r="X119" s="309" t="s">
        <v>102</v>
      </c>
    </row>
    <row r="120" spans="1:24" ht="33.75" thickBot="1">
      <c r="A120" s="289" t="s">
        <v>35</v>
      </c>
      <c r="B120" s="461">
        <f>SUM(B2:B119)</f>
        <v>0</v>
      </c>
      <c r="C120" s="462">
        <f>SUM(C2:C119)</f>
        <v>0</v>
      </c>
      <c r="D120" s="468">
        <f>SUM(D2:D119)</f>
        <v>0</v>
      </c>
      <c r="E120" s="185" t="e">
        <f t="shared" si="17"/>
        <v>#DIV/0!</v>
      </c>
      <c r="F120" s="463" t="e">
        <f>(AF120*$AC120+BF120*$BC120)/$C120</f>
        <v>#DIV/0!</v>
      </c>
      <c r="G120" s="464" t="e">
        <f>(AG120*$AC120+BG120*$BC120)/$C120</f>
        <v>#DIV/0!</v>
      </c>
      <c r="H120" s="464" t="e">
        <f t="shared" ref="H120:Q120" si="27">(AH120*$AC120+BH120*$BC120)/$C120</f>
        <v>#DIV/0!</v>
      </c>
      <c r="I120" s="464" t="e">
        <f t="shared" si="27"/>
        <v>#DIV/0!</v>
      </c>
      <c r="J120" s="464" t="e">
        <f t="shared" si="27"/>
        <v>#DIV/0!</v>
      </c>
      <c r="K120" s="464" t="e">
        <f t="shared" si="27"/>
        <v>#DIV/0!</v>
      </c>
      <c r="L120" s="464" t="e">
        <f t="shared" si="27"/>
        <v>#DIV/0!</v>
      </c>
      <c r="M120" s="464" t="e">
        <f t="shared" si="27"/>
        <v>#DIV/0!</v>
      </c>
      <c r="N120" s="464" t="e">
        <f t="shared" si="27"/>
        <v>#DIV/0!</v>
      </c>
      <c r="O120" s="464" t="e">
        <f t="shared" si="27"/>
        <v>#DIV/0!</v>
      </c>
      <c r="P120" s="464" t="e">
        <f t="shared" si="27"/>
        <v>#DIV/0!</v>
      </c>
      <c r="Q120" s="464" t="e">
        <f t="shared" si="27"/>
        <v>#DIV/0!</v>
      </c>
      <c r="R120" s="187" t="e">
        <f>H120/F120</f>
        <v>#DIV/0!</v>
      </c>
      <c r="S120" s="187" t="e">
        <f>L120/F120</f>
        <v>#DIV/0!</v>
      </c>
      <c r="T120" s="187" t="e">
        <f>M120/F120</f>
        <v>#DIV/0!</v>
      </c>
      <c r="U120" s="187" t="e">
        <f>N120/F120</f>
        <v>#DIV/0!</v>
      </c>
      <c r="V120" s="187" t="e">
        <f>O120/F120</f>
        <v>#DIV/0!</v>
      </c>
      <c r="W120" s="187" t="e">
        <f>P120/F120</f>
        <v>#DIV/0!</v>
      </c>
      <c r="X120" s="206" t="e">
        <f>Q120/$AG120</f>
        <v>#DIV/0!</v>
      </c>
    </row>
    <row r="121" spans="1:24" ht="16.5">
      <c r="A121" s="405" t="s">
        <v>36</v>
      </c>
      <c r="B121" s="238">
        <f>SUM(B2:B3)</f>
        <v>0</v>
      </c>
      <c r="C121" s="243">
        <f>SUM(C2:C3)</f>
        <v>0</v>
      </c>
      <c r="D121" s="238">
        <f>SUM(D2:D3)</f>
        <v>0</v>
      </c>
      <c r="E121" s="115" t="e">
        <f t="shared" si="17"/>
        <v>#DIV/0!</v>
      </c>
      <c r="F121" s="500"/>
      <c r="G121" s="500"/>
      <c r="H121" s="500"/>
      <c r="I121" s="500"/>
      <c r="J121" s="500"/>
      <c r="K121" s="500"/>
      <c r="L121" s="500"/>
      <c r="M121" s="500"/>
      <c r="N121" s="500"/>
      <c r="O121" s="500"/>
      <c r="P121" s="500"/>
      <c r="Q121" s="500"/>
      <c r="R121" s="500"/>
      <c r="S121" s="500"/>
      <c r="T121" s="500"/>
      <c r="U121" s="500"/>
      <c r="V121" s="500"/>
      <c r="W121" s="500"/>
      <c r="X121" s="500"/>
    </row>
    <row r="122" spans="1:24" ht="16.5">
      <c r="A122" s="405" t="s">
        <v>37</v>
      </c>
      <c r="B122" s="238">
        <f>SUM(B4:B34)</f>
        <v>0</v>
      </c>
      <c r="C122" s="243">
        <f>SUM(C4:C34)</f>
        <v>0</v>
      </c>
      <c r="D122" s="238">
        <f>SUM(D4:D34)</f>
        <v>0</v>
      </c>
      <c r="E122" s="115" t="e">
        <f t="shared" si="17"/>
        <v>#DIV/0!</v>
      </c>
      <c r="F122" s="500"/>
      <c r="G122" s="500"/>
      <c r="H122" s="500"/>
      <c r="I122" s="500"/>
      <c r="J122" s="500"/>
      <c r="K122" s="500"/>
      <c r="L122" s="500"/>
      <c r="M122" s="500"/>
      <c r="N122" s="500"/>
      <c r="O122" s="500"/>
      <c r="P122" s="500"/>
      <c r="Q122" s="500"/>
      <c r="R122" s="500"/>
      <c r="S122" s="500"/>
      <c r="T122" s="500"/>
      <c r="U122" s="500"/>
      <c r="V122" s="500"/>
      <c r="W122" s="500"/>
      <c r="X122" s="500"/>
    </row>
    <row r="123" spans="1:24" ht="16.5">
      <c r="A123" s="405" t="s">
        <v>38</v>
      </c>
      <c r="B123" s="238">
        <f>SUM(B35:B62)</f>
        <v>0</v>
      </c>
      <c r="C123" s="243">
        <f>SUM(C35:C62)</f>
        <v>0</v>
      </c>
      <c r="D123" s="238">
        <f>SUM(D35:D62)</f>
        <v>0</v>
      </c>
      <c r="E123" s="115" t="e">
        <f t="shared" si="17"/>
        <v>#DIV/0!</v>
      </c>
      <c r="F123" s="500"/>
      <c r="G123" s="500"/>
      <c r="H123" s="500"/>
      <c r="I123" s="500"/>
      <c r="J123" s="500"/>
      <c r="K123" s="500"/>
      <c r="L123" s="500"/>
      <c r="M123" s="500"/>
      <c r="N123" s="500"/>
      <c r="O123" s="500"/>
      <c r="P123" s="500"/>
      <c r="Q123" s="500"/>
      <c r="R123" s="500"/>
      <c r="S123" s="500"/>
      <c r="T123" s="500"/>
      <c r="U123" s="500"/>
      <c r="V123" s="500"/>
      <c r="W123" s="500"/>
      <c r="X123" s="500"/>
    </row>
    <row r="124" spans="1:24" ht="16.5">
      <c r="A124" s="405" t="s">
        <v>39</v>
      </c>
      <c r="B124" s="238">
        <f>SUM(B63:B93)</f>
        <v>0</v>
      </c>
      <c r="C124" s="238">
        <f>SUM(C63:C93)</f>
        <v>0</v>
      </c>
      <c r="D124" s="238">
        <f>SUM(D63:D93)</f>
        <v>0</v>
      </c>
      <c r="E124" s="115" t="e">
        <f t="shared" si="17"/>
        <v>#DIV/0!</v>
      </c>
      <c r="F124" s="500"/>
      <c r="G124" s="500"/>
      <c r="H124" s="500"/>
      <c r="I124" s="500"/>
      <c r="J124" s="500"/>
      <c r="K124" s="500"/>
      <c r="L124" s="500"/>
      <c r="M124" s="500"/>
      <c r="N124" s="500"/>
      <c r="O124" s="500"/>
      <c r="P124" s="500"/>
      <c r="Q124" s="500"/>
      <c r="R124" s="500"/>
      <c r="S124" s="500"/>
      <c r="T124" s="500"/>
      <c r="U124" s="500"/>
      <c r="V124" s="500"/>
      <c r="W124" s="500"/>
      <c r="X124" s="500"/>
    </row>
  </sheetData>
  <phoneticPr fontId="1" type="noConversion"/>
  <conditionalFormatting sqref="E2:E119">
    <cfRule type="dataBar" priority="1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{F34B0BD6-58F4-41F8-98E2-5033B099869E}</x14:id>
        </ext>
      </extLst>
    </cfRule>
  </conditionalFormatting>
  <conditionalFormatting sqref="F2:Q119">
    <cfRule type="dataBar" priority="8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{9B9924DB-5C8C-40B7-97CC-FD6160FD6354}</x14:id>
        </ext>
      </extLst>
    </cfRule>
  </conditionalFormatting>
  <conditionalFormatting sqref="N17:N100">
    <cfRule type="dataBar" priority="5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{8D189E99-FACD-4CBB-9FAB-DE53C5DC9E52}</x14:id>
        </ext>
      </extLst>
    </cfRule>
    <cfRule type="dataBar" priority="6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{68916B11-CF23-4956-963D-5C60A033A55C}</x14:id>
        </ext>
      </extLst>
    </cfRule>
    <cfRule type="dataBar" priority="7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{772A06E4-1E4F-4495-A233-7C05F1076017}</x14:id>
        </ext>
      </extLst>
    </cfRule>
  </conditionalFormatting>
  <conditionalFormatting sqref="P2:P76 Q2:Q61">
    <cfRule type="dataBar" priority="2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{487E8750-1352-4B38-933B-B6055F483A95}</x14:id>
        </ext>
      </extLst>
    </cfRule>
    <cfRule type="dataBar" priority="3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{1CBA3AE7-55B8-4C5A-971B-FDE38B516F6B}</x14:id>
        </ext>
      </extLst>
    </cfRule>
    <cfRule type="dataBar" priority="4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{F390F2B3-81C4-4A0D-B939-0DEF2AB4073D}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4B0BD6-58F4-41F8-98E2-5033B099869E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E2:E119</xm:sqref>
        </x14:conditionalFormatting>
        <x14:conditionalFormatting xmlns:xm="http://schemas.microsoft.com/office/excel/2006/main">
          <x14:cfRule type="dataBar" id="{9B9924DB-5C8C-40B7-97CC-FD6160FD6354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F2:Q119</xm:sqref>
        </x14:conditionalFormatting>
        <x14:conditionalFormatting xmlns:xm="http://schemas.microsoft.com/office/excel/2006/main">
          <x14:cfRule type="dataBar" id="{8D189E99-FACD-4CBB-9FAB-DE53C5DC9E52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68916B11-CF23-4956-963D-5C60A033A55C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772A06E4-1E4F-4495-A233-7C05F1076017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N17:N100</xm:sqref>
        </x14:conditionalFormatting>
        <x14:conditionalFormatting xmlns:xm="http://schemas.microsoft.com/office/excel/2006/main">
          <x14:cfRule type="dataBar" id="{487E8750-1352-4B38-933B-B6055F483A95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14:cfRule type="dataBar" id="{1CBA3AE7-55B8-4C5A-971B-FDE38B516F6B}">
            <x14:dataBar minLength="0" maxLength="100" gradient="0">
              <x14:cfvo type="autoMin"/>
              <x14:cfvo type="autoMax"/>
              <x14:negativeFillColor rgb="FFF97885"/>
              <x14:axisColor auto="1"/>
            </x14:dataBar>
          </x14:cfRule>
          <x14:cfRule type="dataBar" id="{F390F2B3-81C4-4A0D-B939-0DEF2AB4073D}">
            <x14:dataBar minLength="0" maxLength="100">
              <x14:cfvo type="autoMin"/>
              <x14:cfvo type="autoMax"/>
              <x14:negativeFillColor rgb="FFF97885"/>
              <x14:axisColor auto="1"/>
            </x14:dataBar>
          </x14:cfRule>
          <xm:sqref>P2:P76 Q2:Q61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运营数据（旧）</vt:lpstr>
      <vt:lpstr>大盘</vt:lpstr>
      <vt:lpstr>大盘ROI</vt:lpstr>
      <vt:lpstr>巨量</vt:lpstr>
      <vt:lpstr>巨量ROI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徐韵</cp:lastModifiedBy>
  <dcterms:created xsi:type="dcterms:W3CDTF">2006-09-16T00:00:00Z</dcterms:created>
  <dcterms:modified xsi:type="dcterms:W3CDTF">2026-06-11T03:19:44Z</dcterms:modified>
</cp:coreProperties>
</file>